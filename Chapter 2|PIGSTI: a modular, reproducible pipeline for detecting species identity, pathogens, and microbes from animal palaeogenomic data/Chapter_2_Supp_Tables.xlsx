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 Pathogen list and treshold" sheetId="1" r:id="rId5"/>
    <sheet state="visible" name="S2  Sequencing Data" sheetId="2" r:id="rId6"/>
    <sheet state="visible" name="S3  Pathogens Hits simulated da" sheetId="3" r:id="rId7"/>
    <sheet state="visible" name="S4  Samples infos" sheetId="4" r:id="rId8"/>
    <sheet state="visible" name="S5  Pathogens Hits empirical da" sheetId="5" r:id="rId9"/>
    <sheet state="visible" name="S6  Pathogens Hits passing dete" sheetId="6" r:id="rId10"/>
    <sheet state="visible" name="S7  Samples passing detection f" sheetId="7" r:id="rId11"/>
    <sheet state="visible" name="S8  Newly published datasets" sheetId="8" r:id="rId12"/>
  </sheets>
  <definedNames>
    <definedName hidden="1" localSheetId="4" name="_xlnm._FilterDatabase">'S5  Pathogens Hits empirical da'!$A$1:$AD$1024</definedName>
  </definedNames>
  <calcPr/>
</workbook>
</file>

<file path=xl/sharedStrings.xml><?xml version="1.0" encoding="utf-8"?>
<sst xmlns="http://schemas.openxmlformats.org/spreadsheetml/2006/main" count="25905" uniqueCount="4734">
  <si>
    <t>Sample</t>
  </si>
  <si>
    <t>sample</t>
  </si>
  <si>
    <t>library</t>
  </si>
  <si>
    <t>Pathogen</t>
  </si>
  <si>
    <t>udg_treatment</t>
  </si>
  <si>
    <t>Host_best_species</t>
  </si>
  <si>
    <t>Raw reads</t>
  </si>
  <si>
    <t>Host_aligner</t>
  </si>
  <si>
    <t>taxID</t>
  </si>
  <si>
    <t>LL155</t>
  </si>
  <si>
    <t>Pathogen_screening_only</t>
  </si>
  <si>
    <t>LL155-P-MEX1-UDG1-6-30-PCR1</t>
  </si>
  <si>
    <t>full</t>
  </si>
  <si>
    <t>Krakenuniq_reads</t>
  </si>
  <si>
    <t>samp_name</t>
  </si>
  <si>
    <t>Escore</t>
  </si>
  <si>
    <t>Guellil_et_al_Evalue</t>
  </si>
  <si>
    <t>LL157</t>
  </si>
  <si>
    <t>Detected_by_Krakenuniq</t>
  </si>
  <si>
    <t>LL157-P-MEX1-UDG1-6-32-PCR1</t>
  </si>
  <si>
    <t>HOPS_score</t>
  </si>
  <si>
    <t>Krakenuniq name</t>
  </si>
  <si>
    <t>Detected_by_HOPS</t>
  </si>
  <si>
    <t>LL158</t>
  </si>
  <si>
    <t>Mapped_reads</t>
  </si>
  <si>
    <t>LL158-P-MEX1-UDG1-6-33-PCR1</t>
  </si>
  <si>
    <t>min_escore</t>
  </si>
  <si>
    <t>Read_mapping_ratio</t>
  </si>
  <si>
    <t>Coverage</t>
  </si>
  <si>
    <t>LL159</t>
  </si>
  <si>
    <t>min_reads</t>
  </si>
  <si>
    <t>LL159-P-MEX1-UDG1-6-34-PCR1</t>
  </si>
  <si>
    <t>Evenness</t>
  </si>
  <si>
    <t>Read_length_mean</t>
  </si>
  <si>
    <t>LL160</t>
  </si>
  <si>
    <t>Read_length_median</t>
  </si>
  <si>
    <t>Guellil_et_al_Evalue_threshold</t>
  </si>
  <si>
    <t>LL160-P-MEX1-UDG1-6-35-PCR1</t>
  </si>
  <si>
    <t>biosamples_accession</t>
  </si>
  <si>
    <t>Damage_5p_CtoT</t>
  </si>
  <si>
    <t>Relative_entropy</t>
  </si>
  <si>
    <t>LL161</t>
  </si>
  <si>
    <t>Breadth_ratio</t>
  </si>
  <si>
    <t>LL161-P-MEX1-UDG1-6-36-PCR1</t>
  </si>
  <si>
    <t>ANI</t>
  </si>
  <si>
    <t>Tissue</t>
  </si>
  <si>
    <t>Edit_distance_decay_quality</t>
  </si>
  <si>
    <t>LL163</t>
  </si>
  <si>
    <t>Vibrio cholerae</t>
  </si>
  <si>
    <t>LL163-P-MEX1-UDG1-7-38-PCR1</t>
  </si>
  <si>
    <t>Edit_distance_decay_quality_default</t>
  </si>
  <si>
    <t>tissue_detailled</t>
  </si>
  <si>
    <t>Genus_ranking</t>
  </si>
  <si>
    <t>LL066</t>
  </si>
  <si>
    <t>LL066-A-MBEX1-PUDG1-1_10_S76_R1_001</t>
  </si>
  <si>
    <t>Score</t>
  </si>
  <si>
    <t>partial</t>
  </si>
  <si>
    <t>Criteria_passed</t>
  </si>
  <si>
    <t>Relative_entropy_100bp</t>
  </si>
  <si>
    <t>samp_taxon_common</t>
  </si>
  <si>
    <t>Relative_entropy_1000bp</t>
  </si>
  <si>
    <t>Brucella_melitensis__tier2_low__345reads</t>
  </si>
  <si>
    <t>Ungulate erythroparvovirus 1</t>
  </si>
  <si>
    <t>Brucella melitensis</t>
  </si>
  <si>
    <t>bowtie2</t>
  </si>
  <si>
    <t>Basic_taxon_name</t>
  </si>
  <si>
    <t>LL066-A-MBEX1-PUDG1-1_11_S77_R1_001</t>
  </si>
  <si>
    <t>specific_host</t>
  </si>
  <si>
    <t>latitude</t>
  </si>
  <si>
    <t>LL066-A-MBEX1-PUDG1-1_12_S78_R1_001</t>
  </si>
  <si>
    <t>Yersinia pseudotuberculosis</t>
  </si>
  <si>
    <t>longitude</t>
  </si>
  <si>
    <t>LL066-A-MBEX1-PUDG1-1_1_S68_R1_001</t>
  </si>
  <si>
    <t>geo_loc_name</t>
  </si>
  <si>
    <t>site_name</t>
  </si>
  <si>
    <t>0.0064X</t>
  </si>
  <si>
    <t>LL066-A-MBEX1-PUDG1-1_2_S69_R1_001</t>
  </si>
  <si>
    <t>Taterapox virus</t>
  </si>
  <si>
    <t>0.64%</t>
  </si>
  <si>
    <t>sample_age</t>
  </si>
  <si>
    <t>LL066-A-MBEX1-PUDG1-1_3_S70_R1_001</t>
  </si>
  <si>
    <t>99.31%</t>
  </si>
  <si>
    <t>#1</t>
  </si>
  <si>
    <t>LL066-A-MBEX1-PUDG1-1_5_S71_R1_001</t>
  </si>
  <si>
    <t>9/10</t>
  </si>
  <si>
    <t>sample_age_upper</t>
  </si>
  <si>
    <t>E-value &gt; 0.001, Reads &gt;= 20, ANI &gt; 96.5%, 5' C&gt;T Damage &gt;= 0.01, Breadth Ratio &gt;= 0.8, Edit distance damaged &gt;= 0.5, Edit distance default (non-damaged) &gt;= 0.6, Genus Ranking = 1, Read Mapping Ratio &gt;= 0.5</t>
  </si>
  <si>
    <t>Variola virus</t>
  </si>
  <si>
    <t>Brucella_melitensis__tier3_low_mid__1491reads</t>
  </si>
  <si>
    <t>sample_age_lower</t>
  </si>
  <si>
    <t>LL066-A-MBEX1-PUDG1-1_6_S72_R1_001</t>
  </si>
  <si>
    <t>LL066-A-MBEX1-PUDG1-1_7_S73_R1_001</t>
  </si>
  <si>
    <t>0.0262X</t>
  </si>
  <si>
    <t>Monkeypox virus</t>
  </si>
  <si>
    <t>2.59%</t>
  </si>
  <si>
    <t>LL066-A-MBEX1-PUDG1-1_8_S74_R1_001</t>
  </si>
  <si>
    <t>99.40%</t>
  </si>
  <si>
    <t>LL066-A-MBEX1-PUDG1-1_9_S75_R1_001</t>
  </si>
  <si>
    <t>Cowpox virus</t>
  </si>
  <si>
    <t>10/10</t>
  </si>
  <si>
    <t>LL066-A-MBEX1-UDG1-2_21_S50_R1_001</t>
  </si>
  <si>
    <t>E-value &gt; 0.001, Reads &gt;= 20, ANI &gt; 96.5%, 5' C&gt;T Damage &gt;= 0.01, Breadth Ratio &gt;= 0.8, Entropy (1000bp) &gt;= 0.8 (bacteria), Edit distance damaged &gt;= 0.5, Edit distance default (non-damaged) &gt;= 0.6, Genus Ranking = 1, Read Mapping Ratio &gt;= 0.5</t>
  </si>
  <si>
    <t>Brucella_melitensis__tier4_mid__6438reads</t>
  </si>
  <si>
    <t>LL066-A-MBEX1-UDG1-2_22_S51_R1_001</t>
  </si>
  <si>
    <t>Vaccinia virus</t>
  </si>
  <si>
    <t>LL066-A-MBEX1-UDG1-2_23_S52_R1_001</t>
  </si>
  <si>
    <t>0.1122X</t>
  </si>
  <si>
    <t>10.66%</t>
  </si>
  <si>
    <t>LL066-A-MBEX1-UDG1-2_24_S53_R1_001</t>
  </si>
  <si>
    <t>99.43%</t>
  </si>
  <si>
    <t>LL066-A-MBEX1-UDG1-2_25_S54_R1_001</t>
  </si>
  <si>
    <t>SAMEA3909844; SAMEA3909853</t>
  </si>
  <si>
    <t>Rickettsia slovaca</t>
  </si>
  <si>
    <t>soft_tissue</t>
  </si>
  <si>
    <t>LL066-A-MBEX1-UDG1-2_26_S55_R1_001</t>
  </si>
  <si>
    <t>skin of body, UBERON:0002097</t>
  </si>
  <si>
    <t>LL066-A-MBEX1-UDG1-2_27_S56_R1_001</t>
  </si>
  <si>
    <t>Rickettsia japonica</t>
  </si>
  <si>
    <t>LL066-A-MBEX1-UDG1-2_28_S57_R1_001</t>
  </si>
  <si>
    <t>Sheep</t>
  </si>
  <si>
    <t>Brucella suis</t>
  </si>
  <si>
    <t>Ovis</t>
  </si>
  <si>
    <t>Ovis, Ovis aries</t>
  </si>
  <si>
    <t>LL066-A-MBEX1-UDG1-2_29_S58_R1_001</t>
  </si>
  <si>
    <t>46.779423845180986</t>
  </si>
  <si>
    <t>10.839684636412922</t>
  </si>
  <si>
    <t>0.1066X</t>
  </si>
  <si>
    <t>LL066-A-MBEX1-UDG2-5_30_S59_R1_001</t>
  </si>
  <si>
    <t>Italy</t>
  </si>
  <si>
    <t>10.15%</t>
  </si>
  <si>
    <t>Rattus norvegicus polyomavirus 1</t>
  </si>
  <si>
    <t>Otzal Alps</t>
  </si>
  <si>
    <t>LL066-A-MBEX1-UDG2-5_31_S60_R1_001</t>
  </si>
  <si>
    <t>99.28%</t>
  </si>
  <si>
    <t>#3</t>
  </si>
  <si>
    <t>LL066-A-MBEX1-UDG2-5_32_S61_R1_001</t>
  </si>
  <si>
    <t>E-value &gt; 0.001, Reads &gt;= 20, ANI &gt; 96.5%, 5' C&gt;T Damage &gt;= 0.01, Breadth Ratio &gt;= 0.8, Entropy (1000bp) &gt;= 0.8 (bacteria), Edit distance damaged &gt;= 0.5, Edit distance default (non-damaged) &gt;= 0.6, Read Mapping Ratio &gt;= 0.5</t>
  </si>
  <si>
    <t>LL066-A-MBEX1-UDG2-5_33_S62_R1_001</t>
  </si>
  <si>
    <t>Brucella_melitensis__tier5_mid_high__27795reads</t>
  </si>
  <si>
    <t>Streptobacillus moniliformis</t>
  </si>
  <si>
    <t>LL066-A-MBEX1-UDG2-5_34_S63_R1_001</t>
  </si>
  <si>
    <t>OCD</t>
  </si>
  <si>
    <t>0.4813X</t>
  </si>
  <si>
    <t>LL066-A-MBEX1-UDG2-5_35_S64_R1_001</t>
  </si>
  <si>
    <t>38.09%</t>
  </si>
  <si>
    <t>SAMEA3909841; SAMEA3909850</t>
  </si>
  <si>
    <t>Rickettsia akari</t>
  </si>
  <si>
    <t>LL066-A-MBEX1-UDG2-5_36_S65_R1_001</t>
  </si>
  <si>
    <t>LL066-A-MBEX1-UDG2-5_37_S66_R1_001</t>
  </si>
  <si>
    <t>LL066-A-MBEX1-UDG2-5_38_S67_R1_001</t>
  </si>
  <si>
    <t>Camelpox virus</t>
  </si>
  <si>
    <t>LL066-B-EDTA1-UDG1-14_95_S79_R1_001</t>
  </si>
  <si>
    <t>0.4586X</t>
  </si>
  <si>
    <t>36.44%</t>
  </si>
  <si>
    <t>LL066-B-EDTA1-UDG1-14_96_S80_R1_001</t>
  </si>
  <si>
    <t>OCL2</t>
  </si>
  <si>
    <t>SAMEA3909842; SAMEA3909851</t>
  </si>
  <si>
    <t>#2</t>
  </si>
  <si>
    <t>ORF virus</t>
  </si>
  <si>
    <t>LL066-B-EDTA1-UDG1-14_97_S81_R1_001</t>
  </si>
  <si>
    <t>Brucella_melitensis__tier6_high__120000reads</t>
  </si>
  <si>
    <t>LL066-B-EDTA1-UDG1-14_98_S82_R1_001</t>
  </si>
  <si>
    <t>LL066-B-EDTA1-UDG2-15_103_S83_R1_001</t>
  </si>
  <si>
    <t>Sheeppox virus</t>
  </si>
  <si>
    <t>LL066-B-EDTA1-UDG2-15_104_S84_R1_001</t>
  </si>
  <si>
    <t>2.0627X</t>
  </si>
  <si>
    <t>OLC</t>
  </si>
  <si>
    <t>86.72%</t>
  </si>
  <si>
    <t>SAMEA3909852; SAMEA3909843</t>
  </si>
  <si>
    <t>LL066-B-EDTA1-UDG2-15_105_S85_R1_001</t>
  </si>
  <si>
    <t>Goatpox virus</t>
  </si>
  <si>
    <t>LL066-B-EDTA1-UDG2-15_106_S86_R1_001</t>
  </si>
  <si>
    <t>Brucella abortus</t>
  </si>
  <si>
    <t>LL066-B-UPFLEX1-UDG1-8_41_S1_R1_001</t>
  </si>
  <si>
    <t>LL066-B-UPFLEX1-UDG1-8_42_S2_R1_001</t>
  </si>
  <si>
    <t>0X</t>
  </si>
  <si>
    <t>Lumpy skin disease virus</t>
  </si>
  <si>
    <t>0%</t>
  </si>
  <si>
    <t>LL066-B-UPFLEX1-UDG1-8_43_S3_R1_001</t>
  </si>
  <si>
    <t>97.14%</t>
  </si>
  <si>
    <t>LL066-B-UPFLEX1-UDG1-8_44_S4_R1_001</t>
  </si>
  <si>
    <t>#10</t>
  </si>
  <si>
    <t>4/9</t>
  </si>
  <si>
    <t>E-value &gt; 0.001, Reads &gt;= 20, ANI &gt; 96.5%, Breadth Ratio &gt;= 0.8</t>
  </si>
  <si>
    <t>Swinepox virus</t>
  </si>
  <si>
    <t>LL066-B-UPFLEX1-UDG1-8_45_S5_R1_001</t>
  </si>
  <si>
    <t>Brucella ovis</t>
  </si>
  <si>
    <t>LL066-B-UPFLEX1-UDG1-8_46_S6_R1_001</t>
  </si>
  <si>
    <t>LL066-B-UPFLEX1-UDG1-8_48_S7_R1_001</t>
  </si>
  <si>
    <t>Alzey1</t>
  </si>
  <si>
    <t>1.928X</t>
  </si>
  <si>
    <t>83.18%</t>
  </si>
  <si>
    <t>SAMEA113400629</t>
  </si>
  <si>
    <t>LL066-B-UPFLEX1-UDG1-8_49_S8_R1_001</t>
  </si>
  <si>
    <t>99.26%</t>
  </si>
  <si>
    <t>petrous_cranial</t>
  </si>
  <si>
    <t>Myxoma virus</t>
  </si>
  <si>
    <t>petrous part of temporal bone, UBERON:0001694</t>
  </si>
  <si>
    <t>#9</t>
  </si>
  <si>
    <t>LL066-B-UPFLEX1-UDG1-8_50_S9_R1_001</t>
  </si>
  <si>
    <t>LL066-B-UPFLEX1-UDG1-8_51_S10_R1_001</t>
  </si>
  <si>
    <t>Germany</t>
  </si>
  <si>
    <t>Alzey</t>
  </si>
  <si>
    <t>Molluscum contagiosum virus</t>
  </si>
  <si>
    <t>LL066-B-UPFLEX1-UDG1-8_52_S11_R1_001</t>
  </si>
  <si>
    <t>LL066-B-UPFLEX1-UDG1-8_53_S12_R1_001</t>
  </si>
  <si>
    <t>Asikli1</t>
  </si>
  <si>
    <t>SAMEA113400630</t>
  </si>
  <si>
    <t>LL066-B-UPFLEX1-UDG2-10_55_S13_R1_001</t>
  </si>
  <si>
    <t>long_bone</t>
  </si>
  <si>
    <t>Tanapox virus</t>
  </si>
  <si>
    <t>humerus, UBERON:0000976</t>
  </si>
  <si>
    <t>LL066-B-UPFLEX1-UDG2-10_56_S14_R1_001</t>
  </si>
  <si>
    <t>Turkey</t>
  </si>
  <si>
    <t>LL066-B-UPFLEX1-UDG2-10_57_S15_R1_001</t>
  </si>
  <si>
    <t>Aşıklı Höyük</t>
  </si>
  <si>
    <t>1.9617X</t>
  </si>
  <si>
    <t>Yaba monkey tumor virus</t>
  </si>
  <si>
    <t>84.13%</t>
  </si>
  <si>
    <t>LL066-B-UPFLEX1-UDG2-10_59_S16_R1_001</t>
  </si>
  <si>
    <t>99.29%</t>
  </si>
  <si>
    <t>LL066-B-UPFLEX1-UDG2-10_60_S17_R1_001</t>
  </si>
  <si>
    <t>LL066-B-UPFLEX1-UDG2-10_61_S18_R1_001</t>
  </si>
  <si>
    <t>Asikli2</t>
  </si>
  <si>
    <t>Fowlpox virus</t>
  </si>
  <si>
    <t>Coxiella_burnetii__tier1_very_low__80reads</t>
  </si>
  <si>
    <t>SAMEA113400631</t>
  </si>
  <si>
    <t>Coxiella burnetii</t>
  </si>
  <si>
    <t>LL066-B-UPFLEX1-UDG2-10_62_S19_R1_001</t>
  </si>
  <si>
    <t>LL066-B-UPFLEX1-UDG2-10_63_S20_R1_001</t>
  </si>
  <si>
    <t>0.0066X</t>
  </si>
  <si>
    <t>0.33%</t>
  </si>
  <si>
    <t>Pigeonpox virus</t>
  </si>
  <si>
    <t>LL066-B-UPFLEX1-UDG2-10_64_S21_R1_001</t>
  </si>
  <si>
    <t>98.80%</t>
  </si>
  <si>
    <t>LL066-B-UPFLEX1-UDG2-10_65_S22_R1_001</t>
  </si>
  <si>
    <t>Asikli3</t>
  </si>
  <si>
    <t>8/10</t>
  </si>
  <si>
    <t>SAMEA113400632</t>
  </si>
  <si>
    <t>E-value &gt; 0.001, Reads &gt;= 50, ANI &gt; 96.5%, 5' C&gt;T Damage &gt;= 0.01, Edit distance damaged &gt;= 0.5, Edit distance default (non-damaged) &gt;= 0.6, Genus Ranking = 1, Read Mapping Ratio &gt;= 0.5</t>
  </si>
  <si>
    <t>LL066-B-UPFLEX1-UDG2-10_66_S23_R1_001</t>
  </si>
  <si>
    <t>Coxiella_burnetii__tier2_low__345reads</t>
  </si>
  <si>
    <t>Canarypox virus</t>
  </si>
  <si>
    <t>LL066-B-UPFLEX1-UDG2-10_67_S24_R1_001</t>
  </si>
  <si>
    <t>LL066-P-EDTA1-UDG1-16_113_S87_R1_001</t>
  </si>
  <si>
    <t>0.0141X</t>
  </si>
  <si>
    <t>1.07%</t>
  </si>
  <si>
    <t>LL066-P-EDTA1-UDG1-16_114_S88_R1_001</t>
  </si>
  <si>
    <t>Flamingopox virus</t>
  </si>
  <si>
    <t>99.20%</t>
  </si>
  <si>
    <t>Asikli4</t>
  </si>
  <si>
    <t>SAMEA113400633</t>
  </si>
  <si>
    <t>LL066-P-EDTA1-UDG1-16_115_S89_R1_001</t>
  </si>
  <si>
    <t>Coxiella_burnetii__tier3_low_mid__1491reads</t>
  </si>
  <si>
    <t>Juncopox virus</t>
  </si>
  <si>
    <t>LL066-P-EDTA1-UDG1-16_116_S90_R1_001</t>
  </si>
  <si>
    <t>0.0467X</t>
  </si>
  <si>
    <t>4.26%</t>
  </si>
  <si>
    <t>LL066-P-EDTA1-UDG2-19_121_S91_R1_001</t>
  </si>
  <si>
    <t>Asikli5</t>
  </si>
  <si>
    <t>99.41%</t>
  </si>
  <si>
    <t>SAMEA113400634</t>
  </si>
  <si>
    <t>LL066-P-EDTA1-UDG2-19_122_S92_R1_001</t>
  </si>
  <si>
    <t>Penguinpox virus</t>
  </si>
  <si>
    <t>E-value &gt; 0.001, Reads &gt;= 50, ANI &gt; 96.5%, 5' C&gt;T Damage &gt;= 0.01, Breadth Ratio &gt;= 0.8, Entropy (1000bp) &gt;= 0.8 (bacteria), Edit distance damaged &gt;= 0.5, Edit distance default (non-damaged) &gt;= 0.6, Genus Ranking = 1, Read Mapping Ratio &gt;= 0.5</t>
  </si>
  <si>
    <t>LL066-P-EDTA1-UDG2-19_123_S93_R1_001</t>
  </si>
  <si>
    <t>Coxiella_burnetii__tier4_mid__6438reads</t>
  </si>
  <si>
    <t>LL066-P-EDTA1-UDG2-19_124_S94_R1_001</t>
  </si>
  <si>
    <t>Psittacinepox virus</t>
  </si>
  <si>
    <t>0.1888X</t>
  </si>
  <si>
    <t>16.99%</t>
  </si>
  <si>
    <t>Asikli6</t>
  </si>
  <si>
    <t>LL066-P-UPFLEX1-UDG1-11_68_S25_R1_001</t>
  </si>
  <si>
    <t>SAMEA113400635</t>
  </si>
  <si>
    <t>99.53%</t>
  </si>
  <si>
    <t>femur, UBERON:0000981</t>
  </si>
  <si>
    <t>LL066-P-UPFLEX1-UDG1-11_69_S26_R1_001</t>
  </si>
  <si>
    <t>Quailpox virus</t>
  </si>
  <si>
    <t>Coxiella_burnetii__tier5_mid_high__27795reads</t>
  </si>
  <si>
    <t>LL066-P-UPFLEX1-UDG1-11_70_S27_R1_001</t>
  </si>
  <si>
    <t>0.7965X</t>
  </si>
  <si>
    <t>Asikli8</t>
  </si>
  <si>
    <t>54.38%</t>
  </si>
  <si>
    <t>SAMEA113400637</t>
  </si>
  <si>
    <t>Sparrowpox virus</t>
  </si>
  <si>
    <t>99.54%</t>
  </si>
  <si>
    <t>LL066-P-UPFLEX1-UDG1-11_71_S28_R1_001</t>
  </si>
  <si>
    <t>Coxiella_burnetii__tier6_high__120000reads</t>
  </si>
  <si>
    <t>LL066-P-UPFLEX1-UDG1-11_73_S29_R1_001</t>
  </si>
  <si>
    <t>Starlingpox virus</t>
  </si>
  <si>
    <t>Blagotin10</t>
  </si>
  <si>
    <t>SAMEA113400641</t>
  </si>
  <si>
    <t>LL066-P-UPFLEX1-UDG1-11_74_S30_R1_001</t>
  </si>
  <si>
    <t>LL066-P-UPFLEX1-UDG1-11_75_S31_R1_001</t>
  </si>
  <si>
    <t>Turkeypox virus</t>
  </si>
  <si>
    <t>Serbia</t>
  </si>
  <si>
    <t>Blagotin-Poljna</t>
  </si>
  <si>
    <t>LL066-P-UPFLEX1-UDG1-11_76_S32_R1_001</t>
  </si>
  <si>
    <t>3.3847X</t>
  </si>
  <si>
    <t>95.13%</t>
  </si>
  <si>
    <t>Blagotin11</t>
  </si>
  <si>
    <t>LL066-P-UPFLEX1-UDG1-11_77_S33_R1_001</t>
  </si>
  <si>
    <t>Muledeerpox virus</t>
  </si>
  <si>
    <t>SAMEA113400642</t>
  </si>
  <si>
    <t>LL066-P-UPFLEX1-UDG1-11_78_S34_R1_001</t>
  </si>
  <si>
    <t>Erysipelothrix_rhusiopathiae__tier1_very_low__80reads</t>
  </si>
  <si>
    <t>Erysipelothrix rhusiopathiae</t>
  </si>
  <si>
    <t>LL066-P-UPFLEX1-UDG1-11_79_S35_R1_001</t>
  </si>
  <si>
    <t>Bovine herpesvirus 1</t>
  </si>
  <si>
    <t>0.0028X</t>
  </si>
  <si>
    <t>0.28%</t>
  </si>
  <si>
    <t>LL066-P-UPFLEX1-UDG1-11_80_S36_R1_001</t>
  </si>
  <si>
    <t>Blagotin13</t>
  </si>
  <si>
    <t>Bovine papillomavirus 1</t>
  </si>
  <si>
    <t>SAMEA113400643</t>
  </si>
  <si>
    <t>99.47%</t>
  </si>
  <si>
    <t>LL066-P-UPFLEX1-UDG1-11_81_S37_R1_001</t>
  </si>
  <si>
    <t>E-value &gt; 0.001, Reads &gt;= 50, ANI &gt; 96.5%, 5' C&gt;T Damage &gt;= 0.01, Breadth Ratio &gt;= 0.8, Edit distance damaged &gt;= 0.5, Edit distance default (non-damaged) &gt;= 0.6, Genus Ranking = 1, Read Mapping Ratio &gt;= 0.5</t>
  </si>
  <si>
    <t>LL066-P-UPFLEX1-UDG2-12_83_S38_R1_001</t>
  </si>
  <si>
    <t>Erysipelothrix_rhusiopathiae__tier2_low__345reads</t>
  </si>
  <si>
    <t>Porcine circovirus 2</t>
  </si>
  <si>
    <t>LL066-P-UPFLEX1-UDG2-12_84_S39_R1_001</t>
  </si>
  <si>
    <t>0.0113X</t>
  </si>
  <si>
    <t>LL066-P-UPFLEX1-UDG2-12_85_S40_R1_001</t>
  </si>
  <si>
    <t>Blagotin15</t>
  </si>
  <si>
    <t>Canine parvovirus 2</t>
  </si>
  <si>
    <t>1.12%</t>
  </si>
  <si>
    <t>SAMEA115573856</t>
  </si>
  <si>
    <t>LL066-P-UPFLEX1-UDG2-12_86_S41_R1_001</t>
  </si>
  <si>
    <t>99.68%</t>
  </si>
  <si>
    <t>Fowl aviadenovirus A</t>
  </si>
  <si>
    <t>LL066-P-UPFLEX1-UDG2-12_87_S42_R1_001</t>
  </si>
  <si>
    <t>Erysipelothrix_rhusiopathiae__tier3_low_mid__1491reads</t>
  </si>
  <si>
    <t>LL066-P-UPFLEX1-UDG2-12_88_S43_R1_001</t>
  </si>
  <si>
    <t>Blagotin17</t>
  </si>
  <si>
    <t>Marek's disease virus</t>
  </si>
  <si>
    <t>SAMEA113400644</t>
  </si>
  <si>
    <t>0.0492X</t>
  </si>
  <si>
    <t>LL066-P-UPFLEX1-UDG2-12_89_S44_R1_001</t>
  </si>
  <si>
    <t>4.8%</t>
  </si>
  <si>
    <t>99.63%</t>
  </si>
  <si>
    <t>LL066-P-UPFLEX1-UDG2-12_90_S45_R1_001</t>
  </si>
  <si>
    <t>African swine fever virus</t>
  </si>
  <si>
    <t>Erysipelothrix_rhusiopathiae__tier4_mid__6438reads</t>
  </si>
  <si>
    <t>LL066-P-UPFLEX1-UDG2-12_91_S46_R1_001</t>
  </si>
  <si>
    <t>LL066-P-UPFLEX1-UDG2-12_92_S47_R1_001</t>
  </si>
  <si>
    <t>Blagotin18</t>
  </si>
  <si>
    <t>SAMEA113400645</t>
  </si>
  <si>
    <t>0.2112X</t>
  </si>
  <si>
    <t>Canine parvovirus</t>
  </si>
  <si>
    <t>19.05%</t>
  </si>
  <si>
    <t>LL066-P-UPFLEX1-UDG2-12_93_S48_R1_001</t>
  </si>
  <si>
    <t>99.59%</t>
  </si>
  <si>
    <t>LL066-P-UPFLEX1-UDG2-12_94_S49_R1_001</t>
  </si>
  <si>
    <t>Canine distemper virus</t>
  </si>
  <si>
    <t>LL001</t>
  </si>
  <si>
    <t>LL001-A-MBEX1-UDG1-13-1-PCR1_S12</t>
  </si>
  <si>
    <t>Erysipelothrix_rhusiopathiae__tier5_mid_high__27795reads</t>
  </si>
  <si>
    <t>Blagotin20</t>
  </si>
  <si>
    <t>SAMEA113400646</t>
  </si>
  <si>
    <t>LL001-P-FLEX1-PUDG1-13-39-PCR1_S43</t>
  </si>
  <si>
    <t>Rabies virus</t>
  </si>
  <si>
    <t>LL002</t>
  </si>
  <si>
    <t>0.9102X</t>
  </si>
  <si>
    <t>LL002-A-MBEX1-UDG1-13-2-PCR1_S13</t>
  </si>
  <si>
    <t>59.14%</t>
  </si>
  <si>
    <t>LL003</t>
  </si>
  <si>
    <t>LL003-A-MBEX1-UDG1-13-3-PCR1_S14</t>
  </si>
  <si>
    <t>LL004</t>
  </si>
  <si>
    <t>Feline calicivirus</t>
  </si>
  <si>
    <t>LL004-A-MBEX1-UDG1-13-5-PCR1_S15</t>
  </si>
  <si>
    <t>Blagotin4</t>
  </si>
  <si>
    <t>Erysipelothrix_rhusiopathiae__tier6_high__120000reads</t>
  </si>
  <si>
    <t>SAMEA113400647</t>
  </si>
  <si>
    <t>LL005</t>
  </si>
  <si>
    <t>LL005-A-MBEX1-UDG1-13-6-PCR1_S16</t>
  </si>
  <si>
    <t>Feline herpesvirus 1</t>
  </si>
  <si>
    <t>3.8802X</t>
  </si>
  <si>
    <t>95.43%</t>
  </si>
  <si>
    <t>LL005-P-FLEX1-PUDG1-13-40-PCR1_S44</t>
  </si>
  <si>
    <t>LL006</t>
  </si>
  <si>
    <t>99.60%</t>
  </si>
  <si>
    <t>LL006-A-MBEX1-UDG1-13-7-PCR1_S17</t>
  </si>
  <si>
    <t>Feline immunodeficiency virus</t>
  </si>
  <si>
    <t>Blagotin6</t>
  </si>
  <si>
    <t>Equine herpesvirus 1</t>
  </si>
  <si>
    <t>SAMEA113400648</t>
  </si>
  <si>
    <t>LL007</t>
  </si>
  <si>
    <t>LL007-A-MBEX1-UDG1-13-8-PCR1_S18</t>
  </si>
  <si>
    <t>Equine herpesvirus 4</t>
  </si>
  <si>
    <t>LL008</t>
  </si>
  <si>
    <t>LL008-A-MBEX1-UDG1-13-9-PCR1_S19</t>
  </si>
  <si>
    <t>Blagotin7</t>
  </si>
  <si>
    <t>SAMEA113400649</t>
  </si>
  <si>
    <t>Leptospira_borgpetersenii__tier1_very_low__80reads</t>
  </si>
  <si>
    <t>LL008-P-FLEX1-PUDG1-13-41-PCR1_S45</t>
  </si>
  <si>
    <t>Leptospira borgpetersenii</t>
  </si>
  <si>
    <t>Equine infectious anemia virus</t>
  </si>
  <si>
    <t>LL009</t>
  </si>
  <si>
    <t>LL009-A-MBEX1-UDG1-13-10-PCR1_S20</t>
  </si>
  <si>
    <t>0.0012X</t>
  </si>
  <si>
    <t>LL009-P-FLEX1-PUDG1-13-42-PCR1_S46</t>
  </si>
  <si>
    <t>0.12%</t>
  </si>
  <si>
    <t>LL010</t>
  </si>
  <si>
    <t>LL010-A-MBEX1-UDG1-13-11-PCR1_S21</t>
  </si>
  <si>
    <t>99.61%</t>
  </si>
  <si>
    <t>Blagotin9</t>
  </si>
  <si>
    <t>Bluetongue virus</t>
  </si>
  <si>
    <t>SAMEA113400650</t>
  </si>
  <si>
    <t>LL010-P-FLEX1-PUDG1-13-43-PCR1_S47</t>
  </si>
  <si>
    <t>Leptospira_borgpetersenii__tier2_low__345reads</t>
  </si>
  <si>
    <t>LL011</t>
  </si>
  <si>
    <t>Maedi-Visna virus</t>
  </si>
  <si>
    <t>LL011-A-MBEX1-UDG1-13-12-PCR1_S22</t>
  </si>
  <si>
    <t>0.0048X</t>
  </si>
  <si>
    <t>Bubanj1</t>
  </si>
  <si>
    <t>0.48%</t>
  </si>
  <si>
    <t>SAMEA113400651</t>
  </si>
  <si>
    <t>LL011-P-FLEX1-PUDG1-13-44-PCR1_S48</t>
  </si>
  <si>
    <t>LL012</t>
  </si>
  <si>
    <t>Caprine arthritis encephalitis virus</t>
  </si>
  <si>
    <t>LL012-A-MBEX1-UDG1-13-13-PCR1_S23</t>
  </si>
  <si>
    <t>Leptospira_borgpetersenii__tier3_low_mid__1491reads</t>
  </si>
  <si>
    <t>Bubanj-Novo Selo</t>
  </si>
  <si>
    <t>LL012-P-FLEX1-PUDG1-13-45-PCR1_S49</t>
  </si>
  <si>
    <t>Peste des petits ruminants virus</t>
  </si>
  <si>
    <t>LL013</t>
  </si>
  <si>
    <t>LL013-A-MBEX1-UDG1-13-14-PCR1_S24</t>
  </si>
  <si>
    <t>Dublin1</t>
  </si>
  <si>
    <t>SAMEA113400653</t>
  </si>
  <si>
    <t>LL013-P-FLEX1-PUDG1-13-46-PCR1_S50</t>
  </si>
  <si>
    <t>0.0209X</t>
  </si>
  <si>
    <t>2.06%</t>
  </si>
  <si>
    <t>LL014</t>
  </si>
  <si>
    <t>African horse sickness virus</t>
  </si>
  <si>
    <t>LL014-A-MBEX1-UDG1-13-15-PCR1_S25</t>
  </si>
  <si>
    <t>99.58%</t>
  </si>
  <si>
    <t>Ireland</t>
  </si>
  <si>
    <t>LL015</t>
  </si>
  <si>
    <t>Moynagh Crannog</t>
  </si>
  <si>
    <t>LL015-A-MBEX1-UDG1-13-19-PCR1_S26</t>
  </si>
  <si>
    <t>Clostridium septicum</t>
  </si>
  <si>
    <t>Leptospira_borgpetersenii__tier4_mid__6438reads</t>
  </si>
  <si>
    <t>LL015-P-FLEX1-PUDG1-13-48-PCR1_S51</t>
  </si>
  <si>
    <t>Dublin2</t>
  </si>
  <si>
    <t>LL016</t>
  </si>
  <si>
    <t>LL016-A-MBEX1-UDG1-13-20-PCR1_S27</t>
  </si>
  <si>
    <t>SAMEA113400654</t>
  </si>
  <si>
    <t>0.0915X</t>
  </si>
  <si>
    <t>8.72%</t>
  </si>
  <si>
    <t>LL016-P-FLEX1-PUDG1-13-49-PCR1_S52</t>
  </si>
  <si>
    <t>99.56%</t>
  </si>
  <si>
    <t>LL017</t>
  </si>
  <si>
    <t>Fishamble Street</t>
  </si>
  <si>
    <t>LL017-A-BEDTA1-NUDG1-13-34-PCR1_S41</t>
  </si>
  <si>
    <t>none</t>
  </si>
  <si>
    <t>Leptospira_borgpetersenii__tier5_mid_high__27795reads</t>
  </si>
  <si>
    <t>LL017-A-MBEX1-UDG1-13-21-PCR1_S28</t>
  </si>
  <si>
    <t>Dublin3</t>
  </si>
  <si>
    <t>SAMEA113400655</t>
  </si>
  <si>
    <t>LL017-P-FLEX1-PUDG1-13-50-PCR1_S53</t>
  </si>
  <si>
    <t>0.3911X</t>
  </si>
  <si>
    <t>32.09%</t>
  </si>
  <si>
    <t>LL018</t>
  </si>
  <si>
    <t>LL018-A-BEDTA1-NUDG1-13-35-PCR1_S42</t>
  </si>
  <si>
    <t>99.57%</t>
  </si>
  <si>
    <t>LL018-A-MBEX1-UDG1-13-22-PCR1_S29</t>
  </si>
  <si>
    <t>LL019</t>
  </si>
  <si>
    <t>LL019-A-MBEX1-UDG1-13-23-PCR1_S30</t>
  </si>
  <si>
    <t>Leptospira_borgpetersenii__tier6_high__120000reads</t>
  </si>
  <si>
    <t>Dzhulyunitsa1</t>
  </si>
  <si>
    <t>LL019-P-FLEX1-PUDG1-13-51-PCR1_S54</t>
  </si>
  <si>
    <t>SAMEA113400656</t>
  </si>
  <si>
    <t>LL020</t>
  </si>
  <si>
    <t>Yersinia pestis</t>
  </si>
  <si>
    <t>LL020-A-MBEX1-UDG1-13-24-PCR1_S31</t>
  </si>
  <si>
    <t>1.6783X</t>
  </si>
  <si>
    <t>79.12%</t>
  </si>
  <si>
    <t>LL020-P-FLEX1-PUDG1-13-57-PCR1_S57</t>
  </si>
  <si>
    <t>Bulgaria</t>
  </si>
  <si>
    <t>LL022</t>
  </si>
  <si>
    <t>LL022-A-MBEX1-UDG1-13-25-PCR1_S32</t>
  </si>
  <si>
    <t>Dzhulyunitsa</t>
  </si>
  <si>
    <t>LL023</t>
  </si>
  <si>
    <t>Leptospira weilii</t>
  </si>
  <si>
    <t>LL023-A-MBEX1-UDG1-13-26-PCR1_S33</t>
  </si>
  <si>
    <t>Treponema pallidum</t>
  </si>
  <si>
    <t>Dzhulyunitsa2</t>
  </si>
  <si>
    <t>LL023PATH-A-MBEX1-UDG1-13-27-PCR1_S34</t>
  </si>
  <si>
    <t>SAMEA113400657</t>
  </si>
  <si>
    <t>0.1065X</t>
  </si>
  <si>
    <t>7.71%</t>
  </si>
  <si>
    <t>LL023PATH-P-FLEX1-PUDG1-13-53-PCR1_S56</t>
  </si>
  <si>
    <t>Mycobacterium tuberculosis</t>
  </si>
  <si>
    <t>98.22%</t>
  </si>
  <si>
    <t>7/10</t>
  </si>
  <si>
    <t>LL023-P-FLEX1-PUDG1-13-52-PCR1_S55</t>
  </si>
  <si>
    <t>E-value &gt; 0.001, Reads &gt;= 50, ANI &gt; 96.5%, 5' C&gt;T Damage &gt;= 0.01, Entropy (1000bp) &gt;= 0.8 (bacteria), Edit distance damaged &gt;= 0.5, Read Mapping Ratio &gt;= 0.5</t>
  </si>
  <si>
    <t>LL024</t>
  </si>
  <si>
    <t>Mycobacterium_leprae__tier3_low_mid__1491reads</t>
  </si>
  <si>
    <t>LL024-A-MBEX1-UDG1-13-28-PCR1_S35</t>
  </si>
  <si>
    <t>Mycobacterium avium</t>
  </si>
  <si>
    <t>Erbaba1</t>
  </si>
  <si>
    <t>Yersinia enterocolitica</t>
  </si>
  <si>
    <t>SAMEA113400733</t>
  </si>
  <si>
    <t>LL025</t>
  </si>
  <si>
    <t>LL025-A-MBEX1-UDG1-13-29-PCR1_S36</t>
  </si>
  <si>
    <t>LL026</t>
  </si>
  <si>
    <t>LL026-A-MBEX1-UDG1-13-30-PCR1_S37</t>
  </si>
  <si>
    <t>0.0042X</t>
  </si>
  <si>
    <t>Mycoplasma mycoides</t>
  </si>
  <si>
    <t>0.23%</t>
  </si>
  <si>
    <t>Suberde/Erbaba Höyük</t>
  </si>
  <si>
    <t>LL027</t>
  </si>
  <si>
    <t>LL027-A-MBEX1-UDG1-13-31-PCR1_S38</t>
  </si>
  <si>
    <t>98.24%</t>
  </si>
  <si>
    <t>LL028</t>
  </si>
  <si>
    <t>6/10</t>
  </si>
  <si>
    <t>LL028-A-MBEX1-UDG1-13-32-PCR1_S39</t>
  </si>
  <si>
    <t>Plasmodium vivax</t>
  </si>
  <si>
    <t>Erbaba3</t>
  </si>
  <si>
    <t>E-value &gt; 0.001, Reads &gt;= 50, ANI &gt; 96.5%, 5' C&gt;T Damage &gt;= 0.01, Edit distance damaged &gt;= 0.5, Read Mapping Ratio &gt;= 0.5</t>
  </si>
  <si>
    <t>SAMEA113400734</t>
  </si>
  <si>
    <t>LL029</t>
  </si>
  <si>
    <t>Mycobacterium_leprae__tier4_mid__6438reads</t>
  </si>
  <si>
    <t>LL029-A-MBEX1-UDG1-13-33-PCR1_S40</t>
  </si>
  <si>
    <t>Escherichia coli</t>
  </si>
  <si>
    <t>LL043</t>
  </si>
  <si>
    <t>LL043-A-MBEX1-UDG1-19-7-PCR2_R1_001</t>
  </si>
  <si>
    <t>LL048</t>
  </si>
  <si>
    <t>0.005X</t>
  </si>
  <si>
    <t>LL048-A-MBEX1-UDG1-19-12-PCR2_R1_001</t>
  </si>
  <si>
    <t>0.31%</t>
  </si>
  <si>
    <t>LL049</t>
  </si>
  <si>
    <t>Staphylococcus aureus</t>
  </si>
  <si>
    <t>Frankfurt1</t>
  </si>
  <si>
    <t>LL049-A-MBEX1-UDG1-19-13-PCR2_R1_001</t>
  </si>
  <si>
    <t>98.41%</t>
  </si>
  <si>
    <t>SAMEA113400660</t>
  </si>
  <si>
    <t>LL050</t>
  </si>
  <si>
    <t>LL050-A-MBEX1-UDG1-19-15-PCR2_R1_001</t>
  </si>
  <si>
    <t>Mycobacterium_leprae__tier5_mid_high__27795reads</t>
  </si>
  <si>
    <t>Streptococcus pneumoniae</t>
  </si>
  <si>
    <t>LL051</t>
  </si>
  <si>
    <t>LL051-A-MBEX1-UDG1-19-16-PCR2_R1_001</t>
  </si>
  <si>
    <t>LL052</t>
  </si>
  <si>
    <t>LL052-A-MBEX1-UDG1-19-17-PCR2_R1_001</t>
  </si>
  <si>
    <t>Frankfurt-Heddernheim</t>
  </si>
  <si>
    <t>0.0087X</t>
  </si>
  <si>
    <t>Bacillus anthracis</t>
  </si>
  <si>
    <t>0.62%</t>
  </si>
  <si>
    <t>LL053</t>
  </si>
  <si>
    <t>LL053-A-MBEX1-UDG1-19-18-PCR2_R1_001</t>
  </si>
  <si>
    <t>98.74%</t>
  </si>
  <si>
    <t>LL054</t>
  </si>
  <si>
    <t>LL054-A-MBEX1-UDG1-19-21-PCR3_R1_001</t>
  </si>
  <si>
    <t>Geor1</t>
  </si>
  <si>
    <t>SAMEA113400664</t>
  </si>
  <si>
    <t>Salmonella enterica</t>
  </si>
  <si>
    <t>LL058</t>
  </si>
  <si>
    <t>Mycobacterium_leprae__tier6_high__120000reads</t>
  </si>
  <si>
    <t>LL058-A-MBEX1-UDG1-19-25-PCR2_R1_001</t>
  </si>
  <si>
    <t>LL059</t>
  </si>
  <si>
    <t>LL059-A-MBEX1-UDG1-19-26-PCR2_R1_001</t>
  </si>
  <si>
    <t>Georgia</t>
  </si>
  <si>
    <t>Pseudomonas aeruginosa</t>
  </si>
  <si>
    <t>Tamara Fort</t>
  </si>
  <si>
    <t>0.024X</t>
  </si>
  <si>
    <t>LL060</t>
  </si>
  <si>
    <t>1.52%</t>
  </si>
  <si>
    <t>LL060-A-MBEX1-UDG1-19-27-PCR2_R1_001</t>
  </si>
  <si>
    <t>LL061</t>
  </si>
  <si>
    <t>98.97%</t>
  </si>
  <si>
    <t>LL061-A-MBEX1-UDG1-19-28-PCR2_R1_001</t>
  </si>
  <si>
    <t>Geor10</t>
  </si>
  <si>
    <t>Mycobacterium leprae</t>
  </si>
  <si>
    <t>SAMEA113400665</t>
  </si>
  <si>
    <t>LL062</t>
  </si>
  <si>
    <t>E-value &gt; 0.001, Reads &gt;= 50, ANI &gt; 96.5%, 5' C&gt;T Damage &gt;= 0.01, Edit distance damaged &gt;= 0.5, Edit distance default (non-damaged) &gt;= 0.6, Read Mapping Ratio &gt;= 0.5</t>
  </si>
  <si>
    <t>LL062-A-MBEX1-UDG1-19-29-PCR2_R1_001</t>
  </si>
  <si>
    <t>Sheeppox_virus__tier1_very_low__80reads</t>
  </si>
  <si>
    <t>Mycobacterium bovis</t>
  </si>
  <si>
    <t>LL063</t>
  </si>
  <si>
    <t>LL063-A-MBEX1-UDG1-19-30-PCR2_R1_001</t>
  </si>
  <si>
    <t>LL064</t>
  </si>
  <si>
    <t>LL064-A-MBEX1-UDG1-19-31-PCR2_R1_001</t>
  </si>
  <si>
    <t>0.0339X</t>
  </si>
  <si>
    <t>3.37%</t>
  </si>
  <si>
    <t>LL065</t>
  </si>
  <si>
    <t>LL065-A-MBEX1-UDG1-19-36-PCR2_R1_001</t>
  </si>
  <si>
    <t>LL066-A-MBEX1-UDG1-19-37-PCR2_R1_001</t>
  </si>
  <si>
    <t>Geor11</t>
  </si>
  <si>
    <t>E-value &gt; 0.001, Reads &gt;= 1, ANI &gt; 96.5%, 5' C&gt;T Damage &gt;= 0.01, Breadth Ratio &gt;= 0.8, Entropy (1000bp) &gt;= 0.7 (virus), Edit distance default (non-damaged) &gt;= 0.6, Genus Ranking = 1, Read Mapping Ratio &gt;= 0.5</t>
  </si>
  <si>
    <t>SAMEA113400666</t>
  </si>
  <si>
    <t>LL067</t>
  </si>
  <si>
    <t>LL067-A-MBEX1-UDG1-19-38-PCR3_R1_001</t>
  </si>
  <si>
    <t>LL068</t>
  </si>
  <si>
    <t>LL068-A-MBEX1-UDG1-19-39-PCR2_R1_001</t>
  </si>
  <si>
    <t>LL069</t>
  </si>
  <si>
    <t>0.0186X</t>
  </si>
  <si>
    <t>LL069-A-MBEX1-UDG1-19-40-PCR2_R1_001</t>
  </si>
  <si>
    <t>1.84%</t>
  </si>
  <si>
    <t>Staphylococcus pseudintermedius</t>
  </si>
  <si>
    <t>98.67%</t>
  </si>
  <si>
    <t>LL071</t>
  </si>
  <si>
    <t>LL071-A-MBEX1-UDG1-19-42-PCR2_R1_001</t>
  </si>
  <si>
    <t>Geor5</t>
  </si>
  <si>
    <t>SAMEA113400667</t>
  </si>
  <si>
    <t>E-value &gt; 0.001, Reads &gt;= 1, ANI &gt; 96.5%, Breadth Ratio &gt;= 0.8, Entropy (1000bp) &gt;= 0.7 (virus), Read Mapping Ratio &gt;= 0.5</t>
  </si>
  <si>
    <t>LL072</t>
  </si>
  <si>
    <t>LL072-A-MBEX1-UDG1-19-43-PCR3_R1_001</t>
  </si>
  <si>
    <t>Listeria monocytogenes</t>
  </si>
  <si>
    <t>Sheeppox_virus__tier2_low__345reads</t>
  </si>
  <si>
    <t>LL073</t>
  </si>
  <si>
    <t>LL073-B-MBEX1-UDG1-19-32-PCR2_R1_001</t>
  </si>
  <si>
    <t>Streptococcus suis</t>
  </si>
  <si>
    <t>LL073-MPB-RWB-B-MBEX1-UDG1-19-33-PCR2_R1_001</t>
  </si>
  <si>
    <t>0.1383X</t>
  </si>
  <si>
    <t>12.84%</t>
  </si>
  <si>
    <t>LL073-RBB-B-MBEX1-UDG1-19-34-PCR2_R1_001</t>
  </si>
  <si>
    <t>99.73%</t>
  </si>
  <si>
    <t>Geor6</t>
  </si>
  <si>
    <t>SAMEA113400668</t>
  </si>
  <si>
    <t>Pasteurella multocida</t>
  </si>
  <si>
    <t>LL074</t>
  </si>
  <si>
    <t>LL074-A-MBEX1-UDG1-19-44-PCR3_R1_001</t>
  </si>
  <si>
    <t>E-value &gt; 0.001, Reads &gt;= 1, ANI &gt; 96.5%, 5' C&gt;T Damage &gt;= 0.01, Breadth Ratio &gt;= 0.8, Entropy (1000bp) &gt;= 0.7 (virus), Edit distance damaged &gt;= 0.5, Edit distance default (non-damaged) &gt;= 0.6, Genus Ranking = 1, Read Mapping Ratio &gt;= 0.5</t>
  </si>
  <si>
    <t>LL075</t>
  </si>
  <si>
    <t>LL075-A-MBEX1-UDG1-19-45-PCR3_R1_001</t>
  </si>
  <si>
    <t>Chlamydia abortus</t>
  </si>
  <si>
    <t>LL076</t>
  </si>
  <si>
    <t>LL076-A-MBEX1-UDG1-19-46-PCR3_R1_001</t>
  </si>
  <si>
    <t>LL077</t>
  </si>
  <si>
    <t>0.0822X</t>
  </si>
  <si>
    <t>Geor7</t>
  </si>
  <si>
    <t>LL077-A-MBEX1-UDG1-19-48-PCR3_R1_001</t>
  </si>
  <si>
    <t>7.73%</t>
  </si>
  <si>
    <t>SAMEA113400669</t>
  </si>
  <si>
    <t>Chlamydia pecorum</t>
  </si>
  <si>
    <t>LL078</t>
  </si>
  <si>
    <t>98.72%</t>
  </si>
  <si>
    <t>LL078-A-MBEX1-UDG1-19-49-PCR3_R1_001</t>
  </si>
  <si>
    <t>LL079</t>
  </si>
  <si>
    <t>E-value &gt; 0.001, Reads &gt;= 1, ANI &gt; 96.5%, 5' C&gt;T Damage &gt;= 0.01, Breadth Ratio &gt;= 0.8, Entropy (1000bp) &gt;= 0.7 (virus), Edit distance damaged &gt;= 0.5, Read Mapping Ratio &gt;= 0.5</t>
  </si>
  <si>
    <t>LL079-A-MBEX1-UDG1-19-55-PCR1_R1_001</t>
  </si>
  <si>
    <t>Chlamydia psittaci</t>
  </si>
  <si>
    <t>LL080</t>
  </si>
  <si>
    <t>LL080-A-MBEX1-UDG1-19-56-PCR1_R1_001</t>
  </si>
  <si>
    <t>LL081</t>
  </si>
  <si>
    <t>LL081-A-MBEX1-UDG1-19-57-PCR1_R1_001</t>
  </si>
  <si>
    <t>Mycoplasma bovis</t>
  </si>
  <si>
    <t>0.0913X</t>
  </si>
  <si>
    <t>Geor8</t>
  </si>
  <si>
    <t>LL082</t>
  </si>
  <si>
    <t>8.61%</t>
  </si>
  <si>
    <t>SAMEA113400670</t>
  </si>
  <si>
    <t>LL082-A-MBEX1-UDG1-19-59-PCR1_R1_001</t>
  </si>
  <si>
    <t>LL083</t>
  </si>
  <si>
    <t>LL083-A-MBEX1-UDG1-19-60-PCR2_R1_001</t>
  </si>
  <si>
    <t>Mycoplasma hyopneumoniae</t>
  </si>
  <si>
    <t>LL084</t>
  </si>
  <si>
    <t>LL084-A-MBEX1-UDG1-19-61-PCR2_R1_001</t>
  </si>
  <si>
    <t>Sheeppox_virus__tier3_low_mid__1491reads</t>
  </si>
  <si>
    <t>LL085</t>
  </si>
  <si>
    <t>Anaplasma phagocytophilum</t>
  </si>
  <si>
    <t>LL085-A-MBEX1-UDG1-19-62-PCR1_R1_001</t>
  </si>
  <si>
    <t>Georgia1</t>
  </si>
  <si>
    <t>SAMEA113400671</t>
  </si>
  <si>
    <t>LL086</t>
  </si>
  <si>
    <t>LL086-A-MBEX1-UDG1-19-63-PCR1_R1_001</t>
  </si>
  <si>
    <t>0.5853X</t>
  </si>
  <si>
    <t>44.06%</t>
  </si>
  <si>
    <t>Anaplasma marginale</t>
  </si>
  <si>
    <t>LL087</t>
  </si>
  <si>
    <t>LL087-A-MBEX1-UDG1-19-64-PCR1_R1_001</t>
  </si>
  <si>
    <t>LL088</t>
  </si>
  <si>
    <t>LL088-A-MBEX1-UDG1-19-65-PCR1_R1_001</t>
  </si>
  <si>
    <t>Francisella tularensis</t>
  </si>
  <si>
    <t>LL089</t>
  </si>
  <si>
    <t>Georgia2</t>
  </si>
  <si>
    <t>LL089-A-MBEX1-UDG1-19-66-PCR2_R1_001</t>
  </si>
  <si>
    <t>SAMEA113400672</t>
  </si>
  <si>
    <t>LL090</t>
  </si>
  <si>
    <t>0.3326X</t>
  </si>
  <si>
    <t>LL090-A-MBEX1-UDG1-19-67-PCR1_R1_001</t>
  </si>
  <si>
    <t>26.41%</t>
  </si>
  <si>
    <t>Legionella pneumophila</t>
  </si>
  <si>
    <t>LL091</t>
  </si>
  <si>
    <t>98.64%</t>
  </si>
  <si>
    <t>LL091-A-MBEX1-UDG1-19-68-PCR2_R1_001</t>
  </si>
  <si>
    <t>LL092</t>
  </si>
  <si>
    <t>LL092-A-MBEX1-UDG1-19-69-PCR2_R1_001</t>
  </si>
  <si>
    <t>Haemophilus influenzae</t>
  </si>
  <si>
    <t>LL093</t>
  </si>
  <si>
    <t>Georgia3</t>
  </si>
  <si>
    <t>LL093-A-MBEX1-UDG1-19-70-PCR2_R1_001</t>
  </si>
  <si>
    <t>SAMEA113400673</t>
  </si>
  <si>
    <t>LL094</t>
  </si>
  <si>
    <t>LL094-A-MBEX1-UDG1-19-71-PCR1_R1_001</t>
  </si>
  <si>
    <t>0.3669X</t>
  </si>
  <si>
    <t>Borrelia burgdorferi</t>
  </si>
  <si>
    <t>29.62%</t>
  </si>
  <si>
    <t>LL095</t>
  </si>
  <si>
    <t>LL095-A-MBEX1-UDG1-19-106-PCR1_R1_001</t>
  </si>
  <si>
    <t>98.75%</t>
  </si>
  <si>
    <t>LL096</t>
  </si>
  <si>
    <t>LL096-A-MBEX1-UDG1-19-107-PCR2_R1_001</t>
  </si>
  <si>
    <t>Borrelia recurrentis</t>
  </si>
  <si>
    <t>E-value &gt; 0.001, Reads &gt;= 1, ANI &gt; 96.5%, 5' C&gt;T Damage &gt;= 0.01, Breadth Ratio &gt;= 0.8, Entropy (1000bp) &gt;= 0.7 (virus), Edit distance damaged &gt;= 0.5, Edit distance default (non-damaged) &gt;= 0.6, Read Mapping Ratio &gt;= 0.5</t>
  </si>
  <si>
    <t>Georgia4</t>
  </si>
  <si>
    <t>LL097</t>
  </si>
  <si>
    <t>SAMEA113400674</t>
  </si>
  <si>
    <t>LL097-A-MBEX1-UDG1-19-108-PCR2_R1_001</t>
  </si>
  <si>
    <t>Sheeppox_virus__tier4_mid__6438reads</t>
  </si>
  <si>
    <t>LL098</t>
  </si>
  <si>
    <t>LL098-A-MBEX1-UDG1-19-110-PCR1_R1_001</t>
  </si>
  <si>
    <t>Rickettsia rickettsii</t>
  </si>
  <si>
    <t>LL099</t>
  </si>
  <si>
    <t>2.5244X</t>
  </si>
  <si>
    <t>LL099-A-MBEX1-UDG1-19-140-PCR2_R1_001</t>
  </si>
  <si>
    <t>89.57%</t>
  </si>
  <si>
    <t>LL100</t>
  </si>
  <si>
    <t>99.70%</t>
  </si>
  <si>
    <t>LL100-A-MBEX1-UDG1-19-142-PCR1_R1_001</t>
  </si>
  <si>
    <t>Rickettsia conorii</t>
  </si>
  <si>
    <t>Guver1</t>
  </si>
  <si>
    <t>LL101</t>
  </si>
  <si>
    <t>SAMEA113400676</t>
  </si>
  <si>
    <t>LL101-A-MBEX1-UDG1-19-143-PCR1_R1_001</t>
  </si>
  <si>
    <t>LL102</t>
  </si>
  <si>
    <t>LL102-A-MBEX1-UDG1-19-144-PCR1_R1_001</t>
  </si>
  <si>
    <t>Rickettsia prowazekii</t>
  </si>
  <si>
    <t>LL103</t>
  </si>
  <si>
    <t>LL103-A-MBEX1-UDG1-19-145-PCR2_R1_001</t>
  </si>
  <si>
    <t>Güvercinkayasi</t>
  </si>
  <si>
    <t>1.4398X</t>
  </si>
  <si>
    <t>63.77%</t>
  </si>
  <si>
    <t>LL104</t>
  </si>
  <si>
    <t>LL104-A-MBEX1-UDG1-19-146-PCR1_R1_001</t>
  </si>
  <si>
    <t>LL105</t>
  </si>
  <si>
    <t>98.65%</t>
  </si>
  <si>
    <t>LL105-A-MBEX1-UDG1-19-148-PCR2_R1_001</t>
  </si>
  <si>
    <t>Guver2</t>
  </si>
  <si>
    <t>Orientia tsutsugamushi</t>
  </si>
  <si>
    <t>SAMEA113400677</t>
  </si>
  <si>
    <t>LL106</t>
  </si>
  <si>
    <t>LL106-A-MBEX1-UDG1-19-149-PCR1_R1_001</t>
  </si>
  <si>
    <t>LL107</t>
  </si>
  <si>
    <t>Plasmodium falciparum</t>
  </si>
  <si>
    <t>LL107-A-MBEX1-UDG1-19-150-PCR1_R1_001</t>
  </si>
  <si>
    <t>LL108</t>
  </si>
  <si>
    <t>1.6095X</t>
  </si>
  <si>
    <t>LL108-A-MBEX1-UDG1-19-152-PCR1_R1_001</t>
  </si>
  <si>
    <t>68.43%</t>
  </si>
  <si>
    <t>Guver3</t>
  </si>
  <si>
    <t>LL109</t>
  </si>
  <si>
    <t>SAMEA113400678</t>
  </si>
  <si>
    <t>LL109-A-MBEX1-UDG1-19-154-PCR1_R1_001</t>
  </si>
  <si>
    <t>98.78%</t>
  </si>
  <si>
    <t>LL040</t>
  </si>
  <si>
    <t>LL040-A-MBEDTA-UDG1-20-50-PCR1_S28_L004</t>
  </si>
  <si>
    <t>Sheeppox_virus__tier5_mid_high__27795reads</t>
  </si>
  <si>
    <t>Plasmodium knowlesi</t>
  </si>
  <si>
    <t>LL048-MBEX-UDG1-1-38-PCR1_S33_L002</t>
  </si>
  <si>
    <t>LL048-MBEX-UDG1-1-39-PCR1_S34_L002</t>
  </si>
  <si>
    <t>10.5586X</t>
  </si>
  <si>
    <t>Guver5</t>
  </si>
  <si>
    <t>97.12%</t>
  </si>
  <si>
    <t>SAMEA113400679</t>
  </si>
  <si>
    <t>LL048-MBEX-UDG1-1-40-PCR1_S35_L002</t>
  </si>
  <si>
    <t>99.69%</t>
  </si>
  <si>
    <t>Guver7</t>
  </si>
  <si>
    <t>SAMEA113400681</t>
  </si>
  <si>
    <t>Babesia microti</t>
  </si>
  <si>
    <t>LL050-A-MBEX1-PUDG1-13-165-PCR1_S16_L003</t>
  </si>
  <si>
    <t>LL050-MBEX-UDG1-2-41-PCR1_S36_L002</t>
  </si>
  <si>
    <t>Herxheim7</t>
  </si>
  <si>
    <t>SAMEA113400684</t>
  </si>
  <si>
    <t>Babesia bovis</t>
  </si>
  <si>
    <t>LL050-MBEX-UDG1-2-42-PCR1_S37_L002</t>
  </si>
  <si>
    <t>LL051-A-MBEX1-PUDG1-13-166-PCR1_S17_L003</t>
  </si>
  <si>
    <t>Theileria parva</t>
  </si>
  <si>
    <t>6.0363X</t>
  </si>
  <si>
    <t>Herxheim</t>
  </si>
  <si>
    <t>83.3%</t>
  </si>
  <si>
    <t>LL051-MBEX-UDG1-5-43-PCR1_S38_L002</t>
  </si>
  <si>
    <t>Leishmania donovani</t>
  </si>
  <si>
    <t>LL051-MBEX-UDG1-5-44-PCR1_S39_L002</t>
  </si>
  <si>
    <t>98.63%</t>
  </si>
  <si>
    <t>Herxheim8</t>
  </si>
  <si>
    <t>SAMEA113400685</t>
  </si>
  <si>
    <t>LL051-MBEX-UDG1-5-45-PCR1_S40_L002</t>
  </si>
  <si>
    <t>Leishmania infantum</t>
  </si>
  <si>
    <t>LL052-A-MBEX1-PUDG1-13-167-PCR1_S18_L003</t>
  </si>
  <si>
    <t>Trypanosoma brucei</t>
  </si>
  <si>
    <t>LL058-A-MBEX1-PUDG1-13-168-PCR1_S19_L003</t>
  </si>
  <si>
    <t>Hungate1</t>
  </si>
  <si>
    <t>Trypanosoma cruzi</t>
  </si>
  <si>
    <t>SAMEA113400686</t>
  </si>
  <si>
    <t>6.7318X</t>
  </si>
  <si>
    <t>LL058-MBEX-UDG1-8-46-PCR1_S41_L002</t>
  </si>
  <si>
    <t>86.84%</t>
  </si>
  <si>
    <t>LL058-MBEX-UDG1-8-48-PCR1_S42_L002</t>
  </si>
  <si>
    <t>Toxoplasma gondii</t>
  </si>
  <si>
    <t>United Kingdom</t>
  </si>
  <si>
    <t>Hungate</t>
  </si>
  <si>
    <t>LL059-A-BEDTA1-UDG1-13-181-PCR1_S7_L003</t>
  </si>
  <si>
    <t>Cryptosporidium parvum</t>
  </si>
  <si>
    <t>LL062-A-BEDTA1-UDG1-13-184-PCR1_S8_L003</t>
  </si>
  <si>
    <t>Kazbeg10</t>
  </si>
  <si>
    <t>SAMEA113400690</t>
  </si>
  <si>
    <t>LL066-A-BEDTA1-UDG1-13-185-PCR1_S9_L003</t>
  </si>
  <si>
    <t>Giardia lamblia</t>
  </si>
  <si>
    <t>LL066-A-MBEX1-PUDG1-13-169-PCR1_S20_L003</t>
  </si>
  <si>
    <t>Entamoeba histolytica</t>
  </si>
  <si>
    <t>LL072-A-MBEX1-PUDG1-13-170-PCR1_S21_L003</t>
  </si>
  <si>
    <t>LL076-A-MBEX1-PUDG1-13-171-PCR2_S22_L003</t>
  </si>
  <si>
    <t>Kazbeg11</t>
  </si>
  <si>
    <t>SAMEA113400691</t>
  </si>
  <si>
    <t>Echinococcus granulosus</t>
  </si>
  <si>
    <t>LL077-A-MBEX1-PUDG1-13-172-PCR1_S23_L003</t>
  </si>
  <si>
    <t>Echinococcus multilocularis</t>
  </si>
  <si>
    <t>LL080-A-BEDTA1-UDG1-13-186-PCR1_S10_L003</t>
  </si>
  <si>
    <t>LL082-A-MBEX1-UDG1-13-197-PCR2_S28_L003</t>
  </si>
  <si>
    <t>Taenia solium</t>
  </si>
  <si>
    <t>98.76%</t>
  </si>
  <si>
    <t>Kazbeg2</t>
  </si>
  <si>
    <t>LL084-A-MBEX1-PUDG1-13-173-PCR1_S24_L003</t>
  </si>
  <si>
    <t>SAMEA113400692</t>
  </si>
  <si>
    <t>Taenia saginata</t>
  </si>
  <si>
    <t>LL087-A-BEDTA1-UDG1-13-187-PCR1_S11_L003</t>
  </si>
  <si>
    <t>LL102-A-MBEX1-PUDG1-13-174-PCR1_S25_L003</t>
  </si>
  <si>
    <t>Trichinella spiralis</t>
  </si>
  <si>
    <t>LL107-A-BEDTA1-UDG1-13-190-PCR1_S12_L003</t>
  </si>
  <si>
    <t>Sheeppox_virus__tier6_high__120000reads</t>
  </si>
  <si>
    <t>Ascaris suum</t>
  </si>
  <si>
    <t>LL108-A-BEDTA1-UDG1-13-191-PCR1_S13_L003</t>
  </si>
  <si>
    <t>Kilpheder2</t>
  </si>
  <si>
    <t>SAMEA113400693</t>
  </si>
  <si>
    <t>LL048-MBEX-UDG1-21-102-PCR1_S68_L004</t>
  </si>
  <si>
    <t>Ancylostoma caninum</t>
  </si>
  <si>
    <t>40.4014X</t>
  </si>
  <si>
    <t>97.15%</t>
  </si>
  <si>
    <t>LL048-MBEX-UDG1-21-103-PCR1_S69_L004</t>
  </si>
  <si>
    <t>Strongyloides stercoralis</t>
  </si>
  <si>
    <t>Kilpheder</t>
  </si>
  <si>
    <t>LL052-MBEX-UDG1-20-100-PCR1_S66_L004</t>
  </si>
  <si>
    <t>LL052-MBEX-UDG1-20-101-PCR1_S67_L004</t>
  </si>
  <si>
    <t>Schistosoma mansoni</t>
  </si>
  <si>
    <t>Kilpheder3</t>
  </si>
  <si>
    <t>SAMEA113400694</t>
  </si>
  <si>
    <t>LL059-MBEX1-UDG1-35-8_S55_L003</t>
  </si>
  <si>
    <t>Schistosoma haematobium</t>
  </si>
  <si>
    <t>LL059-MBEX1-UDG1-35-9_S56_L003</t>
  </si>
  <si>
    <t>LL065-MBEX1-UDG1-36-10_S57_L003</t>
  </si>
  <si>
    <t>23.4106X</t>
  </si>
  <si>
    <t>Schistosoma japonicum</t>
  </si>
  <si>
    <t>89.65%</t>
  </si>
  <si>
    <t>LL065-MBEX1-UDG1-36-11_S58_L003</t>
  </si>
  <si>
    <t>Mainz1</t>
  </si>
  <si>
    <t>SAMEA113400701</t>
  </si>
  <si>
    <t>LL066-A-MBEDTA-NUDG1-60-122_S25_L004</t>
  </si>
  <si>
    <t>Haemonchus contortus</t>
  </si>
  <si>
    <t>LL066-A-MBEX1-NUDG1-61-122_S26_L004</t>
  </si>
  <si>
    <t>Mainz</t>
  </si>
  <si>
    <t>Teladorsagia circumcincta</t>
  </si>
  <si>
    <t>LL071-MBEX1-UDG1-37-12_S1_L004</t>
  </si>
  <si>
    <t>LL071-MBEX1-UDG1-37-13_S2_L004</t>
  </si>
  <si>
    <t>Fasciola hepatica</t>
  </si>
  <si>
    <t>Mainz2</t>
  </si>
  <si>
    <t>SAMEA113400702</t>
  </si>
  <si>
    <t>LL071-MBEX1-UDG1-37-14_S3_L004</t>
  </si>
  <si>
    <t>26.242X</t>
  </si>
  <si>
    <t>91.54%</t>
  </si>
  <si>
    <t>LL071-MBEX1-UDG1-37-15_S4_L004</t>
  </si>
  <si>
    <t>Histoplasma capsulatum</t>
  </si>
  <si>
    <t>LL071-MBEX1-UDG1-37-16_S5_L004</t>
  </si>
  <si>
    <t>Coccidioides immitis</t>
  </si>
  <si>
    <t>Treponema_pallidum__tier2_low__345reads</t>
  </si>
  <si>
    <t>LL071-MBEX1-UDG1-37-18_S6_L004</t>
  </si>
  <si>
    <t>Mainz3</t>
  </si>
  <si>
    <t>SAMEA113400703</t>
  </si>
  <si>
    <t>Cryptococcus neoformans</t>
  </si>
  <si>
    <t>LL087-MBEDTA1-UDG1-38-24_S61_L003</t>
  </si>
  <si>
    <t>0.0177X</t>
  </si>
  <si>
    <t>Aspergillus fumigatus</t>
  </si>
  <si>
    <t>1.76%</t>
  </si>
  <si>
    <t>LL087-MBEX1-UDG1-38-20_S59_L003</t>
  </si>
  <si>
    <t>99.46%</t>
  </si>
  <si>
    <t>LL087-MBEX1-UDG1-38-21_S60_L003</t>
  </si>
  <si>
    <t>Bartonella henselae</t>
  </si>
  <si>
    <t>Mainz4</t>
  </si>
  <si>
    <t>SAMEA113400704</t>
  </si>
  <si>
    <t>LL109-MBEX1-UDG1-1-22</t>
  </si>
  <si>
    <t>Treponema_pallidum__tier3_low_mid__1491reads</t>
  </si>
  <si>
    <t>Capnocytophaga canimorsus</t>
  </si>
  <si>
    <t>LL109-MBEX1-UDG1-1-23</t>
  </si>
  <si>
    <t>LL110</t>
  </si>
  <si>
    <t>Streptococcus canis</t>
  </si>
  <si>
    <t>LL110-P-OVERFLEX1-NUDG1-49-112_S15_L004</t>
  </si>
  <si>
    <t>0.0743X</t>
  </si>
  <si>
    <t>7.19%</t>
  </si>
  <si>
    <t>LL110-P-Path-OVERFLEX1-NUDG1-50-113_S16_L004</t>
  </si>
  <si>
    <t>Marmara1</t>
  </si>
  <si>
    <t>Mycoplasma haemofelis</t>
  </si>
  <si>
    <t>SAMEA113400705</t>
  </si>
  <si>
    <t>LL111</t>
  </si>
  <si>
    <t>LL111-P-OVERFLEX1-NUDG1-51-114_S17_L004</t>
  </si>
  <si>
    <t>Corynebacterium pseudotuberculosis</t>
  </si>
  <si>
    <t>LL116</t>
  </si>
  <si>
    <t>LL116-P-OVERFLEX1-NUDG1-57-119_S22_L004</t>
  </si>
  <si>
    <t>Treponema_pallidum__tier4_mid__6438reads</t>
  </si>
  <si>
    <t>Yenikapı</t>
  </si>
  <si>
    <t>LL117</t>
  </si>
  <si>
    <t>LL117-P-OVERFLEX1-NUDG1-58-120_S23_L004</t>
  </si>
  <si>
    <t>Mannheimia haemolytica</t>
  </si>
  <si>
    <t>LL118</t>
  </si>
  <si>
    <t>LL118-P-OVERFLEX1-NUDG1-59-121_S24_L004</t>
  </si>
  <si>
    <t>Marmara3</t>
  </si>
  <si>
    <t>Pasteurella trehalosi</t>
  </si>
  <si>
    <t>SAMEA113400706</t>
  </si>
  <si>
    <t>LL130</t>
  </si>
  <si>
    <t>LL130A-EDTA1-NUDG1-30053_S35_L003</t>
  </si>
  <si>
    <t>0.3199X</t>
  </si>
  <si>
    <t>LL130A-UPLFEX1-NUDG1-30-52_S34_L003</t>
  </si>
  <si>
    <t>Mycoplasma agalactiae</t>
  </si>
  <si>
    <t>27.47%</t>
  </si>
  <si>
    <t>KD483</t>
  </si>
  <si>
    <t>KD483-P-EDTA1-NUDG1-10-173-PCR1_S42_L004</t>
  </si>
  <si>
    <t>Mycoplasma capricolum subsp. capripneumoniae</t>
  </si>
  <si>
    <t>99.44%</t>
  </si>
  <si>
    <t>KD483-P-UPFLEX1-NUDG1-10-148-PCR2_S18_L004</t>
  </si>
  <si>
    <t>Marmara4</t>
  </si>
  <si>
    <t>SAMEA113400707</t>
  </si>
  <si>
    <t>Chlamydophila abortus</t>
  </si>
  <si>
    <t>KD484</t>
  </si>
  <si>
    <t>KD484-P-EDTA1-NUDG1-10-174-PCR1_S43_L004</t>
  </si>
  <si>
    <t>Burkholderia mallei</t>
  </si>
  <si>
    <t>Treponema_pallidum__tier5_mid_high__27795reads</t>
  </si>
  <si>
    <t>KD484-P-UPFLEX1-NUDG1-10-149-PCR1_S19_L004</t>
  </si>
  <si>
    <t>KD485</t>
  </si>
  <si>
    <t>KD485-P-EDTA1-NUDG1-10-175-PCR1_S44_L004</t>
  </si>
  <si>
    <t>Burkholderia pseudomallei</t>
  </si>
  <si>
    <t>Marmara5</t>
  </si>
  <si>
    <t>SAMEA113400708</t>
  </si>
  <si>
    <t>1.3864X</t>
  </si>
  <si>
    <t>KD485-P-UPFLEX1-NUDG1-10-150-PCR1_S20_L004</t>
  </si>
  <si>
    <t>74.13%</t>
  </si>
  <si>
    <t>Streptococcus equi subsp. equi</t>
  </si>
  <si>
    <t>KD486</t>
  </si>
  <si>
    <t>KD486-P-EDTA1-NUDG1-10-176-PCR1_S45_L004</t>
  </si>
  <si>
    <t>Streptococcus equi subsp. zooepidemicus</t>
  </si>
  <si>
    <t>KD486-P-UPFLEX1-NUDG1-10-152-PCR2_S21_L004</t>
  </si>
  <si>
    <t>Marmara6</t>
  </si>
  <si>
    <t>Rhodococcus equi</t>
  </si>
  <si>
    <t>Treponema_pallidum__tier6_high__120000reads</t>
  </si>
  <si>
    <t>SAMEA113400709</t>
  </si>
  <si>
    <t>KD487</t>
  </si>
  <si>
    <t>KD487-P-EDTA1-NUDG1-10-177-PCR1_S46_L004</t>
  </si>
  <si>
    <t>KD487-P-UPFLEX1-NUDG1-10-153-PCR2_S22_L004</t>
  </si>
  <si>
    <t>LL120</t>
  </si>
  <si>
    <t>LL120-A-EDTA1-NUDG1-8-155-PCR2_S24_L004</t>
  </si>
  <si>
    <t>5.8833X</t>
  </si>
  <si>
    <t>Bibersteinia trehalosi</t>
  </si>
  <si>
    <t>97.88%</t>
  </si>
  <si>
    <t>Marmara7</t>
  </si>
  <si>
    <t>LL120-A-UPFLEX1-NUDG1-8-128-PCR1_S2_L004</t>
  </si>
  <si>
    <t>SAMEA113400710</t>
  </si>
  <si>
    <t>LL121</t>
  </si>
  <si>
    <t>Streptococcus pyogenes</t>
  </si>
  <si>
    <t>LL121-A-EDTA1-NUDG1-8-156-PCR2_S25_L004</t>
  </si>
  <si>
    <t>Variola_virus__tier1_very_low__80reads</t>
  </si>
  <si>
    <t>LL121-A-UPFLEX1-NUDG1-8-129-PCR1_S3_L004</t>
  </si>
  <si>
    <t>Streptococcus agalactiae</t>
  </si>
  <si>
    <t>LL122</t>
  </si>
  <si>
    <t>LL122-A-EDTA1-NUDG1-8-157-PCR1_S26_L004</t>
  </si>
  <si>
    <t>Streptococcus lutetiensis</t>
  </si>
  <si>
    <t>Marmara8</t>
  </si>
  <si>
    <t>0.0271X</t>
  </si>
  <si>
    <t>SAMEA113400711</t>
  </si>
  <si>
    <t>LL122-A-UPFLEX1-NUDG1-8-130-PCR2_S4_L004</t>
  </si>
  <si>
    <t>2.71%</t>
  </si>
  <si>
    <t>Streptococcus equinus</t>
  </si>
  <si>
    <t>LL123</t>
  </si>
  <si>
    <t>99.72%</t>
  </si>
  <si>
    <t>LL123-A-EDTA1-NUDG1-8-158-PCR1_S27_L004</t>
  </si>
  <si>
    <t>LL123-A-UPFLEX1-NUDG1-8-131-PCR2_S5_L004</t>
  </si>
  <si>
    <t>Streptococcus infantarius</t>
  </si>
  <si>
    <t>Variola_virus__tier2_low__345reads</t>
  </si>
  <si>
    <t>LL124</t>
  </si>
  <si>
    <t>LL124-A-EDTA1-NUDG1-8-159-PCR2_S28_L004</t>
  </si>
  <si>
    <t>Mentese11</t>
  </si>
  <si>
    <t>Streptococcus gallolyticus</t>
  </si>
  <si>
    <t>SAMEA113400712</t>
  </si>
  <si>
    <t>LL124-A-UPFLEX1-NUDG1-8-132-PCR2_S6_L004</t>
  </si>
  <si>
    <t>0.1139X</t>
  </si>
  <si>
    <t>10.68%</t>
  </si>
  <si>
    <t>Clostridium perfringens</t>
  </si>
  <si>
    <t>LL125</t>
  </si>
  <si>
    <t>LL125-A-EDTA1-NUDG1-8-160-PCR1_S29_L004</t>
  </si>
  <si>
    <t>99.64%</t>
  </si>
  <si>
    <t>Menteşe</t>
  </si>
  <si>
    <t>LL128</t>
  </si>
  <si>
    <t>LL128-A-EDTA1-NUDG1-8-163-PCR2_S32_L004</t>
  </si>
  <si>
    <t>Clostridioides difficile</t>
  </si>
  <si>
    <t>Variola_virus__tier3_low_mid__1491reads</t>
  </si>
  <si>
    <t>LL128-A-UPFLEX1-NUDG1-8-136-PCR1_S9_L004</t>
  </si>
  <si>
    <t>Mentese6</t>
  </si>
  <si>
    <t>SAMEA113400713</t>
  </si>
  <si>
    <t>Clostridium novyi</t>
  </si>
  <si>
    <t>LL129</t>
  </si>
  <si>
    <t>LL129-A-EDTA1-NUDG1-8-164-PCR1_S33_L004</t>
  </si>
  <si>
    <t>0.3074X</t>
  </si>
  <si>
    <t>25.19%</t>
  </si>
  <si>
    <t>LL129-A-UPFLEX1-NUDG1-8-137-PCR1_S10_L004</t>
  </si>
  <si>
    <t>Clostridium tetani</t>
  </si>
  <si>
    <t>98.84%</t>
  </si>
  <si>
    <t>LL132</t>
  </si>
  <si>
    <t>LL132-A-EDTA1-NUDG1-8-165-PCR1_S34_L004</t>
  </si>
  <si>
    <t>Clostridium chauvoei</t>
  </si>
  <si>
    <t>Mentese7</t>
  </si>
  <si>
    <t>SAMEA113400714</t>
  </si>
  <si>
    <t>LL134</t>
  </si>
  <si>
    <t>LL134-A-EDTA1-NUDG1-8-167-PCR1_S36_L004</t>
  </si>
  <si>
    <t>Clostridium botulinum</t>
  </si>
  <si>
    <t>LL134-A-UPFLEX1-NUDG1-8-140-PCR2_S12_L004</t>
  </si>
  <si>
    <t>LL135</t>
  </si>
  <si>
    <t>Fusobacterium nucleatum</t>
  </si>
  <si>
    <t>LL135-A-EDTA1-NUDG1-8-168-PCR1_S37_L004</t>
  </si>
  <si>
    <t>LL135-A-UPFLEX1-NUDG1-8-142-PCR1_S13_L004</t>
  </si>
  <si>
    <t>Mentese9</t>
  </si>
  <si>
    <t>Fusobacterium necrophorum</t>
  </si>
  <si>
    <t>SAMEA113400715</t>
  </si>
  <si>
    <t>LL137</t>
  </si>
  <si>
    <t>LL137-A-EDTA1-NUDG1-8-170-PCR2_S39_L004</t>
  </si>
  <si>
    <t>LL137-A-UPFLEX1-NUDG1-8-144-PCR1_S15_L004</t>
  </si>
  <si>
    <t>Campylobacter jejuni</t>
  </si>
  <si>
    <t>LL140</t>
  </si>
  <si>
    <t>LL140-A-EDTA1-NUDG1-8-171-PCR1_S40_L004</t>
  </si>
  <si>
    <t>LL140-A-UPFLEX1-NUDG1-8-145-PCR1_S16_L004</t>
  </si>
  <si>
    <t>Bordetella bronchiseptica</t>
  </si>
  <si>
    <t>Yoqneam1</t>
  </si>
  <si>
    <t>0.4798X</t>
  </si>
  <si>
    <t>SAMEA113400740</t>
  </si>
  <si>
    <t>37.93%</t>
  </si>
  <si>
    <t>KD414</t>
  </si>
  <si>
    <t>KD414-P-MEX1-NUDG1-5-89-PCR1_S120_L004</t>
  </si>
  <si>
    <t>Bordetella pertussis</t>
  </si>
  <si>
    <t>KD415</t>
  </si>
  <si>
    <t>KD415-P-MEX1-NUDG1-5-90-PCR1_S121_L004</t>
  </si>
  <si>
    <t>Israel</t>
  </si>
  <si>
    <t>Tel Yoqne’am</t>
  </si>
  <si>
    <t>MC72713</t>
  </si>
  <si>
    <t>Bordetella parapertussis</t>
  </si>
  <si>
    <t>KD416-P-MEX1-NUDG1-5-91-PCR1_S122_L004</t>
  </si>
  <si>
    <t>KD432</t>
  </si>
  <si>
    <t>Yoqneam3</t>
  </si>
  <si>
    <t>Suid alphaherpesvirus 1</t>
  </si>
  <si>
    <t>SAMEA113400741</t>
  </si>
  <si>
    <t>KD432-P-MEX1-NUDG1-5-92-PCR1_S123_L004</t>
  </si>
  <si>
    <t>KD433</t>
  </si>
  <si>
    <t>KD433-P-MEX1-NUDG1-5-93-PCR1_S124_L004</t>
  </si>
  <si>
    <t>Leptospira interrogans</t>
  </si>
  <si>
    <t>0.1503X</t>
  </si>
  <si>
    <t>12.69%</t>
  </si>
  <si>
    <t>KD434</t>
  </si>
  <si>
    <t>KD434-P-MEX1-NUDG1-5-94-PCR1_S125_L004</t>
  </si>
  <si>
    <t>98.56%</t>
  </si>
  <si>
    <t>KD435</t>
  </si>
  <si>
    <t>KD435-P-MEX1-NUDG1-5-95-PCR1_S126_L004</t>
  </si>
  <si>
    <t>AKAS-001</t>
  </si>
  <si>
    <t>E-value &gt; 0.001, Reads &gt;= 5, ANI &gt; 96.5%, 5' C&gt;T Damage &gt;= 0.01, Breadth Ratio &gt;= 0.8, Entropy (1000bp) &gt;= 0.7 (virus), Edit distance damaged &gt;= 0.5, Read Mapping Ratio &gt;= 0.5</t>
  </si>
  <si>
    <t>SAMEA112960291</t>
  </si>
  <si>
    <t>KD436</t>
  </si>
  <si>
    <t>KD436-P-MEX1-NUDG1-5-96-PCR1_S127_L004</t>
  </si>
  <si>
    <t>Variola_virus__tier4_mid__6438reads</t>
  </si>
  <si>
    <t>radius bone, UBERON:0001423</t>
  </si>
  <si>
    <t>KD437</t>
  </si>
  <si>
    <t>KD437-P-MEX1-NUDG1-5-97-PCR1_S128_L004</t>
  </si>
  <si>
    <t>Sweden</t>
  </si>
  <si>
    <t>KD438</t>
  </si>
  <si>
    <t>Kastelholm</t>
  </si>
  <si>
    <t>KD438-P-MEX1-NUDG1-5-98-PCR2_S129_L004</t>
  </si>
  <si>
    <t>KD439</t>
  </si>
  <si>
    <t>KD439-P-MEX1-NUDG1-5-99-PCR1_S130_L004</t>
  </si>
  <si>
    <t>AKAS-002</t>
  </si>
  <si>
    <t>1.2867X</t>
  </si>
  <si>
    <t>KD440</t>
  </si>
  <si>
    <t>SAMEA112960292</t>
  </si>
  <si>
    <t>Rickettsia typhi</t>
  </si>
  <si>
    <t>KD440-P-MEX1-NUDG1-5-100-PCR1_S131_L004</t>
  </si>
  <si>
    <t>61.86%</t>
  </si>
  <si>
    <t>98.87%</t>
  </si>
  <si>
    <t>Rickettsia felis</t>
  </si>
  <si>
    <t>#7</t>
  </si>
  <si>
    <t>Rickettsia africae</t>
  </si>
  <si>
    <t>Aliabad3</t>
  </si>
  <si>
    <t>KD441</t>
  </si>
  <si>
    <t>SAMEA113400628</t>
  </si>
  <si>
    <t>KD441-P-MEX1-NUDG1-5-101-PCR1_S132_L004</t>
  </si>
  <si>
    <t>2.07X</t>
  </si>
  <si>
    <t>KD442</t>
  </si>
  <si>
    <t>86.77%</t>
  </si>
  <si>
    <t>KD442-P-MEX1-NUDG1-5-102-PCR1_S133_L004</t>
  </si>
  <si>
    <t>Iran</t>
  </si>
  <si>
    <t>KD443</t>
  </si>
  <si>
    <t>Ali Abad</t>
  </si>
  <si>
    <t>KD443-P-MEX1-NUDG1-5-103-PCR1_S134_L004</t>
  </si>
  <si>
    <t>KD444</t>
  </si>
  <si>
    <t>KD444-P-MEX1-NUDG1-5-104-PCR1_S135_L004</t>
  </si>
  <si>
    <t>APOR008</t>
  </si>
  <si>
    <t>SAMEA116134571; SAMEA116134998; SAMEA116134996; SAMEA116134997</t>
  </si>
  <si>
    <t>KD449</t>
  </si>
  <si>
    <t>KD449-A-MBEX1-UDG1-54-11-PCR1_S62_L004</t>
  </si>
  <si>
    <t>tooth</t>
  </si>
  <si>
    <t>mandible, UBERON:0001684</t>
  </si>
  <si>
    <t>Spain</t>
  </si>
  <si>
    <t>0.7145X</t>
  </si>
  <si>
    <t>KD449-A-MBEX1-UDG1-54-12-PCR1_S63_L004</t>
  </si>
  <si>
    <t>38.47%</t>
  </si>
  <si>
    <t>El Portalón</t>
  </si>
  <si>
    <t>KD450</t>
  </si>
  <si>
    <t>KD450-A-MBEX1-UDG1-53-127-PCR1_S64_L004</t>
  </si>
  <si>
    <t>98.50%</t>
  </si>
  <si>
    <t>#6</t>
  </si>
  <si>
    <t>APOR009</t>
  </si>
  <si>
    <t>KD450-A-MBEX1-UDG1-53-128-PCR1_S65_L004</t>
  </si>
  <si>
    <t>SAMEA116135002; SAMEA116134999; SAMEA116135000; SAMEA116135001; SAMEA116135003; SAMEA116135004; SAMEA116135005; SAMEA116134572</t>
  </si>
  <si>
    <t>E-value &gt; 0.001, Reads &gt;= 5, ANI &gt; 96.5%, 5' C&gt;T Damage &gt;= 0.01, Entropy (1000bp) &gt;= 0.7 (virus), Edit distance damaged &gt;= 0.5, Read Mapping Ratio &gt;= 0.5</t>
  </si>
  <si>
    <t>KD462</t>
  </si>
  <si>
    <t>KD462-P-EDTA1-NUDG1-3-79-PCR1_S110_L004</t>
  </si>
  <si>
    <t>KD462-P-UPFLEX1-NUDG1-3-70-PCR1_S102_L004</t>
  </si>
  <si>
    <t>KD463</t>
  </si>
  <si>
    <t>KD463-P-EDTA1-NUDG1-3-80-PCR2_S111_L004</t>
  </si>
  <si>
    <t>0.6284X</t>
  </si>
  <si>
    <t>33.87%</t>
  </si>
  <si>
    <t>Asikli7</t>
  </si>
  <si>
    <t>KD463-P-UPFLEX1-NUDG1-3-71-PCR1_S103_L004</t>
  </si>
  <si>
    <t>SAMEA113400636</t>
  </si>
  <si>
    <t>98.57%</t>
  </si>
  <si>
    <t>KD464</t>
  </si>
  <si>
    <t>KD464-P-EDTA1-NUDG1-3-81-PCR2_S112_L004</t>
  </si>
  <si>
    <t>KD464-P-UPFLEX1-NUDG1-3-73-PCR1_S104_L004</t>
  </si>
  <si>
    <t>KD465</t>
  </si>
  <si>
    <t>KD465-P-EDTA1-NUDG1-3-82-PCR1_S113_L004</t>
  </si>
  <si>
    <t>ASTF-001</t>
  </si>
  <si>
    <t>SAMEA112960293</t>
  </si>
  <si>
    <t>0.8771X</t>
  </si>
  <si>
    <t>KD465-P-UPFLEX1-NUDG1-3-74-PCR1_S105_L004</t>
  </si>
  <si>
    <t>45.12%</t>
  </si>
  <si>
    <t>KD466</t>
  </si>
  <si>
    <t>98.66%</t>
  </si>
  <si>
    <t>KD466-P-EDTA1-NUDG1-3-83-PCR2_S114_L004</t>
  </si>
  <si>
    <t>Stora Förvar</t>
  </si>
  <si>
    <t>KD466-P-UPFLEX1-NUDG1-3-75-PCR2_S106_L004</t>
  </si>
  <si>
    <t>Variola_virus__tier5_mid_high__27795reads</t>
  </si>
  <si>
    <t>ASTF-002</t>
  </si>
  <si>
    <t>KD467</t>
  </si>
  <si>
    <t>SAMEA112960294</t>
  </si>
  <si>
    <t>KD467-P-EDTA1-NUDG1-3-84-PCR2_S115_L004</t>
  </si>
  <si>
    <t>KD467-P-UPFLEX1-NUDG1-3-76-PCR1_S107_L004</t>
  </si>
  <si>
    <t>5.5172X</t>
  </si>
  <si>
    <t>81.89%</t>
  </si>
  <si>
    <t>KD468</t>
  </si>
  <si>
    <t>KD468-P-EDTA1-NUDG1-3-85-PCR1_S116_L004</t>
  </si>
  <si>
    <t>98.85%</t>
  </si>
  <si>
    <t>KD468-P-UPFLEX1-NUDG1-3-77-PCR1_S108_L004</t>
  </si>
  <si>
    <t>ASTF-003</t>
  </si>
  <si>
    <t>SAMEA112960295</t>
  </si>
  <si>
    <t>KD469</t>
  </si>
  <si>
    <t>KD469-P-EDTA1-NUDG1-3-86-PCR1_S117_L004</t>
  </si>
  <si>
    <t>KD469-P-UPFLEX1-NUDG1-3-78-PCR1_S109_L004</t>
  </si>
  <si>
    <t>KD488</t>
  </si>
  <si>
    <t>KD488-P-EDTA1-NUDG1-5-105-PCR1_S136_L004</t>
  </si>
  <si>
    <t>Azer12</t>
  </si>
  <si>
    <t>SAMEA113400638</t>
  </si>
  <si>
    <t>8.7403X</t>
  </si>
  <si>
    <t>99.65%</t>
  </si>
  <si>
    <t>KD488-P-UPFLEX1-NUDG1-5-106-PCR1_S137_L004</t>
  </si>
  <si>
    <t>KD489</t>
  </si>
  <si>
    <t>99.62%</t>
  </si>
  <si>
    <t>KD489-P-MEX1-NUDG1-5-87-PCR1_S118_L004</t>
  </si>
  <si>
    <t>Tepe Hasanlu</t>
  </si>
  <si>
    <t>KD490</t>
  </si>
  <si>
    <t>KD490-P-MEX1-NUDG1-5-88-PCR2_S119_L004</t>
  </si>
  <si>
    <t>Azer13</t>
  </si>
  <si>
    <t>SAMEA113400639</t>
  </si>
  <si>
    <t>LL092-A-MBEX1-UDG1-57-131-PCR1_S68_L004</t>
  </si>
  <si>
    <t>LL092-A-MBEX1-UDG1-57-132-PCR1_S69_L004</t>
  </si>
  <si>
    <t>3.11X</t>
  </si>
  <si>
    <t>59.67%</t>
  </si>
  <si>
    <t>LL103-A-MBEX1-UDG1-56-129-PCR1_S66_L004</t>
  </si>
  <si>
    <t>98.55%</t>
  </si>
  <si>
    <t>#5</t>
  </si>
  <si>
    <t>LL103-A-MBEX1-UDG1-56-130-PCR1_S67_L004</t>
  </si>
  <si>
    <t>Azer2</t>
  </si>
  <si>
    <t>SAMEA8609222</t>
  </si>
  <si>
    <t>LL109-A-MBEX1-UDG1-10-146-PCR1_S72_L004</t>
  </si>
  <si>
    <t>LL109-A-MBEX1-UDG1-10-148-PCR1_S73_L004</t>
  </si>
  <si>
    <t>2.7404X</t>
  </si>
  <si>
    <t>2550</t>
  </si>
  <si>
    <t>LL140-Cal-MEX1-NUDG1-24-40-PCR2_S9_L003</t>
  </si>
  <si>
    <t>54.06%</t>
  </si>
  <si>
    <t>2750</t>
  </si>
  <si>
    <t>LL021</t>
  </si>
  <si>
    <t>LL021-A-MBEX1-UDG1-13-1-PCR1_S1_L001</t>
  </si>
  <si>
    <t>bad003</t>
  </si>
  <si>
    <t>98.54%</t>
  </si>
  <si>
    <t>SAMEA114638840; SAMEA114806684</t>
  </si>
  <si>
    <t>missing</t>
  </si>
  <si>
    <t>LL040-A-MBEX1-UDG1-13-8-PCR1_S7_L001</t>
  </si>
  <si>
    <t>LL041</t>
  </si>
  <si>
    <t>LL041-A-MBEX1-UDG1-13-9-PCR1_S8_L001</t>
  </si>
  <si>
    <t>Bademağacı</t>
  </si>
  <si>
    <t>LL042</t>
  </si>
  <si>
    <t>LL042-A-MBEX1-UDG1-13-10-PCR1_S9_L001</t>
  </si>
  <si>
    <t>3.7284X</t>
  </si>
  <si>
    <t>66.15%</t>
  </si>
  <si>
    <t>LL153</t>
  </si>
  <si>
    <t>bar001</t>
  </si>
  <si>
    <t>LL153-P-MEX1-NUDG1-62-101-PCR1</t>
  </si>
  <si>
    <t>SAMEA114638841; SAMEA114806685</t>
  </si>
  <si>
    <t>LL154</t>
  </si>
  <si>
    <t>LL154-P-MEX1-NUDG1-62-102-PCR2</t>
  </si>
  <si>
    <t>Variola_virus__tier6_high__120000reads</t>
  </si>
  <si>
    <t>Barcın</t>
  </si>
  <si>
    <t>BFMC304A</t>
  </si>
  <si>
    <t>SAMEA116133605</t>
  </si>
  <si>
    <t>21.5408X</t>
  </si>
  <si>
    <t>85.54%</t>
  </si>
  <si>
    <t>France</t>
  </si>
  <si>
    <t>Bucy-le-Long "le Fond du Marais", Picardie</t>
  </si>
  <si>
    <t>BFMC304B</t>
  </si>
  <si>
    <t>SAMEA116133606</t>
  </si>
  <si>
    <t>34.1901X</t>
  </si>
  <si>
    <t>Chalow2</t>
  </si>
  <si>
    <t>SAMEA113400640</t>
  </si>
  <si>
    <t>Chalow</t>
  </si>
  <si>
    <t>Chishma1</t>
  </si>
  <si>
    <t>SAMEA113400652</t>
  </si>
  <si>
    <t>other_bone</t>
  </si>
  <si>
    <t>talus, UBERON:0002395</t>
  </si>
  <si>
    <t>12.2099X</t>
  </si>
  <si>
    <t>68.5%</t>
  </si>
  <si>
    <t>Russia</t>
  </si>
  <si>
    <t>98.53%</t>
  </si>
  <si>
    <t>Chishminskoye</t>
  </si>
  <si>
    <t>Enkhuizen1</t>
  </si>
  <si>
    <t>SAMEA113400658</t>
  </si>
  <si>
    <t>10.8003X</t>
  </si>
  <si>
    <t>Netherlands</t>
  </si>
  <si>
    <t>Enkhuizen</t>
  </si>
  <si>
    <t>62.91%</t>
  </si>
  <si>
    <t>erb002</t>
  </si>
  <si>
    <t>98.51%</t>
  </si>
  <si>
    <t>SAMEA114638842; SAMEA114806686</t>
  </si>
  <si>
    <t>Erbaba Höyük</t>
  </si>
  <si>
    <t>ERB455</t>
  </si>
  <si>
    <t>SAMEA114638850</t>
  </si>
  <si>
    <t>scapula, UBERON:0006849</t>
  </si>
  <si>
    <t>14.6853X</t>
  </si>
  <si>
    <t>72.95%</t>
  </si>
  <si>
    <t>Fars3</t>
  </si>
  <si>
    <t>Yersinia_pestis__tier2_low__345reads</t>
  </si>
  <si>
    <t>SAMEA113400659</t>
  </si>
  <si>
    <t>Tepe Qasrdasht</t>
  </si>
  <si>
    <t>0.0041X</t>
  </si>
  <si>
    <t>0.41%</t>
  </si>
  <si>
    <t>Gadachrili3</t>
  </si>
  <si>
    <t>SAMEA113400661</t>
  </si>
  <si>
    <t>Gadachrili Gora</t>
  </si>
  <si>
    <t>Yersinia_pestis__tier3_low_mid__1491reads</t>
  </si>
  <si>
    <t>Gadachrili4</t>
  </si>
  <si>
    <t>SAMEA113400662</t>
  </si>
  <si>
    <t>0.0178X</t>
  </si>
  <si>
    <t>99.50%</t>
  </si>
  <si>
    <t>Yersinia_pestis__tier4_mid__6438reads</t>
  </si>
  <si>
    <t>Ganj1</t>
  </si>
  <si>
    <t>SAMEA113400663</t>
  </si>
  <si>
    <t>Mouflon</t>
  </si>
  <si>
    <t>Ovis, Ovis gmelini</t>
  </si>
  <si>
    <t>Ganj Dareh</t>
  </si>
  <si>
    <t>Gorgan1</t>
  </si>
  <si>
    <t>SAMEA113400675</t>
  </si>
  <si>
    <t>0.0769X</t>
  </si>
  <si>
    <t>7.39%</t>
  </si>
  <si>
    <t>99.52%</t>
  </si>
  <si>
    <t>Gabri Qal‘eh</t>
  </si>
  <si>
    <t>Yersinia_pestis__tier5_mid_high__27795reads</t>
  </si>
  <si>
    <t>Guver6</t>
  </si>
  <si>
    <t>SAMEA113400680</t>
  </si>
  <si>
    <t>host_species</t>
  </si>
  <si>
    <t>0.2986X</t>
  </si>
  <si>
    <t>Hamedan1</t>
  </si>
  <si>
    <t>24.89%</t>
  </si>
  <si>
    <t>SAMEA113400682</t>
  </si>
  <si>
    <t>tissue_clean</t>
  </si>
  <si>
    <t>tissue_type</t>
  </si>
  <si>
    <t>Tepe Gunespan</t>
  </si>
  <si>
    <t>E-value &gt; 0.001, Reads &gt;= 50, ANI &gt; 96.5%, 5' C&gt;T Damage &gt;= 0.01, Breadth Ratio &gt;= 0.8, Entropy (1000bp) &gt;= 0.8 (bacteria), Edit distance damaged &gt;= 0.5, Edit distance default (non-damaged) &gt;= 0.6, Read Mapping Ratio &gt;= 0.5</t>
  </si>
  <si>
    <t>score_num</t>
  </si>
  <si>
    <t>Herxheim3</t>
  </si>
  <si>
    <t>SAMEA113400683</t>
  </si>
  <si>
    <t>0.3333X</t>
  </si>
  <si>
    <t>Edit_distance_decay_quality_no_damage</t>
  </si>
  <si>
    <t>ANI_num</t>
  </si>
  <si>
    <t>28.16%</t>
  </si>
  <si>
    <t>mapping_ratio</t>
  </si>
  <si>
    <t>ira011</t>
  </si>
  <si>
    <t>SAMEA114806687; SAMEA114638846</t>
  </si>
  <si>
    <t>long bone, UBERON:0002495</t>
  </si>
  <si>
    <t>pass_filter</t>
  </si>
  <si>
    <t>Yersinia_pestis__tier6_high__120000reads</t>
  </si>
  <si>
    <t>AA401</t>
  </si>
  <si>
    <t>Tepe Khalesh</t>
  </si>
  <si>
    <t>Sus</t>
  </si>
  <si>
    <t>Pig</t>
  </si>
  <si>
    <t>ira016</t>
  </si>
  <si>
    <t>1.2729X</t>
  </si>
  <si>
    <t>SAMEA114638845; SAMEA114806688</t>
  </si>
  <si>
    <t>66.49%</t>
  </si>
  <si>
    <t>Edit_distance_logR2</t>
  </si>
  <si>
    <t>Ivanovo1</t>
  </si>
  <si>
    <t>Iceland</t>
  </si>
  <si>
    <t>SAMEA113400687</t>
  </si>
  <si>
    <t>Skagafjordur</t>
  </si>
  <si>
    <t>1.4262X</t>
  </si>
  <si>
    <t>73.99%</t>
  </si>
  <si>
    <t>Ivanovskaya</t>
  </si>
  <si>
    <t>Jelsum1</t>
  </si>
  <si>
    <t>SAMEA113400688</t>
  </si>
  <si>
    <t>Jelsum</t>
  </si>
  <si>
    <t>0.0072X</t>
  </si>
  <si>
    <t>AA478</t>
  </si>
  <si>
    <t>0.57%</t>
  </si>
  <si>
    <t>Wild boar/pig</t>
  </si>
  <si>
    <t>Jelsum2</t>
  </si>
  <si>
    <t>SAMEA113400689</t>
  </si>
  <si>
    <t>E-value &gt; 0.001, Reads &gt;= 50, ANI &gt; 96.5%, 5' C&gt;T Damage &gt;= 0.01, Genus Ranking = 1, Read Mapping Ratio &gt;= 0.5</t>
  </si>
  <si>
    <t>NA</t>
  </si>
  <si>
    <t>Khor1</t>
  </si>
  <si>
    <t>SAMEA8609212</t>
  </si>
  <si>
    <t>Ukraine</t>
  </si>
  <si>
    <t>36.169834</t>
  </si>
  <si>
    <t>58.81134</t>
  </si>
  <si>
    <t>Buran-Kaya IV</t>
  </si>
  <si>
    <t>Nishapur</t>
  </si>
  <si>
    <t>AL725</t>
  </si>
  <si>
    <t>3000</t>
  </si>
  <si>
    <t>3300</t>
  </si>
  <si>
    <t>Wild boar</t>
  </si>
  <si>
    <t>Kortik4</t>
  </si>
  <si>
    <t>SAMEA113400695</t>
  </si>
  <si>
    <t>Körtiktepe</t>
  </si>
  <si>
    <t>Kultepe1</t>
  </si>
  <si>
    <t>SAMEA113400696</t>
  </si>
  <si>
    <t>Azerbaijan</t>
  </si>
  <si>
    <t>Kültepe I</t>
  </si>
  <si>
    <t>Kur1</t>
  </si>
  <si>
    <t>SAMEA113400697</t>
  </si>
  <si>
    <t>Sad-e Talvar</t>
  </si>
  <si>
    <t>Lur10</t>
  </si>
  <si>
    <t>SAMEA113400698</t>
  </si>
  <si>
    <t>Tepe Qela Gap</t>
  </si>
  <si>
    <t>Lur11</t>
  </si>
  <si>
    <t>0.008X</t>
  </si>
  <si>
    <t>SAMEA113400699</t>
  </si>
  <si>
    <t>98.79%</t>
  </si>
  <si>
    <t>E-value &gt; 0.001, Reads &gt;= 50, ANI &gt; 96.5%, Edit Distance No-Damage Decay Quality &gt;= 0.6, Genus Ranking = 1, Read Mapping Ratio &gt;= 0.5</t>
  </si>
  <si>
    <t>Lur16</t>
  </si>
  <si>
    <t>SAMEA113400700</t>
  </si>
  <si>
    <t>MDVC564</t>
  </si>
  <si>
    <t>SAMEA116133604</t>
  </si>
  <si>
    <t>0.24%</t>
  </si>
  <si>
    <t>Mennevile-Derrière-Le-Village, Picardie</t>
  </si>
  <si>
    <t>E-value &gt; 0.001, Reads &gt;= 50, ANI &gt; 96.5%, Breadth Ratio &gt;= 0.8, Edit Distance No-Damage Decay Quality &gt;= 0.6, Read Mapping Ratio &gt;= 0.5</t>
  </si>
  <si>
    <t>Mongolia1</t>
  </si>
  <si>
    <t>SAMEA113400716</t>
  </si>
  <si>
    <t>Mongolia</t>
  </si>
  <si>
    <t>Burkhan Tolgoi</t>
  </si>
  <si>
    <t>MUM2</t>
  </si>
  <si>
    <t>SAMEA8609215; SAMEA8609217;SAMEA8609220;SAMEA8609214;SAMEA8609218;SAMEA8609219;SAMEA8609213;SAMEA8609216</t>
  </si>
  <si>
    <t>0.0032X</t>
  </si>
  <si>
    <t>0.27%</t>
  </si>
  <si>
    <t>36.91598541474066</t>
  </si>
  <si>
    <t>47.85647296212747</t>
  </si>
  <si>
    <t>Chehrabad</t>
  </si>
  <si>
    <t>Nachcharini1</t>
  </si>
  <si>
    <t>SAMEA113400717</t>
  </si>
  <si>
    <t>Azer1</t>
  </si>
  <si>
    <t>Bos</t>
  </si>
  <si>
    <t>Lebanon</t>
  </si>
  <si>
    <t>Eurasian cattle</t>
  </si>
  <si>
    <t>Nachcharini Cave</t>
  </si>
  <si>
    <t>0.0014X</t>
  </si>
  <si>
    <t>Nachcharini2</t>
  </si>
  <si>
    <t>0.13%</t>
  </si>
  <si>
    <t>SAMEA113400718</t>
  </si>
  <si>
    <t>98.35%</t>
  </si>
  <si>
    <t>E-value &gt; 0.001, Reads &gt;= 50, ANI &gt; 96.5%, 5' C&gt;T Damage &gt;= 0.01, Breadth Ratio &gt;= 0.8, Read Mapping Ratio &gt;= 0.5</t>
  </si>
  <si>
    <t>Nachcharini4</t>
  </si>
  <si>
    <t>SAMEA113400719</t>
  </si>
  <si>
    <t>Kul Tepe (Kültəpə)</t>
  </si>
  <si>
    <t>BLT014</t>
  </si>
  <si>
    <t>Nizzana4</t>
  </si>
  <si>
    <t>SAMEA113400720</t>
  </si>
  <si>
    <t>99.05%</t>
  </si>
  <si>
    <t>Nizzana</t>
  </si>
  <si>
    <t>E-value &gt; 0.001, Reads &gt;= 50, ANI &gt; 96.5%, Breadth Ratio &gt;= 0.8, Edit Distance No-Damage Decay Quality &gt;= 0.6, Genus Ranking = 1, Read Mapping Ratio &gt;= 0.5</t>
  </si>
  <si>
    <t>Vinča Belo Brdo</t>
  </si>
  <si>
    <t>Bed4</t>
  </si>
  <si>
    <t>Nizzana5</t>
  </si>
  <si>
    <t>SAMEA113400721</t>
  </si>
  <si>
    <t>Aurochs</t>
  </si>
  <si>
    <t>petrous part of temporal bone, UBERON:0001706</t>
  </si>
  <si>
    <t>OB20-01</t>
  </si>
  <si>
    <t>98.70%</t>
  </si>
  <si>
    <t>Bedburg-Königshoven</t>
  </si>
  <si>
    <t>E-value &gt; 0.001, Reads &gt;= 50, ANI &gt; 96.5%, 5' C&gt;T Damage &gt;= 0.01, Breadth Ratio &gt;= 0.8, Edit Distance No-Damage Decay Quality &gt;= 0.6, Read Mapping Ratio &gt;= 0.5</t>
  </si>
  <si>
    <t>SAMEA8022720</t>
  </si>
  <si>
    <t>39.95000000</t>
  </si>
  <si>
    <t>71.26666667</t>
  </si>
  <si>
    <t>Kyrgyzstan</t>
  </si>
  <si>
    <t>Obishir V</t>
  </si>
  <si>
    <t>OB20-04</t>
  </si>
  <si>
    <t>0.0034X</t>
  </si>
  <si>
    <t>0.29%</t>
  </si>
  <si>
    <t>SAMEA8022724</t>
  </si>
  <si>
    <t>E-value &gt; 0.001, Reads &gt;= 50, ANI &gt; 96.5%, Breadth Ratio &gt;= 0.8, Edit Distance Damage Decay Quality &gt;= 0.5, Edit Distance No-Damage Decay Quality &gt;= 0.6, Genus Ranking = 1, Read Mapping Ratio &gt;= 0.5</t>
  </si>
  <si>
    <t>OB20-06</t>
  </si>
  <si>
    <t>SAMEA8022721</t>
  </si>
  <si>
    <t>Ovcular2</t>
  </si>
  <si>
    <t>SAMEA113903265</t>
  </si>
  <si>
    <t>0.003X</t>
  </si>
  <si>
    <t>98.40%</t>
  </si>
  <si>
    <t>Ovçular Tepesi</t>
  </si>
  <si>
    <t>Carrick3</t>
  </si>
  <si>
    <t>E-value &gt; 0.001, Reads &gt;= 50, ANI &gt; 96.5%, 5' C&gt;T Damage &gt;= 0.01, Breadth Ratio &gt;= 0.8, Genus Ranking = 1</t>
  </si>
  <si>
    <t>Capra</t>
  </si>
  <si>
    <t>Goat</t>
  </si>
  <si>
    <t>PA1</t>
  </si>
  <si>
    <t>metatarsal, UBERON:0001448</t>
  </si>
  <si>
    <t>SAMEA2421499</t>
  </si>
  <si>
    <t>53.949068217553</t>
  </si>
  <si>
    <t>-1.051426559660384</t>
  </si>
  <si>
    <t>Borthwick Institute for Archives</t>
  </si>
  <si>
    <t>299.5</t>
  </si>
  <si>
    <t>PA2</t>
  </si>
  <si>
    <t>SAMEA2421500</t>
  </si>
  <si>
    <t>Carrickfergus</t>
  </si>
  <si>
    <t>0.0018X</t>
  </si>
  <si>
    <t>0.18%</t>
  </si>
  <si>
    <t>Chalow1</t>
  </si>
  <si>
    <t>99.19%</t>
  </si>
  <si>
    <t>199.5</t>
  </si>
  <si>
    <t>5/9</t>
  </si>
  <si>
    <t>E-value &gt; 0.001, Reads &gt;= 50, ANI &gt; 96.5%, Breadth Ratio &gt;= 0.8, Read Mapping Ratio &gt;= 0.5</t>
  </si>
  <si>
    <t>Padayatak1</t>
  </si>
  <si>
    <t>SAMEA113400723</t>
  </si>
  <si>
    <t>Chalow, Khorasan</t>
  </si>
  <si>
    <t>0.0015X</t>
  </si>
  <si>
    <t>Uzbekistan</t>
  </si>
  <si>
    <t>0.05%</t>
  </si>
  <si>
    <t>Padayatak</t>
  </si>
  <si>
    <t>pbh003</t>
  </si>
  <si>
    <t>SAMEA114806689; SAMEA114806690; SAMEA114806691; SAMEA114638836</t>
  </si>
  <si>
    <t>5/10</t>
  </si>
  <si>
    <t>metapodium bone, UBERON:0003821</t>
  </si>
  <si>
    <t>E-value &gt; 0.001, Reads &gt;= 50, ANI &gt; 96.5%, Edit Distance No-Damage Decay Quality &gt;= 0.6, Genus Ranking = 1</t>
  </si>
  <si>
    <t>Pınarbaşı</t>
  </si>
  <si>
    <t>&gt;12950</t>
  </si>
  <si>
    <t>Dan1</t>
  </si>
  <si>
    <t>not applicable</t>
  </si>
  <si>
    <t>Pie10</t>
  </si>
  <si>
    <t>SAMEA115573854</t>
  </si>
  <si>
    <t>0.0023X</t>
  </si>
  <si>
    <t>Romania</t>
  </si>
  <si>
    <t>Mǎgura Gorgana</t>
  </si>
  <si>
    <t>Tel Dan</t>
  </si>
  <si>
    <t>E-value &gt; 0.001, Reads &gt;= 50, ANI &gt; 96.5%, 5' C&gt;T Damage &gt;= 0.01, Edit Distance Damage Decay Quality &gt;= 0.5, Genus Ranking = 1, Read Mapping Ratio &gt;= 0.5</t>
  </si>
  <si>
    <t>Direkli2</t>
  </si>
  <si>
    <t>Pie11</t>
  </si>
  <si>
    <t>SAMEA115573855</t>
  </si>
  <si>
    <t>Bezoar</t>
  </si>
  <si>
    <t>petrous part of temporal bone, UBERON:0001708</t>
  </si>
  <si>
    <t>0.0002X</t>
  </si>
  <si>
    <t>0.02%</t>
  </si>
  <si>
    <t>Qazvin2</t>
  </si>
  <si>
    <t>SAMEA113400724</t>
  </si>
  <si>
    <t>98.36%</t>
  </si>
  <si>
    <t>Direkli Cave, Taurus Mountains</t>
  </si>
  <si>
    <t>E-value &gt; 0.001, Reads &gt;= 50, ANI &gt; 96.5%, Breadth Ratio &gt;= 0.8</t>
  </si>
  <si>
    <t>Tepe Shizar</t>
  </si>
  <si>
    <t>Qom1</t>
  </si>
  <si>
    <t>SAMEA113400725</t>
  </si>
  <si>
    <t>0.0003X</t>
  </si>
  <si>
    <t>99.00%</t>
  </si>
  <si>
    <t>Qoli Darvish</t>
  </si>
  <si>
    <t>E-value &gt; 0.001, Reads &gt;= 50, ANI &gt; 96.5%, Genus Ranking = 1</t>
  </si>
  <si>
    <t>Sangir1</t>
  </si>
  <si>
    <t>SAMEA113400726</t>
  </si>
  <si>
    <t>0.082X</t>
  </si>
  <si>
    <t>6.1%</t>
  </si>
  <si>
    <t>E-value &gt; 0.001, Reads &gt;= 50, ANI &gt; 96.5%, 5' C&gt;T Damage &gt;= 0.01, Entropy (1000bp) &gt;= 0.8 (bacteria), Edit Distance Damage Decay Quality &gt;= 0.5</t>
  </si>
  <si>
    <t>Sangir Tepe</t>
  </si>
  <si>
    <t>Schwabmun1</t>
  </si>
  <si>
    <t>SAMEA113400727</t>
  </si>
  <si>
    <t>tibia, UBERON:0000979</t>
  </si>
  <si>
    <t>0.5175X</t>
  </si>
  <si>
    <t>38.23%</t>
  </si>
  <si>
    <t>Schwabmünchen</t>
  </si>
  <si>
    <t>Falconeri2</t>
  </si>
  <si>
    <t>Semnan11</t>
  </si>
  <si>
    <t>Ibex</t>
  </si>
  <si>
    <t>SAMEA113400728</t>
  </si>
  <si>
    <t>E-value &gt; 0.001, Reads &gt;= 50, ANI &gt; 96.5%, 5' C&gt;T Damage &gt;= 0.01, Breadth Ratio &gt;= 0.8, Entropy (1000bp) &gt;= 0.8 (bacteria), Edit Distance Damage Decay Quality &gt;= 0.5, Edit Distance No-Damage Decay Quality &gt;= 0.6, Genus Ranking = 1, Read Mapping Ratio &gt;= 0.5</t>
  </si>
  <si>
    <t>Tappeh Sang-e Chakhmaq</t>
  </si>
  <si>
    <t>Semnan15</t>
  </si>
  <si>
    <t>SAMEA113400729</t>
  </si>
  <si>
    <t>Born at the Muséum national d'Histoire naturelle zoo, France</t>
  </si>
  <si>
    <t>97.84%</t>
  </si>
  <si>
    <t>4/10</t>
  </si>
  <si>
    <t>Semnan4</t>
  </si>
  <si>
    <t>SAMEA113400730</t>
  </si>
  <si>
    <t>Semnan5</t>
  </si>
  <si>
    <t>0.0063X</t>
  </si>
  <si>
    <t>SAMEA113400731</t>
  </si>
  <si>
    <t>0.47%</t>
  </si>
  <si>
    <t>98.91%</t>
  </si>
  <si>
    <t>E-value &gt; 0.001, Reads &gt;= 50, ANI &gt; 96.5%, Edit Distance Damage Decay Quality &gt;= 0.5, Edit Distance No-Damage Decay Quality &gt;= 0.6, Genus Ranking = 1, Read Mapping Ratio &gt;= 0.5</t>
  </si>
  <si>
    <t>Shulaveris3</t>
  </si>
  <si>
    <t>SAMEA113400732</t>
  </si>
  <si>
    <t>Shulaveris Gora</t>
  </si>
  <si>
    <t>0.21%</t>
  </si>
  <si>
    <t>sub008</t>
  </si>
  <si>
    <t>SAMEA114638838; SAMEA114806692</t>
  </si>
  <si>
    <t>E-value &gt; 0.001, Reads &gt;= 50, ANI &gt; 96.5%, Read Mapping Ratio &gt;= 0.5</t>
  </si>
  <si>
    <t>Suberde</t>
  </si>
  <si>
    <t>Galicia1</t>
  </si>
  <si>
    <t>0.14%</t>
  </si>
  <si>
    <t>98.31%</t>
  </si>
  <si>
    <t>petrous part of temporal bone, UBERON:0001706;humerus, UBERON:0000976</t>
  </si>
  <si>
    <t>E-value &gt; 0.001, Reads &gt;= 50, ANI &gt; 96.5%, Breadth Ratio &gt;= 0.8, Genus Ranking = 1</t>
  </si>
  <si>
    <t>Tarxien3</t>
  </si>
  <si>
    <t>SAMEA113400735</t>
  </si>
  <si>
    <t>0.4%</t>
  </si>
  <si>
    <t>O Courel, Galicia</t>
  </si>
  <si>
    <t>99.25%</t>
  </si>
  <si>
    <t>Galicia3</t>
  </si>
  <si>
    <t>Malta</t>
  </si>
  <si>
    <t>Tarxien</t>
  </si>
  <si>
    <t>0.0016X</t>
  </si>
  <si>
    <t>0.06%</t>
  </si>
  <si>
    <t>98.81%</t>
  </si>
  <si>
    <t>tpc003</t>
  </si>
  <si>
    <t>SAMEA114806693; SAMEA114638839</t>
  </si>
  <si>
    <t>E-value &gt; 0.001, Reads &gt;= 50, ANI &gt; 96.5%, 5' C&gt;T Damage &gt;= 0.01, Edit Distance No-Damage Decay Quality &gt;= 0.6, Genus Ranking = 1</t>
  </si>
  <si>
    <t>phalanx, UBERON:0003221</t>
  </si>
  <si>
    <t>Tepecik-Çiftlik</t>
  </si>
  <si>
    <t>0.0092X</t>
  </si>
  <si>
    <t>0.69%</t>
  </si>
  <si>
    <t>TPC037</t>
  </si>
  <si>
    <t>98.60%</t>
  </si>
  <si>
    <t>SAMEA114638852</t>
  </si>
  <si>
    <t>E-value &gt; 0.001, Reads &gt;= 50, ANI &gt; 96.5%, Genus Ranking = 1, Read Mapping Ratio &gt;= 0.5</t>
  </si>
  <si>
    <t>Ganjdareh24</t>
  </si>
  <si>
    <t>petrous part of temporal bone, UBERON:0001720</t>
  </si>
  <si>
    <t>TPC039</t>
  </si>
  <si>
    <t>SAMEA114638851</t>
  </si>
  <si>
    <t>0.0352X</t>
  </si>
  <si>
    <t>3.02%</t>
  </si>
  <si>
    <t>99.16%</t>
  </si>
  <si>
    <t>E-value &gt; 0.001, Reads &gt;= 50, ANI &gt; 96.5%, Breadth Ratio &gt;= 0.8, Entropy (1000bp) &gt;= 0.8 (bacteria), Edit Distance Damage Decay Quality &gt;= 0.5, Edit Distance No-Damage Decay Quality &gt;= 0.6, Genus Ranking = 1, Read Mapping Ratio &gt;= 0.5</t>
  </si>
  <si>
    <t>Ganj Dareh, Kermanshah</t>
  </si>
  <si>
    <t>tps001</t>
  </si>
  <si>
    <t>Ganjdareh26</t>
  </si>
  <si>
    <t>SAMEA114806694; SAMEA114638848; SAMEA114806695</t>
  </si>
  <si>
    <t>petrous part of temporal bone, UBERON:0001721</t>
  </si>
  <si>
    <t>0.0082X</t>
  </si>
  <si>
    <t>0.43%</t>
  </si>
  <si>
    <t>tps062</t>
  </si>
  <si>
    <t>SAMEA114806697; SAMEA114806698; SAMEA114806699; SAMEA114638853; SAMEA114806696</t>
  </si>
  <si>
    <t>E-value &gt; 0.001, Reads &gt;= 50, ANI &gt; 96.5%, 5' C&gt;T Damage &gt;= 0.01, Read Mapping Ratio &gt;= 0.5</t>
  </si>
  <si>
    <t>tps083</t>
  </si>
  <si>
    <t>SAMEA114806700; SAMEA114638843; SAMEA114806701</t>
  </si>
  <si>
    <t>Ganjdareh27</t>
  </si>
  <si>
    <t>0.0077X</t>
  </si>
  <si>
    <t>0.45%</t>
  </si>
  <si>
    <t>petrous part of temporal bone, UBERON:0001722</t>
  </si>
  <si>
    <t>98.42%</t>
  </si>
  <si>
    <t>uhs031</t>
  </si>
  <si>
    <t>#15</t>
  </si>
  <si>
    <t>SAMEA114638849; SAMEA114806702; SAMEA114806703</t>
  </si>
  <si>
    <t>E-value &gt; 0.001, Reads &gt;= 50, ANI &gt; 96.5%, 5' C&gt;T Damage &gt;= 0.01, Edit Distance Damage Decay Quality &gt;= 0.5, Read Mapping Ratio &gt;= 0.5</t>
  </si>
  <si>
    <t>Ulucak</t>
  </si>
  <si>
    <t>ulu010</t>
  </si>
  <si>
    <t>SAMEA114638837; SAMEA114806704</t>
  </si>
  <si>
    <t>0.0069X</t>
  </si>
  <si>
    <t>0.42%</t>
  </si>
  <si>
    <t>98.47%</t>
  </si>
  <si>
    <t>#19</t>
  </si>
  <si>
    <t>ulu012</t>
  </si>
  <si>
    <t>SAMEA114806707; SAMEA114638844; SAMEA114806705; SAMEA114806706</t>
  </si>
  <si>
    <t>0.0302X</t>
  </si>
  <si>
    <t>2.69%</t>
  </si>
  <si>
    <t>Yanik1</t>
  </si>
  <si>
    <t>SAMEA113400736</t>
  </si>
  <si>
    <t>E-value &gt; 0.001, Reads &gt;= 50, ANI &gt; 96.5%, 5' C&gt;T Damage &gt;= 0.01, Breadth Ratio &gt;= 0.8, Entropy (1000bp) &gt;= 0.8 (bacteria), Edit Distance Damage Decay Quality &gt;= 0.5</t>
  </si>
  <si>
    <t>Yanik Tepe</t>
  </si>
  <si>
    <t>Yanik2</t>
  </si>
  <si>
    <t>SAMEA113400737</t>
  </si>
  <si>
    <t>Yanik3</t>
  </si>
  <si>
    <t>SAMEA113400738</t>
  </si>
  <si>
    <t>0.3129X</t>
  </si>
  <si>
    <t>Hxh2</t>
  </si>
  <si>
    <t>Yanik4</t>
  </si>
  <si>
    <t>SAMEA113400739</t>
  </si>
  <si>
    <t>YG01</t>
  </si>
  <si>
    <t>Zagros3</t>
  </si>
  <si>
    <t>SAMEA113400742</t>
  </si>
  <si>
    <t>Kouhrang</t>
  </si>
  <si>
    <t>6/9</t>
  </si>
  <si>
    <t>E-value &gt; 0.001, Reads &gt;= 1, ANI &gt; 96.5%, Breadth Ratio &gt;= 0.8, Genus Ranking = 1, Read Mapping Ratio &gt;= 0.5</t>
  </si>
  <si>
    <t>Ibex1</t>
  </si>
  <si>
    <t>zah001</t>
  </si>
  <si>
    <t>SAMEA114638847; SAMEA114806708</t>
  </si>
  <si>
    <t>Alpine ibex</t>
  </si>
  <si>
    <t>Zahanata</t>
  </si>
  <si>
    <t>0.0007X</t>
  </si>
  <si>
    <t>0.07%</t>
  </si>
  <si>
    <t>100.00%</t>
  </si>
  <si>
    <t>Abdul1</t>
  </si>
  <si>
    <t>E-value &gt; 0.001, Reads &gt;= 5, ANI &gt; 96.5%, Breadth Ratio &gt;= 0.8</t>
  </si>
  <si>
    <t>SAMEA7368740</t>
  </si>
  <si>
    <t>0.0448X</t>
  </si>
  <si>
    <t>4.34%</t>
  </si>
  <si>
    <t>99.01%</t>
  </si>
  <si>
    <t>Capra, Capra hircus</t>
  </si>
  <si>
    <t>E-value &gt; 0.001, Reads &gt;= 100, ANI &gt; 96.5%, 5' C&gt;T Damage &gt;= 0.01, Breadth Ratio &gt;= 0.8, Entropy (1000bp) &gt;= 0.8 (bacteria), Edit Distance Damage Decay Quality &gt;= 0.5, Genus Ranking = 1, Read Mapping Ratio &gt;= 0.5</t>
  </si>
  <si>
    <t>Tepe Abdul Hosein, Luristan</t>
  </si>
  <si>
    <t>KD024</t>
  </si>
  <si>
    <t>Abdul2</t>
  </si>
  <si>
    <t>SAMEA7368741</t>
  </si>
  <si>
    <t>petrous part of temporal bone, UBERON:0001695</t>
  </si>
  <si>
    <t>0.0136X</t>
  </si>
  <si>
    <t>1.15%</t>
  </si>
  <si>
    <t>Abdul4</t>
  </si>
  <si>
    <t>SAMEA7368742</t>
  </si>
  <si>
    <t>E-value &gt; 0.001, Reads &gt;= 200, ANI &gt; 96.5%, 5' C&gt;T Damage &gt;= 0.01, Breadth Ratio &gt;= 0.8, Edit Distance Damage Decay Quality &gt;= 0.5</t>
  </si>
  <si>
    <t>petrous part of temporal bone, UBERON:0001696</t>
  </si>
  <si>
    <t>Houten-Hoogdijk, Utrecht</t>
  </si>
  <si>
    <t>Capra, Capra aegagrus</t>
  </si>
  <si>
    <t>Abdul5</t>
  </si>
  <si>
    <t>Radius</t>
  </si>
  <si>
    <t>SAMEA7368743</t>
  </si>
  <si>
    <t>3.23%</t>
  </si>
  <si>
    <t>petrous part of temporal bone, UBERON:0001697</t>
  </si>
  <si>
    <t>#4</t>
  </si>
  <si>
    <t>E-value &gt; 0.001, Reads &gt;= 50, ANI &gt; 96.5%, Breadth Ratio &gt;= 0.8, Entropy (1000bp) &gt;= 0.8 (bacteria), Edit Distance Damage Decay Quality &gt;= 0.5, Read Mapping Ratio &gt;= 0.5</t>
  </si>
  <si>
    <t>Abdul6</t>
  </si>
  <si>
    <t>SAMEA7368744</t>
  </si>
  <si>
    <t>petrous part of temporal bone, UBERON:0001698</t>
  </si>
  <si>
    <t>Kaz4</t>
  </si>
  <si>
    <t>Eurasian cattle;Zebu cattle</t>
  </si>
  <si>
    <t>0.0001X</t>
  </si>
  <si>
    <t>0.01%</t>
  </si>
  <si>
    <t>Abdul7</t>
  </si>
  <si>
    <t>SAMEA7368745</t>
  </si>
  <si>
    <t>petrous part of temporal bone, UBERON:0001699</t>
  </si>
  <si>
    <t>Abdul9</t>
  </si>
  <si>
    <t>SAMEA7368746</t>
  </si>
  <si>
    <t>97.73%</t>
  </si>
  <si>
    <t>petrous part of temporal bone, UBERON:0001700</t>
  </si>
  <si>
    <t>Dariali Tamara Fort</t>
  </si>
  <si>
    <t>Acem1</t>
  </si>
  <si>
    <t>Cow</t>
  </si>
  <si>
    <t>SAMEA4450095</t>
  </si>
  <si>
    <t>petrous part of temporal bone, UBERON:0001701</t>
  </si>
  <si>
    <t>1.3156X</t>
  </si>
  <si>
    <t>Acemhöyük, Aksaray Plain</t>
  </si>
  <si>
    <t>69.72%</t>
  </si>
  <si>
    <t>99.48%</t>
  </si>
  <si>
    <t>Acem2</t>
  </si>
  <si>
    <t>SAMEA4591761</t>
  </si>
  <si>
    <t>petrous part of temporal bone, UBERON:0001702</t>
  </si>
  <si>
    <t>Ainghazal1</t>
  </si>
  <si>
    <t>SAMEA4589057</t>
  </si>
  <si>
    <t>Uncertain</t>
  </si>
  <si>
    <t>petrous part of temporal bone, UBERON:0001703</t>
  </si>
  <si>
    <t>0.0039X</t>
  </si>
  <si>
    <t>0.38%</t>
  </si>
  <si>
    <t>metacarpal (fetous)</t>
  </si>
  <si>
    <t>Jordan</t>
  </si>
  <si>
    <t>98.94%</t>
  </si>
  <si>
    <t>Ain Ghazal, Amman</t>
  </si>
  <si>
    <t>Ainghazal2</t>
  </si>
  <si>
    <t>SAMEA4589058</t>
  </si>
  <si>
    <t>petrous part of temporal bone, UBERON:0001704</t>
  </si>
  <si>
    <t>1.34%</t>
  </si>
  <si>
    <t>Ainghazal3</t>
  </si>
  <si>
    <t>SAMEA4589059</t>
  </si>
  <si>
    <t>98.77%</t>
  </si>
  <si>
    <t>petrous part of temporal bone, UBERON:0001705</t>
  </si>
  <si>
    <t>E-value &gt; 0.001, Reads &gt;= 50, ANI &gt; 96.5%, 5' C&gt;T Damage &gt;= 0.01, Breadth Ratio &gt;= 0.8, Edit Distance Damage Decay Quality &gt;= 0.5, Edit Distance No-Damage Decay Quality &gt;= 0.6, Read Mapping Ratio &gt;= 0.5</t>
  </si>
  <si>
    <t>Maxilla mit M3 bis M1</t>
  </si>
  <si>
    <t>Ainghazal4</t>
  </si>
  <si>
    <t>SAMEA4589060</t>
  </si>
  <si>
    <t>#25</t>
  </si>
  <si>
    <t>AP38</t>
  </si>
  <si>
    <t>Zolotarevka 6</t>
  </si>
  <si>
    <t>SAMEA4609718</t>
  </si>
  <si>
    <t>E-value &gt; 0.001, Reads &gt;= 50, ANI &gt; 96.5%, Breadth Ratio &gt;= 0.8, Edit Distance Damage Decay Quality &gt;= 0.5, Read Mapping Ratio &gt;= 0.5</t>
  </si>
  <si>
    <t>Aşağı Pınar, Kırklareli</t>
  </si>
  <si>
    <t>AP44</t>
  </si>
  <si>
    <t>SAMEA4609719</t>
  </si>
  <si>
    <t>0.0057X</t>
  </si>
  <si>
    <t>0.56%</t>
  </si>
  <si>
    <t>99.02%</t>
  </si>
  <si>
    <t>E-value &gt; 0.001, Reads &gt;= 50, ANI &gt; 96.5%, Breadth Ratio &gt;= 0.8, Edit Distance Damage Decay Quality &gt;= 0.5, Edit Distance No-Damage Decay Quality &gt;= 0.6, Read Mapping Ratio &gt;= 0.5</t>
  </si>
  <si>
    <t>AP45</t>
  </si>
  <si>
    <t>SAMEA4609137</t>
  </si>
  <si>
    <t>mandibula + teeth</t>
  </si>
  <si>
    <t>AP46</t>
  </si>
  <si>
    <t>SAMEA4609720</t>
  </si>
  <si>
    <t>0.0033X</t>
  </si>
  <si>
    <t>0.32%</t>
  </si>
  <si>
    <t>E-value &gt; 0.001, Reads &gt;= 50, ANI &gt; 96.5%, 5' C&gt;T Damage &gt;= 0.01, Breadth Ratio &gt;= 0.8, Edit Distance No-Damage Decay Quality &gt;= 0.6, Genus Ranking = 1</t>
  </si>
  <si>
    <t>AP49</t>
  </si>
  <si>
    <t>SAMEA4609138</t>
  </si>
  <si>
    <t>YG13</t>
  </si>
  <si>
    <t>Ipatovo 5</t>
  </si>
  <si>
    <t>AP50</t>
  </si>
  <si>
    <t>SAMEA4609721</t>
  </si>
  <si>
    <t>99.71%</t>
  </si>
  <si>
    <t>E-value &gt; 0.001, Reads &gt;= 5, ANI &gt; 96.5%, Breadth Ratio &gt;= 0.8, Read Mapping Ratio &gt;= 0.5</t>
  </si>
  <si>
    <t>Azer4</t>
  </si>
  <si>
    <t>SAMEA4591767</t>
  </si>
  <si>
    <t>0.0107X</t>
  </si>
  <si>
    <t>1.03%</t>
  </si>
  <si>
    <t>Tepe Hasanlu, Azerbaijan</t>
  </si>
  <si>
    <t>Ipatovo 3</t>
  </si>
  <si>
    <t>98.96%</t>
  </si>
  <si>
    <t>Azer6</t>
  </si>
  <si>
    <t>SAMEA4609141</t>
  </si>
  <si>
    <t>E-value &gt; 0.001, Reads &gt;= 200, ANI &gt; 96.5%, Breadth Ratio &gt;= 0.8, Edit Distance No-Damage Decay Quality &gt;= 0.6, Read Mapping Ratio &gt;= 0.5</t>
  </si>
  <si>
    <t>Maxilla + teeth</t>
  </si>
  <si>
    <t>Soha Chay Tepe, Azerbaijan</t>
  </si>
  <si>
    <t>0.0416X</t>
  </si>
  <si>
    <t>Blagotin1</t>
  </si>
  <si>
    <t>3.89%</t>
  </si>
  <si>
    <t>SAMEA4588076</t>
  </si>
  <si>
    <t>Sharakhalsun 3</t>
  </si>
  <si>
    <t>E-value &gt; 0.001, Reads &gt;= 50, ANI &gt; 96.5%, 5' C&gt;T Damage &gt;= 0.01, Breadth Ratio &gt;= 0.8, Entropy (1000bp) &gt;= 0.8 (bacteria), Edit Distance Damage Decay Quality &gt;= 0.5, Read Mapping Ratio &gt;= 0.5</t>
  </si>
  <si>
    <t>Blagotin-Poljna, Trstenik</t>
  </si>
  <si>
    <t>Blagotin2</t>
  </si>
  <si>
    <t>SAMEA4589055</t>
  </si>
  <si>
    <t>97.33%</t>
  </si>
  <si>
    <t>Blagotin3</t>
  </si>
  <si>
    <t>SAMEA4588077</t>
  </si>
  <si>
    <t>teeth (M3), left</t>
  </si>
  <si>
    <t>1.7342X</t>
  </si>
  <si>
    <t>77.3%</t>
  </si>
  <si>
    <t>Blagotin16</t>
  </si>
  <si>
    <t>SAMEA4589056</t>
  </si>
  <si>
    <t>Turkmenistan</t>
  </si>
  <si>
    <t>Monjukli Depe</t>
  </si>
  <si>
    <t>Bulak1</t>
  </si>
  <si>
    <t>SAMEA4607414</t>
  </si>
  <si>
    <t>0.0055X</t>
  </si>
  <si>
    <t>0.53%</t>
  </si>
  <si>
    <t>Tilla Bulak, Surkhandarja</t>
  </si>
  <si>
    <t>#18</t>
  </si>
  <si>
    <t>Bulak2</t>
  </si>
  <si>
    <t>SAMEA4607415</t>
  </si>
  <si>
    <t>Mandibula + teeth (juvenile-subadult)</t>
  </si>
  <si>
    <t>0.0088X</t>
  </si>
  <si>
    <t>Bulak3</t>
  </si>
  <si>
    <t>0.87%</t>
  </si>
  <si>
    <t>SAMEA4607416</t>
  </si>
  <si>
    <t>98.68%</t>
  </si>
  <si>
    <t>#13</t>
  </si>
  <si>
    <t>Bulak4</t>
  </si>
  <si>
    <t>SAMEA4609722</t>
  </si>
  <si>
    <t>humerus(foet)</t>
  </si>
  <si>
    <t>0.0029X</t>
  </si>
  <si>
    <t>metatarsal (fetal)</t>
  </si>
  <si>
    <t>98.71%</t>
  </si>
  <si>
    <t>3/9</t>
  </si>
  <si>
    <t>E-value &gt; 0.001, Reads &gt;= 50, ANI &gt; 96.5%</t>
  </si>
  <si>
    <t>pars petrous</t>
  </si>
  <si>
    <t>Tepe Guran</t>
  </si>
  <si>
    <t>0.39%</t>
  </si>
  <si>
    <t>E-value &gt; 0.001, Reads &gt;= 50, ANI &gt; 96.5%, Breadth Ratio &gt;= 0.8, Edit Distance Damage Decay Quality &gt;= 0.5, Edit Distance No-Damage Decay Quality &gt;= 0.6, Genus Ranking = 1</t>
  </si>
  <si>
    <t>YG14</t>
  </si>
  <si>
    <t>0.0022X</t>
  </si>
  <si>
    <t>0.22%</t>
  </si>
  <si>
    <t>0.0105X</t>
  </si>
  <si>
    <t>1.02%</t>
  </si>
  <si>
    <t>E-value &gt; 0.001, Reads &gt;= 200, ANI &gt; 96.5%, 5' C&gt;T Damage &gt;= 0.01, Breadth Ratio &gt;= 0.8, Edit Distance Damage Decay Quality &gt;= 0.5, Edit Distance No-Damage Decay Quality &gt;= 0.6, Read Mapping Ratio &gt;= 0.5</t>
  </si>
  <si>
    <t>Bulak5</t>
  </si>
  <si>
    <t>SAMEA4607417</t>
  </si>
  <si>
    <t>0.0322X</t>
  </si>
  <si>
    <t>3.07%</t>
  </si>
  <si>
    <t>Caucasus1</t>
  </si>
  <si>
    <t>SAMEA13853347</t>
  </si>
  <si>
    <t>metacarpal, UBERON:0002374</t>
  </si>
  <si>
    <t>East Caucasian tur</t>
  </si>
  <si>
    <t>0.77%</t>
  </si>
  <si>
    <t>Capra, Capra cylindricornis</t>
  </si>
  <si>
    <t>Tamara Fort, Kazbegi</t>
  </si>
  <si>
    <t>E-value &gt; 0.001, Reads &gt;= 50, ANI &gt; 96.5%, 5' C&gt;T Damage &gt;= 0.01, Breadth Ratio &gt;= 0.8, Edit Distance No-Damage Decay Quality &gt;= 0.6, Genus Ranking = 1, Read Mapping Ratio &gt;= 0.5</t>
  </si>
  <si>
    <t>Caucasus2</t>
  </si>
  <si>
    <t>SAMEA13853348</t>
  </si>
  <si>
    <t>0.0044X</t>
  </si>
  <si>
    <t>Caucasus3</t>
  </si>
  <si>
    <t>SAMEA13853349</t>
  </si>
  <si>
    <t>pars petrous(same as LL081 and LL109)</t>
  </si>
  <si>
    <t>99.07%</t>
  </si>
  <si>
    <t>Cav8</t>
  </si>
  <si>
    <t>SAMEA4609723</t>
  </si>
  <si>
    <t>0.007X</t>
  </si>
  <si>
    <t>#14</t>
  </si>
  <si>
    <t>Čavdar, Sofia District</t>
  </si>
  <si>
    <t>Mandibule, P3,M1,M2,M3</t>
  </si>
  <si>
    <t>SAMEA4609142</t>
  </si>
  <si>
    <t>0.0021X</t>
  </si>
  <si>
    <t>Darre1</t>
  </si>
  <si>
    <t>99.06%</t>
  </si>
  <si>
    <t>SAMEA4609143</t>
  </si>
  <si>
    <t>Dariali</t>
  </si>
  <si>
    <t>petrous part of temporal bone, UBERON:0001707</t>
  </si>
  <si>
    <t>Darre-ye Bolāghi, Fars</t>
  </si>
  <si>
    <t>P2, P3, P4, M1, M2, M3</t>
  </si>
  <si>
    <t>Darre2</t>
  </si>
  <si>
    <t>SAMEA4607426</t>
  </si>
  <si>
    <t>E-value &gt; 0.001, Reads &gt;= 50, ANI &gt; 96.5%, Breadth Ratio &gt;= 0.8, Edit Distance Damage Decay Quality &gt;= 0.5, Genus Ranking = 1</t>
  </si>
  <si>
    <t>Iskijkat</t>
  </si>
  <si>
    <t>Direkli1</t>
  </si>
  <si>
    <t>SAMEA4453841</t>
  </si>
  <si>
    <t>YG15</t>
  </si>
  <si>
    <t>99.32%</t>
  </si>
  <si>
    <t>SAMEA4453842</t>
  </si>
  <si>
    <t>Bukhara</t>
  </si>
  <si>
    <t>P3, P4, M1, M2, M3</t>
  </si>
  <si>
    <t>Direkli4</t>
  </si>
  <si>
    <t>SAMEA4609724</t>
  </si>
  <si>
    <t>0.0071X</t>
  </si>
  <si>
    <t>0.71%</t>
  </si>
  <si>
    <t>Taurasian tur</t>
  </si>
  <si>
    <t>Capra, unclassified Capra</t>
  </si>
  <si>
    <t>98.89%</t>
  </si>
  <si>
    <t>E-value &gt; 0.001, Reads &gt;= 200, ANI &gt; 96.5%, Breadth Ratio &gt;= 0.8, Edit Distance Damage Decay Quality &gt;= 0.5, Edit Distance No-Damage Decay Quality &gt;= 0.6, Read Mapping Ratio &gt;= 0.5</t>
  </si>
  <si>
    <t>Kafir-Kala</t>
  </si>
  <si>
    <t>Direkli5</t>
  </si>
  <si>
    <t>SAMEA4588078</t>
  </si>
  <si>
    <t>0.0244X</t>
  </si>
  <si>
    <t>2.38%</t>
  </si>
  <si>
    <t>E-value &gt; 0.001, Reads &gt;= 50, ANI &gt; 96.5%, Breadth Ratio &gt;= 0.8, Entropy (1000bp) &gt;= 0.8 (bacteria), Edit Distance No-Damage Decay Quality &gt;= 0.6, Read Mapping Ratio &gt;= 0.5</t>
  </si>
  <si>
    <t>Direkli6</t>
  </si>
  <si>
    <t>SAMEA4591773</t>
  </si>
  <si>
    <t>P3, P4, M1, M2,, M3</t>
  </si>
  <si>
    <t>98.98%</t>
  </si>
  <si>
    <t>Direkli9</t>
  </si>
  <si>
    <t>SAMEA13854921</t>
  </si>
  <si>
    <t>E-value &gt; 0.001, Reads &gt;= 50, ANI &gt; 96.5%, 5' C&gt;T Damage &gt;= 0.01, Edit Distance Damage Decay Quality &gt;= 0.5, Edit Distance No-Damage Decay Quality &gt;= 0.6, Read Mapping Ratio &gt;= 0.5</t>
  </si>
  <si>
    <t>Kakishtuvan</t>
  </si>
  <si>
    <t>Direkli12</t>
  </si>
  <si>
    <t>SAMEA13853341</t>
  </si>
  <si>
    <t>99.51%</t>
  </si>
  <si>
    <t>Direkli13</t>
  </si>
  <si>
    <t>SAMEA13853342</t>
  </si>
  <si>
    <t>long bone, UBERON:0002496</t>
  </si>
  <si>
    <t>Direkli14</t>
  </si>
  <si>
    <t>SAMEA13853343</t>
  </si>
  <si>
    <t>long bone, UBERON:0002497</t>
  </si>
  <si>
    <t>#16</t>
  </si>
  <si>
    <t>Direkli15</t>
  </si>
  <si>
    <t>SAMEA13853344</t>
  </si>
  <si>
    <t>long bone, UBERON:0002498</t>
  </si>
  <si>
    <t>0.0047X</t>
  </si>
  <si>
    <t>0.46%</t>
  </si>
  <si>
    <t>Metapodia (perinatal)</t>
  </si>
  <si>
    <t>Direkli16</t>
  </si>
  <si>
    <t>SAMEA13853345</t>
  </si>
  <si>
    <t>#12</t>
  </si>
  <si>
    <t>long bone, UBERON:0002499</t>
  </si>
  <si>
    <t>Ali Kosh</t>
  </si>
  <si>
    <t>Direkli17</t>
  </si>
  <si>
    <t>SAMEA13853346</t>
  </si>
  <si>
    <t>long bone, UBERON:0002500</t>
  </si>
  <si>
    <t>0.16%</t>
  </si>
  <si>
    <t>98.93%</t>
  </si>
  <si>
    <t>Dra34</t>
  </si>
  <si>
    <t>SAMEA4609725</t>
  </si>
  <si>
    <t>Drama-Merdžumekja</t>
  </si>
  <si>
    <t>SAMEA13853351</t>
  </si>
  <si>
    <t>Fars1</t>
  </si>
  <si>
    <t>SAMEA4609144</t>
  </si>
  <si>
    <t>YG16</t>
  </si>
  <si>
    <t>Rahmat Abad, Fars</t>
  </si>
  <si>
    <t>Monjukli2</t>
  </si>
  <si>
    <t>Fars2-5</t>
  </si>
  <si>
    <t>SAMEA4609145</t>
  </si>
  <si>
    <t>0.0038X</t>
  </si>
  <si>
    <t>petrous part of temporal bone, UBERON:0001710</t>
  </si>
  <si>
    <t>Fars4</t>
  </si>
  <si>
    <t>SAMEA4591769</t>
  </si>
  <si>
    <t>Mianroud, Fars</t>
  </si>
  <si>
    <t>Monjukli Depe, Meana-Čaača</t>
  </si>
  <si>
    <t>Ganjdareh1</t>
  </si>
  <si>
    <t>Murciélagos1</t>
  </si>
  <si>
    <t>SAMEA7368721</t>
  </si>
  <si>
    <t>0.15%</t>
  </si>
  <si>
    <t>E-value &gt; 0.001, Reads &gt;= 5, ANI &gt; 96.5%, 5' C&gt;T Damage &gt;= 0.01, Breadth Ratio &gt;= 0.8, Edit Distance No-Damage Decay Quality &gt;= 0.6, Read Mapping Ratio &gt;= 0.5</t>
  </si>
  <si>
    <t>Ganjdareh2</t>
  </si>
  <si>
    <t>SAMEA7368731</t>
  </si>
  <si>
    <t>petrous part of temporal bone, UBERON:0001715</t>
  </si>
  <si>
    <t>Cueva de los Murciélagos</t>
  </si>
  <si>
    <t>Ganjdareh3</t>
  </si>
  <si>
    <t>SAMEA7368734</t>
  </si>
  <si>
    <t>0.63%</t>
  </si>
  <si>
    <t>petrous part of temporal bone, UBERON:0001725</t>
  </si>
  <si>
    <t>E-value &gt; 0.001, Reads &gt;= 200, ANI &gt; 96.5%, 5' C&gt;T Damage &gt;= 0.01, Breadth Ratio &gt;= 0.8, Edit Distance No-Damage Decay Quality &gt;= 0.6, Read Mapping Ratio &gt;= 0.5</t>
  </si>
  <si>
    <t>Ganjdareh5</t>
  </si>
  <si>
    <t>SAMEA7368735</t>
  </si>
  <si>
    <t>petrous part of temporal bone, UBERON:0001729</t>
  </si>
  <si>
    <t>0.0193X</t>
  </si>
  <si>
    <t>Ganjdareh6</t>
  </si>
  <si>
    <t>1.89%</t>
  </si>
  <si>
    <t>SAMEA7368736</t>
  </si>
  <si>
    <t>petrous part of temporal bone, UBERON:0001730</t>
  </si>
  <si>
    <t>Ganjdareh7</t>
  </si>
  <si>
    <t>SAMEA7368737</t>
  </si>
  <si>
    <t>petrous part of temporal bone, UBERON:0001731</t>
  </si>
  <si>
    <t>0.0031X</t>
  </si>
  <si>
    <t>Ganjdareh8</t>
  </si>
  <si>
    <t>99.37%</t>
  </si>
  <si>
    <t>SAMEA7368738</t>
  </si>
  <si>
    <t>petrous part of temporal bone, UBERON:0001732</t>
  </si>
  <si>
    <t>Potterne1</t>
  </si>
  <si>
    <t>Ganjdareh9</t>
  </si>
  <si>
    <t>SAMEA7368739</t>
  </si>
  <si>
    <t>petrous part of temporal bone, UBERON:0001733</t>
  </si>
  <si>
    <t>0.3%</t>
  </si>
  <si>
    <t>Ganjdareh10</t>
  </si>
  <si>
    <t>Potterne, Wiltshire</t>
  </si>
  <si>
    <t>SAMEA7368715</t>
  </si>
  <si>
    <t>petrous part of temporal bone, UBERON:0001709</t>
  </si>
  <si>
    <t>0.0045X</t>
  </si>
  <si>
    <t>Ganjdareh14</t>
  </si>
  <si>
    <t>SAMEA7368716</t>
  </si>
  <si>
    <t>RF002</t>
  </si>
  <si>
    <t>0.001X</t>
  </si>
  <si>
    <t>0.1%</t>
  </si>
  <si>
    <t>Ganjdareh15</t>
  </si>
  <si>
    <t>Teeth</t>
  </si>
  <si>
    <t>SAMEA7368717</t>
  </si>
  <si>
    <t>98.90%</t>
  </si>
  <si>
    <t>petrous part of temporal bone, UBERON:0001711</t>
  </si>
  <si>
    <t>Ganjdareh16</t>
  </si>
  <si>
    <t>SAMEA7368718</t>
  </si>
  <si>
    <t>Louvres, France</t>
  </si>
  <si>
    <t>petrous part of temporal bone, UBERON:0001712</t>
  </si>
  <si>
    <t>RF003</t>
  </si>
  <si>
    <t>98.46%</t>
  </si>
  <si>
    <t>Ganjdareh18</t>
  </si>
  <si>
    <t>SAMEA7368719</t>
  </si>
  <si>
    <t>YG17</t>
  </si>
  <si>
    <t>petrous part of temporal bone, UBERON:0001713</t>
  </si>
  <si>
    <t>Louvres ""Rue de Bouteiller""</t>
  </si>
  <si>
    <t>Ganjdareh19</t>
  </si>
  <si>
    <t>99.08%</t>
  </si>
  <si>
    <t>SAMEA7368720</t>
  </si>
  <si>
    <t>petrous part of temporal bone, UBERON:0001714</t>
  </si>
  <si>
    <t>Ganjdareh20</t>
  </si>
  <si>
    <t>SAMEA7368722</t>
  </si>
  <si>
    <t>petrous part of temporal bone, UBERON:0001716</t>
  </si>
  <si>
    <t>0.01X</t>
  </si>
  <si>
    <t>1%</t>
  </si>
  <si>
    <t>98.62%</t>
  </si>
  <si>
    <t>E-value &gt; 0.001, Reads &gt;= 50, ANI &gt; 96.5%, 5' C&gt;T Damage &gt;= 0.01, Breadth Ratio &gt;= 0.8, Edit Distance Damage Decay Quality &gt;= 0.5, Read Mapping Ratio &gt;= 0.5</t>
  </si>
  <si>
    <t>Ganjdareh21</t>
  </si>
  <si>
    <t>SAMEA7368723</t>
  </si>
  <si>
    <t>petrous part of temporal bone, UBERON:0001717</t>
  </si>
  <si>
    <t>0.0011X</t>
  </si>
  <si>
    <t>0.11%</t>
  </si>
  <si>
    <t>Ganjdareh22</t>
  </si>
  <si>
    <t>SAMEA7368724</t>
  </si>
  <si>
    <t>RF004MAX</t>
  </si>
  <si>
    <t>petrous part of temporal bone, UBERON:0001718</t>
  </si>
  <si>
    <t>YG18</t>
  </si>
  <si>
    <t>Ganjdareh23</t>
  </si>
  <si>
    <t>SAMEA7368725</t>
  </si>
  <si>
    <t>petrous part of temporal bone, UBERON:0001719</t>
  </si>
  <si>
    <t>RF005MAN</t>
  </si>
  <si>
    <t>99.13%</t>
  </si>
  <si>
    <t>SAMEA7368726</t>
  </si>
  <si>
    <t>0.0128X</t>
  </si>
  <si>
    <t>1.25%</t>
  </si>
  <si>
    <t>SAMEA7368727</t>
  </si>
  <si>
    <t>RF009</t>
  </si>
  <si>
    <t>SAMEA7368728</t>
  </si>
  <si>
    <t>0.0046X</t>
  </si>
  <si>
    <t>E-value &gt; 0.001, Reads &gt;= 50, ANI &gt; 96.5%, 5' C&gt;T Damage &gt;= 0.01, Breadth Ratio &gt;= 0.8, Edit Distance Damage Decay Quality &gt;= 0.5, Genus Ranking = 1, Read Mapping Ratio &gt;= 0.5</t>
  </si>
  <si>
    <t>Ganjdareh28</t>
  </si>
  <si>
    <t>SAMEA7368729</t>
  </si>
  <si>
    <t>petrous part of temporal bone, UBERON:0001723</t>
  </si>
  <si>
    <t>0.0025X</t>
  </si>
  <si>
    <t>0.25%</t>
  </si>
  <si>
    <t>Ganjdareh29</t>
  </si>
  <si>
    <t>ROS002</t>
  </si>
  <si>
    <t>SAMEA7368730</t>
  </si>
  <si>
    <t>petrous part of temporal bone, UBERON:0001724</t>
  </si>
  <si>
    <t>astragalus, UBERON:4200021</t>
  </si>
  <si>
    <t>Ganjdareh34</t>
  </si>
  <si>
    <t>SAMEA7368732</t>
  </si>
  <si>
    <t>0.0005X</t>
  </si>
  <si>
    <t>petrous part of temporal bone, UBERON:0001726</t>
  </si>
  <si>
    <t>Kazakhstan</t>
  </si>
  <si>
    <t>Roshchinskoe</t>
  </si>
  <si>
    <t>STK240</t>
  </si>
  <si>
    <t>Ganjdareh35</t>
  </si>
  <si>
    <t>SAMEA7368733</t>
  </si>
  <si>
    <t>petrous part of temporal bone, UBERON:0001727</t>
  </si>
  <si>
    <t>0.0009X</t>
  </si>
  <si>
    <t>0.09%</t>
  </si>
  <si>
    <t>Geor2</t>
  </si>
  <si>
    <t>SAMEA4609146</t>
  </si>
  <si>
    <t>YG28</t>
  </si>
  <si>
    <t>Ghosh5</t>
  </si>
  <si>
    <t>SAMEA4609147</t>
  </si>
  <si>
    <t>Tunisia</t>
  </si>
  <si>
    <t>0.006X</t>
  </si>
  <si>
    <t>Althiburos</t>
  </si>
  <si>
    <t>0.6%</t>
  </si>
  <si>
    <t>Abu Ghosh, Judean Hills</t>
  </si>
  <si>
    <t>Shiderti10</t>
  </si>
  <si>
    <t>99.15%</t>
  </si>
  <si>
    <t>Gilat2</t>
  </si>
  <si>
    <t>SAMEA4609149</t>
  </si>
  <si>
    <t>molar tooth, UBERON:0003655</t>
  </si>
  <si>
    <t>Gilat, Northern Negev</t>
  </si>
  <si>
    <t>Gilat8</t>
  </si>
  <si>
    <t>SAMEA4609150</t>
  </si>
  <si>
    <t>0.0231X</t>
  </si>
  <si>
    <t>Shiderti 10, Pavlodar region</t>
  </si>
  <si>
    <t>2.21%</t>
  </si>
  <si>
    <t>Shimao06</t>
  </si>
  <si>
    <t>98.48%</t>
  </si>
  <si>
    <t>Gilat10</t>
  </si>
  <si>
    <t>SAMEA4609148</t>
  </si>
  <si>
    <t>China</t>
  </si>
  <si>
    <t>Hovk1</t>
  </si>
  <si>
    <t>Shimao</t>
  </si>
  <si>
    <t>SAMEA4607418</t>
  </si>
  <si>
    <t>Shimao08</t>
  </si>
  <si>
    <t>99.39%</t>
  </si>
  <si>
    <t>E-value &gt; 0.001, Reads &gt;= 50, ANI &gt; 96.5%, Breadth Ratio &gt;= 0.8, Genus Ranking = 1, Read Mapping Ratio &gt;= 0.5</t>
  </si>
  <si>
    <t>Armenia</t>
  </si>
  <si>
    <t>Hovk-1 Cave, Tavush</t>
  </si>
  <si>
    <t>SAMEA13853352</t>
  </si>
  <si>
    <t>Capra, Capra ibex</t>
  </si>
  <si>
    <t>Sibirica2</t>
  </si>
  <si>
    <t>98.38%</t>
  </si>
  <si>
    <t>Ibex2</t>
  </si>
  <si>
    <t>SAMEA13853353</t>
  </si>
  <si>
    <t>Pointe de Calabre, France</t>
  </si>
  <si>
    <t>Kan19</t>
  </si>
  <si>
    <t>SAMEA4609726</t>
  </si>
  <si>
    <t>98.44%</t>
  </si>
  <si>
    <t>VEM185</t>
  </si>
  <si>
    <t>Kanlıgeçit, Kırklareli</t>
  </si>
  <si>
    <t>Kan23</t>
  </si>
  <si>
    <t>SAMEA4609727</t>
  </si>
  <si>
    <t>0.0043X</t>
  </si>
  <si>
    <t>Durrington Walls</t>
  </si>
  <si>
    <t>Kan25</t>
  </si>
  <si>
    <t>SAMEA4609728</t>
  </si>
  <si>
    <t>Var1</t>
  </si>
  <si>
    <t>Kazbegi1</t>
  </si>
  <si>
    <t>SAMEA4591770</t>
  </si>
  <si>
    <t>97.82%</t>
  </si>
  <si>
    <t>Varfolomeevka</t>
  </si>
  <si>
    <t>Kohneh2</t>
  </si>
  <si>
    <t>Vratsa1</t>
  </si>
  <si>
    <t>SAMEA4609151</t>
  </si>
  <si>
    <t>E-value &gt; 0.001, Reads &gt;= 1, ANI &gt; 96.5%, Breadth Ratio &gt;= 0.8, Read Mapping Ratio &gt;= 0.5</t>
  </si>
  <si>
    <t>Kohneh Tepesi, Azerbaijan</t>
  </si>
  <si>
    <t>Kov27</t>
  </si>
  <si>
    <t>SAMEA4609729</t>
  </si>
  <si>
    <t>0.34%</t>
  </si>
  <si>
    <t>Vratsa</t>
  </si>
  <si>
    <t>98.82%</t>
  </si>
  <si>
    <t>Walie1</t>
  </si>
  <si>
    <t>Kovačevo, Blagoevgrad</t>
  </si>
  <si>
    <t>Walia ibex</t>
  </si>
  <si>
    <t>Kov57</t>
  </si>
  <si>
    <t>SAMEA4609139</t>
  </si>
  <si>
    <t>3.5904X</t>
  </si>
  <si>
    <t>86.7%</t>
  </si>
  <si>
    <t>Kov60</t>
  </si>
  <si>
    <t>SAMEA4609730</t>
  </si>
  <si>
    <t>99.75%</t>
  </si>
  <si>
    <t>Lur12</t>
  </si>
  <si>
    <t>SAMEA4591774</t>
  </si>
  <si>
    <t>0.0026X</t>
  </si>
  <si>
    <t>97.65%</t>
  </si>
  <si>
    <t>Win1</t>
  </si>
  <si>
    <t>Lur9</t>
  </si>
  <si>
    <t>E-value &gt; 0.001, Reads &gt;= 20, ANI &gt; 96.5%, 5' C&gt;T Damage &gt;= 0.01, Read Mapping Ratio &gt;= 0.5</t>
  </si>
  <si>
    <t>SAMEA4609152</t>
  </si>
  <si>
    <t>Kelek Asad Morad, Luristan</t>
  </si>
  <si>
    <t>Miqne5</t>
  </si>
  <si>
    <t>0.0073X</t>
  </si>
  <si>
    <t>SAMEA4609153</t>
  </si>
  <si>
    <t>Winsum-Bruggeburen</t>
  </si>
  <si>
    <t>98.73%</t>
  </si>
  <si>
    <t>Tel Miqne-Ekron, Shephelah</t>
  </si>
  <si>
    <t>Parchment</t>
  </si>
  <si>
    <t>parchment</t>
  </si>
  <si>
    <t>SAMEA4607421</t>
  </si>
  <si>
    <t>0.2961X</t>
  </si>
  <si>
    <t>18.79%</t>
  </si>
  <si>
    <t>Canterbury</t>
  </si>
  <si>
    <t>Monjukli4</t>
  </si>
  <si>
    <t>E-value &gt; 0.001, Reads &gt;= 50, ANI &gt; 96.5%, Entropy (1000bp) &gt;= 0.8 (bacteria), Edit Distance Damage Decay Quality &gt;= 0.5, Read Mapping Ratio &gt;= 0.5</t>
  </si>
  <si>
    <t>SAMEA4607422</t>
  </si>
  <si>
    <t>Monjukli6</t>
  </si>
  <si>
    <t>SAMEA4609154</t>
  </si>
  <si>
    <t>99.42%</t>
  </si>
  <si>
    <t>Monjukli7</t>
  </si>
  <si>
    <t>SAMEA4609731</t>
  </si>
  <si>
    <t>Monjukli8</t>
  </si>
  <si>
    <t>SAMEA4607419</t>
  </si>
  <si>
    <t>97.96%</t>
  </si>
  <si>
    <t>Monjukli9</t>
  </si>
  <si>
    <t>SAMEA4609732</t>
  </si>
  <si>
    <t>#40</t>
  </si>
  <si>
    <t>Monjukli1</t>
  </si>
  <si>
    <t>SAMEA4607420</t>
  </si>
  <si>
    <t>Nubiana1</t>
  </si>
  <si>
    <t>SAMEA13853359</t>
  </si>
  <si>
    <t>Nubian ibex</t>
  </si>
  <si>
    <t>Capra, Capra nubiana</t>
  </si>
  <si>
    <t>#31</t>
  </si>
  <si>
    <t>Born at the Muséum national d'Histoire naturelle zoo, France,</t>
  </si>
  <si>
    <t>OB21-04</t>
  </si>
  <si>
    <t>SAMEA8022722</t>
  </si>
  <si>
    <t>0.0398X</t>
  </si>
  <si>
    <t>3.25%</t>
  </si>
  <si>
    <t>Obisir V</t>
  </si>
  <si>
    <t>Yarmut1</t>
  </si>
  <si>
    <t>#26</t>
  </si>
  <si>
    <t>Ovc11</t>
  </si>
  <si>
    <t>SAMEA4609733</t>
  </si>
  <si>
    <t>Ovčarovo-gorata, Tărgovište</t>
  </si>
  <si>
    <t>Pie17</t>
  </si>
  <si>
    <t>SAMEA4609734</t>
  </si>
  <si>
    <t>Tel Yarmuth, Bet Shemesh</t>
  </si>
  <si>
    <t>E-value &gt; 0.001, Reads &gt;= 50, ANI &gt; 96.5%, 5' C&gt;T Damage &gt;= 0.01, Breadth Ratio &gt;= 0.8, Edit Distance Damage Decay Quality &gt;= 0.5</t>
  </si>
  <si>
    <t>Pietrele, Giurgiu</t>
  </si>
  <si>
    <t>SAMEA4591772</t>
  </si>
  <si>
    <t>0.0013X</t>
  </si>
  <si>
    <t>Zea1</t>
  </si>
  <si>
    <t>Pyrenica2</t>
  </si>
  <si>
    <t>98.29%</t>
  </si>
  <si>
    <t>SAMEA13853358</t>
  </si>
  <si>
    <t>Pyrenean ibex</t>
  </si>
  <si>
    <t>Capra, capra pyrenica</t>
  </si>
  <si>
    <t>Qazvin1</t>
  </si>
  <si>
    <t>SAMEA4591768</t>
  </si>
  <si>
    <t>Denmark</t>
  </si>
  <si>
    <t>0.17%</t>
  </si>
  <si>
    <t>Lundby I</t>
  </si>
  <si>
    <t>Tepe Chizar, Qazvin</t>
  </si>
  <si>
    <t>Safi2</t>
  </si>
  <si>
    <t>E-value &gt; 0.001, Reads &gt;= 50, ANI &gt; 96.5%, 5' C&gt;T Damage &gt;= 0.01, Edit Distance No-Damage Decay Quality &gt;= 0.6, Read Mapping Ratio &gt;= 0.5</t>
  </si>
  <si>
    <t>SAMEA4609155</t>
  </si>
  <si>
    <t>Tel es-Safi, Ashkelon</t>
  </si>
  <si>
    <t>0.0184X</t>
  </si>
  <si>
    <t>Semnan1</t>
  </si>
  <si>
    <t>1.74%</t>
  </si>
  <si>
    <t>SAMEA4591756</t>
  </si>
  <si>
    <t>Sang-e Chakhmaq, Semnan</t>
  </si>
  <si>
    <t>Semnan2</t>
  </si>
  <si>
    <t>SAMEA4591757</t>
  </si>
  <si>
    <t>0.0984X</t>
  </si>
  <si>
    <t>4.43%</t>
  </si>
  <si>
    <t>Semnan3</t>
  </si>
  <si>
    <t>SAMEA4591758</t>
  </si>
  <si>
    <t>Semnan7</t>
  </si>
  <si>
    <t>SAMEA4589054</t>
  </si>
  <si>
    <t>Semnan8</t>
  </si>
  <si>
    <t>98.03%</t>
  </si>
  <si>
    <t>SAMEA4591759</t>
  </si>
  <si>
    <t>Semnan9</t>
  </si>
  <si>
    <t>SAMEA4591760</t>
  </si>
  <si>
    <t>0.0523X</t>
  </si>
  <si>
    <t>98.00%</t>
  </si>
  <si>
    <t>Semnan10</t>
  </si>
  <si>
    <t>SAMEA4591755</t>
  </si>
  <si>
    <t>Semnan13</t>
  </si>
  <si>
    <t>SAMEA4607423</t>
  </si>
  <si>
    <t>99.67%</t>
  </si>
  <si>
    <t>Semnan17</t>
  </si>
  <si>
    <t>SAMEA4607424</t>
  </si>
  <si>
    <t>Shiqmim1</t>
  </si>
  <si>
    <t>SAMEA4609156</t>
  </si>
  <si>
    <t>Shiqmim, Northern Negev</t>
  </si>
  <si>
    <t>Shiqmim9</t>
  </si>
  <si>
    <t>SAMEA4609157</t>
  </si>
  <si>
    <t>E-value &gt; 0.001, Reads &gt;= 50, Genus Ranking = 1</t>
  </si>
  <si>
    <t>Sibirica1</t>
  </si>
  <si>
    <t>SAMEA13853354</t>
  </si>
  <si>
    <t>0.0051X</t>
  </si>
  <si>
    <t>SAMEA13853355</t>
  </si>
  <si>
    <t>Tac1</t>
  </si>
  <si>
    <t>SAMEA4609735</t>
  </si>
  <si>
    <t>Tachti Perda, Kakheti</t>
  </si>
  <si>
    <t>99.27%</t>
  </si>
  <si>
    <t>Tac2</t>
  </si>
  <si>
    <t>SAMEA4609736</t>
  </si>
  <si>
    <t>Tac3</t>
  </si>
  <si>
    <t>SAMEA4609140</t>
  </si>
  <si>
    <t>Tur1</t>
  </si>
  <si>
    <t>SAMN10995957</t>
  </si>
  <si>
    <t>West Caucasian tur</t>
  </si>
  <si>
    <t>Capra, Capra caucasica</t>
  </si>
  <si>
    <t>Tur2</t>
  </si>
  <si>
    <t>SAMEA13853356</t>
  </si>
  <si>
    <t>Uiv17</t>
  </si>
  <si>
    <t>SAMEA4609738</t>
  </si>
  <si>
    <t>Uivar, Timişoara</t>
  </si>
  <si>
    <t>Ulu38</t>
  </si>
  <si>
    <t>SAMEA4609737</t>
  </si>
  <si>
    <t>0.0053X</t>
  </si>
  <si>
    <t>Ulucak Höyük</t>
  </si>
  <si>
    <t>SAMEA13853357</t>
  </si>
  <si>
    <t>Capra, Capra walie</t>
  </si>
  <si>
    <t>0.0188X</t>
  </si>
  <si>
    <t>1.75%</t>
  </si>
  <si>
    <t>SAMEA4609158</t>
  </si>
  <si>
    <t>E-value &gt; 0.001, Reads &gt;= 50, ANI &gt; 96.5%, 5' C&gt;T Damage &gt;= 0.01, Breadth Ratio &gt;= 0.8, Entropy (1000bp) &gt;= 0.8 (bacteria), Edit Distance Damage Decay Quality &gt;= 0.5, Genus Ranking = 1</t>
  </si>
  <si>
    <t>Yarmut7</t>
  </si>
  <si>
    <t>SAMEA4609159</t>
  </si>
  <si>
    <t>Yoqneam2</t>
  </si>
  <si>
    <t>SAMEA4591771</t>
  </si>
  <si>
    <t>Tel Yoqne’am, Haifa</t>
  </si>
  <si>
    <t>Haughey1</t>
  </si>
  <si>
    <t>SAMEA120264715</t>
  </si>
  <si>
    <t>99.77%</t>
  </si>
  <si>
    <t>Haughey's Fort</t>
  </si>
  <si>
    <t>Haughey2</t>
  </si>
  <si>
    <t>SAMEA120404914</t>
  </si>
  <si>
    <t>0.79%</t>
  </si>
  <si>
    <t>Haughey3</t>
  </si>
  <si>
    <t>SAMEA120404915</t>
  </si>
  <si>
    <t>Haughey4</t>
  </si>
  <si>
    <t>99.38%</t>
  </si>
  <si>
    <t>SAMEA120404916</t>
  </si>
  <si>
    <t>horn, UBERON:0006967</t>
  </si>
  <si>
    <t>0.0162X</t>
  </si>
  <si>
    <t>0.73%</t>
  </si>
  <si>
    <t>Carrick1</t>
  </si>
  <si>
    <t>SAMEA120264711</t>
  </si>
  <si>
    <t>Carrick2</t>
  </si>
  <si>
    <t>0.0366X</t>
  </si>
  <si>
    <t>SAMEA120264712</t>
  </si>
  <si>
    <t>E-value &gt; 0.001, Reads &gt;= 50, ANI &gt; 96.5%, 5' C&gt;T Damage &gt;= 0.01, Edit Distance No-Damage Decay Quality &gt;= 0.6, Genus Ranking = 1, Read Mapping Ratio &gt;= 0.5</t>
  </si>
  <si>
    <t>SAMEA120264713</t>
  </si>
  <si>
    <t>0.1387X</t>
  </si>
  <si>
    <t>9.09%</t>
  </si>
  <si>
    <t>Carrick4</t>
  </si>
  <si>
    <t>SAMEA120264714</t>
  </si>
  <si>
    <t>E-value &gt; 0.001, Reads &gt;= 50, ANI &gt; 96.5%, 5' C&gt;T Damage &gt;= 0.01, Entropy (1000bp) &gt;= 0.8 (bacteria), Edit Distance Damage Decay Quality &gt;= 0.5, Genus Ranking = 1</t>
  </si>
  <si>
    <t>SAMEA120646530</t>
  </si>
  <si>
    <t>Har1</t>
  </si>
  <si>
    <t>0.0024X</t>
  </si>
  <si>
    <t>SAMEA117479475</t>
  </si>
  <si>
    <t>Sus Scrofa</t>
  </si>
  <si>
    <t>Hardinxveld_De_Bruin</t>
  </si>
  <si>
    <t>Har2</t>
  </si>
  <si>
    <t>0.002X</t>
  </si>
  <si>
    <t>SAMEA117479476</t>
  </si>
  <si>
    <t>0.2%</t>
  </si>
  <si>
    <t>97.68%</t>
  </si>
  <si>
    <t>Hardinxveld_Polderweg</t>
  </si>
  <si>
    <t>Har3</t>
  </si>
  <si>
    <t>SAMEA117479477</t>
  </si>
  <si>
    <t>0.1428X</t>
  </si>
  <si>
    <t>13.09%</t>
  </si>
  <si>
    <t>Sw1</t>
  </si>
  <si>
    <t>SAMEA117479478</t>
  </si>
  <si>
    <t>99.12%</t>
  </si>
  <si>
    <t>Swifterbant S2</t>
  </si>
  <si>
    <t>Sw2</t>
  </si>
  <si>
    <t>SAMEA117479479</t>
  </si>
  <si>
    <t>Swifterbant S3</t>
  </si>
  <si>
    <t>Sw3</t>
  </si>
  <si>
    <t>SAMEA117479480</t>
  </si>
  <si>
    <t>Sch1</t>
  </si>
  <si>
    <t>SAMEA117479481</t>
  </si>
  <si>
    <t>Schipluiden</t>
  </si>
  <si>
    <t>98.95%</t>
  </si>
  <si>
    <t>Sch2</t>
  </si>
  <si>
    <t>n_passing_detections</t>
  </si>
  <si>
    <t>SAMEA117479482</t>
  </si>
  <si>
    <t>pathogens</t>
  </si>
  <si>
    <t>Sch3</t>
  </si>
  <si>
    <t>SAMEA117479483</t>
  </si>
  <si>
    <t>99.34%</t>
  </si>
  <si>
    <t>Har4</t>
  </si>
  <si>
    <t>SAMEA117479484</t>
  </si>
  <si>
    <t>on_map</t>
  </si>
  <si>
    <t>DW3</t>
  </si>
  <si>
    <t>Archeological label</t>
  </si>
  <si>
    <t>SAMEA117479485</t>
  </si>
  <si>
    <t>Durrington_Walls</t>
  </si>
  <si>
    <t>SS17</t>
  </si>
  <si>
    <t>Clostridium perfringens; Erysipelothrix rhusiopathiae</t>
  </si>
  <si>
    <t>SAMC5872269</t>
  </si>
  <si>
    <t>Radius bone, UBERON:0001423</t>
  </si>
  <si>
    <t>Cishan</t>
  </si>
  <si>
    <t>SS23</t>
  </si>
  <si>
    <t>SAMC5872270</t>
  </si>
  <si>
    <t>incisor tooth, UBERON:0001098</t>
  </si>
  <si>
    <t>SS24</t>
  </si>
  <si>
    <t>SAMC5872248</t>
  </si>
  <si>
    <t>right lower third secondary molar tooth, UBERON:8490008</t>
  </si>
  <si>
    <t>0.0008X</t>
  </si>
  <si>
    <t>0.08%</t>
  </si>
  <si>
    <t>SS26</t>
  </si>
  <si>
    <t>SAMC5872249</t>
  </si>
  <si>
    <t>99.14%</t>
  </si>
  <si>
    <t>0.0084X</t>
  </si>
  <si>
    <t>SS2</t>
  </si>
  <si>
    <t>0.83%</t>
  </si>
  <si>
    <t>SAMC5872250</t>
  </si>
  <si>
    <t>98.88%</t>
  </si>
  <si>
    <t>Miaodigou</t>
  </si>
  <si>
    <t>E-value &gt; 0.001, Reads &gt;= 50, ANI &gt; 96.5%, 5' C&gt;T Damage &gt;= 0.01, Breadth Ratio &gt;= 0.8, Edit Distance Damage Decay Quality &gt;= 0.5, Edit Distance No-Damage Decay Quality &gt;= 0.6, Genus Ranking = 1, Read Mapping Ratio &gt;= 0.5</t>
  </si>
  <si>
    <t>SS10</t>
  </si>
  <si>
    <t>SAMC5872251</t>
  </si>
  <si>
    <t>SS13</t>
  </si>
  <si>
    <t>SAMC5872252</t>
  </si>
  <si>
    <t>96.97%</t>
  </si>
  <si>
    <t>Zheng and Han City</t>
  </si>
  <si>
    <t>SS14</t>
  </si>
  <si>
    <t>SAMC5872253</t>
  </si>
  <si>
    <t>0.0156X</t>
  </si>
  <si>
    <t>1.55%</t>
  </si>
  <si>
    <t>HNSS002</t>
  </si>
  <si>
    <t>SAMC5872254</t>
  </si>
  <si>
    <t>E-value &gt; 0.001, Reads &gt;= 200, ANI &gt; 96.5%, 5' C&gt;T Damage &gt;= 0.01, Breadth Ratio &gt;= 0.8, Entropy (1000bp) &gt;= 0.8 (bacteria), Edit Distance No-Damage Decay Quality &gt;= 0.6, Genus Ranking = 1, Read Mapping Ratio &gt;= 0.5</t>
  </si>
  <si>
    <t>Zhucang</t>
  </si>
  <si>
    <t>XBSS002</t>
  </si>
  <si>
    <t>SAMC5872255</t>
  </si>
  <si>
    <t>Gongbeiya</t>
  </si>
  <si>
    <t>NMSS002</t>
  </si>
  <si>
    <t>SAMC5889084</t>
  </si>
  <si>
    <t>Shikouzi</t>
  </si>
  <si>
    <t>HBSS003</t>
  </si>
  <si>
    <t>SAMC5872257</t>
  </si>
  <si>
    <t>Dashuigou</t>
  </si>
  <si>
    <t>HBSS004</t>
  </si>
  <si>
    <t>SAMC5872258</t>
  </si>
  <si>
    <t>HBSS006</t>
  </si>
  <si>
    <t>SAMC5872259</t>
  </si>
  <si>
    <t>Shiyicheng</t>
  </si>
  <si>
    <t>HBSS010</t>
  </si>
  <si>
    <t>SAMC5872260</t>
  </si>
  <si>
    <t>Xitucheng</t>
  </si>
  <si>
    <t>HBSS013</t>
  </si>
  <si>
    <t>SAMC5872261</t>
  </si>
  <si>
    <t>NJSS011</t>
  </si>
  <si>
    <t>SAMC5889085</t>
  </si>
  <si>
    <t>Xuecheng</t>
  </si>
  <si>
    <t>YNSS002</t>
  </si>
  <si>
    <t>SAMC5872263</t>
  </si>
  <si>
    <t>0.0027X</t>
  </si>
  <si>
    <t>0.26%</t>
  </si>
  <si>
    <t>Haimenkou</t>
  </si>
  <si>
    <t>YNSS007</t>
  </si>
  <si>
    <t>SAMC5872264</t>
  </si>
  <si>
    <t>YNSS012</t>
  </si>
  <si>
    <t>SAMC5872265</t>
  </si>
  <si>
    <t>ulna, UBERON:0001424</t>
  </si>
  <si>
    <t>Jicha</t>
  </si>
  <si>
    <t>XJSS003</t>
  </si>
  <si>
    <t>SAMC5872266</t>
  </si>
  <si>
    <t>Halehaxite</t>
  </si>
  <si>
    <t>XJSS006</t>
  </si>
  <si>
    <t>SAMC5872267</t>
  </si>
  <si>
    <t>E-value &gt; 0.001, Reads &gt;= 50, ANI &gt; 96.5%, 5' C&gt;T Damage &gt;= 0.01, Genus Ranking = 1</t>
  </si>
  <si>
    <t>Dalete</t>
  </si>
  <si>
    <t>XJSS007</t>
  </si>
  <si>
    <t>SAMC5872268</t>
  </si>
  <si>
    <t>0.0036X</t>
  </si>
  <si>
    <t>98.14%</t>
  </si>
  <si>
    <t>AA014</t>
  </si>
  <si>
    <t>SAMEA5160866</t>
  </si>
  <si>
    <t>Nivå</t>
  </si>
  <si>
    <t>0.2391X</t>
  </si>
  <si>
    <t>19.76%</t>
  </si>
  <si>
    <t>AA015</t>
  </si>
  <si>
    <t>SAMEA5160867</t>
  </si>
  <si>
    <t>Bundsø</t>
  </si>
  <si>
    <t>AA016</t>
  </si>
  <si>
    <t>SAMEA5160868</t>
  </si>
  <si>
    <t>Trelleborg</t>
  </si>
  <si>
    <t>AA017</t>
  </si>
  <si>
    <t>SAMEA5160869</t>
  </si>
  <si>
    <t>Flynderhage</t>
  </si>
  <si>
    <t>AA019</t>
  </si>
  <si>
    <t>SAMEA5160870</t>
  </si>
  <si>
    <t>United Arab Emirates</t>
  </si>
  <si>
    <t>Kush, Ras al-Khaimah</t>
  </si>
  <si>
    <t>AA021</t>
  </si>
  <si>
    <t>SAMEA5160871</t>
  </si>
  <si>
    <t>Syria</t>
  </si>
  <si>
    <t>Tell Brak</t>
  </si>
  <si>
    <t>AA023</t>
  </si>
  <si>
    <t>SAMEA5160872</t>
  </si>
  <si>
    <t>AA025</t>
  </si>
  <si>
    <t>SAMEA5160873</t>
  </si>
  <si>
    <t>Tol e Bashi</t>
  </si>
  <si>
    <t>98.34%</t>
  </si>
  <si>
    <t>AA034</t>
  </si>
  <si>
    <t>SAMEA5160874</t>
  </si>
  <si>
    <t>Sagalassos</t>
  </si>
  <si>
    <t>AA042</t>
  </si>
  <si>
    <t>SAMEA5160875</t>
  </si>
  <si>
    <t>99.36%</t>
  </si>
  <si>
    <t>Abu Ghosh</t>
  </si>
  <si>
    <t>AA043</t>
  </si>
  <si>
    <t>SAMEA5160876</t>
  </si>
  <si>
    <t>Tel Bet Shean</t>
  </si>
  <si>
    <t>AA045</t>
  </si>
  <si>
    <t>SAMEA5160877</t>
  </si>
  <si>
    <t>Tel Safi/Gat</t>
  </si>
  <si>
    <t>AA047</t>
  </si>
  <si>
    <t>SAMEA5160878</t>
  </si>
  <si>
    <t>Hallan Çemi</t>
  </si>
  <si>
    <t>98.27%</t>
  </si>
  <si>
    <t>AA050</t>
  </si>
  <si>
    <t>SAMEA5160879</t>
  </si>
  <si>
    <t>Umm Qseir</t>
  </si>
  <si>
    <t>AA051</t>
  </si>
  <si>
    <t>SAMEA5160880</t>
  </si>
  <si>
    <t>Clostridium perfringens; Streptococcus equinus</t>
  </si>
  <si>
    <t>98.16%</t>
  </si>
  <si>
    <t>Atij</t>
  </si>
  <si>
    <t>AA079</t>
  </si>
  <si>
    <t>SAMEA5160886</t>
  </si>
  <si>
    <t>Popesti</t>
  </si>
  <si>
    <t>99.09%</t>
  </si>
  <si>
    <t>AA081</t>
  </si>
  <si>
    <t>SAMEA5160888</t>
  </si>
  <si>
    <t>Hârşova-tell</t>
  </si>
  <si>
    <t>AA090</t>
  </si>
  <si>
    <t>SAMEA5160892</t>
  </si>
  <si>
    <t>Gordion</t>
  </si>
  <si>
    <t>AA091</t>
  </si>
  <si>
    <t>SAMEA5160893</t>
  </si>
  <si>
    <t>AA093</t>
  </si>
  <si>
    <t>SAMEA5160894</t>
  </si>
  <si>
    <t>AA095</t>
  </si>
  <si>
    <t>SAMEA5160895</t>
  </si>
  <si>
    <t>AA096</t>
  </si>
  <si>
    <t>SAMEA5160896</t>
  </si>
  <si>
    <t>AA097</t>
  </si>
  <si>
    <t>SAMEA5160897</t>
  </si>
  <si>
    <t>AA099</t>
  </si>
  <si>
    <t>SAMEA5160898</t>
  </si>
  <si>
    <t>0.0004X</t>
  </si>
  <si>
    <t>0.04%</t>
  </si>
  <si>
    <t>AA100</t>
  </si>
  <si>
    <t>SAMEA5160899</t>
  </si>
  <si>
    <t>AA103</t>
  </si>
  <si>
    <t>SAMEA5160900</t>
  </si>
  <si>
    <t>AA122</t>
  </si>
  <si>
    <t>SAMEA5160909</t>
  </si>
  <si>
    <t>Leilan</t>
  </si>
  <si>
    <t>98.58%</t>
  </si>
  <si>
    <t>AA128</t>
  </si>
  <si>
    <t>SAMEA5160910</t>
  </si>
  <si>
    <t>Belgium</t>
  </si>
  <si>
    <t>Trou Al'Wesse</t>
  </si>
  <si>
    <t>AA129</t>
  </si>
  <si>
    <t>SAMEA5160911</t>
  </si>
  <si>
    <t>AA131</t>
  </si>
  <si>
    <t>SAMEA5160912</t>
  </si>
  <si>
    <t>AA133</t>
  </si>
  <si>
    <t>SAMEA5160913</t>
  </si>
  <si>
    <t>Parkhai Karakala</t>
  </si>
  <si>
    <t>AA140</t>
  </si>
  <si>
    <t>SAMEA5160914</t>
  </si>
  <si>
    <t>Poland</t>
  </si>
  <si>
    <t>Siniarzewo 1</t>
  </si>
  <si>
    <t>AA155</t>
  </si>
  <si>
    <t>SAMEA5160915</t>
  </si>
  <si>
    <t>Bodzia stan 1</t>
  </si>
  <si>
    <t>AA157</t>
  </si>
  <si>
    <t>MS1</t>
  </si>
  <si>
    <t>SAMEA5160916</t>
  </si>
  <si>
    <t>AA158</t>
  </si>
  <si>
    <t>98.32%</t>
  </si>
  <si>
    <t>SAMEA5160917</t>
  </si>
  <si>
    <t>E-value &gt; 0.001, Reads &gt;= 50, ANI &gt; 96.5%, 5' C&gt;T Damage &gt;= 0.01, Breadth Ratio &gt;= 0.8, Edit Distance Damage Decay Quality &gt;= 0.5, Genus Ranking = 1</t>
  </si>
  <si>
    <t>AA169</t>
  </si>
  <si>
    <t>SAMEA5160918</t>
  </si>
  <si>
    <t>96.58%</t>
  </si>
  <si>
    <t>AA174</t>
  </si>
  <si>
    <t>SAMEA5160919</t>
  </si>
  <si>
    <t>AA179</t>
  </si>
  <si>
    <t>SAMEA5160920</t>
  </si>
  <si>
    <t>99.10%</t>
  </si>
  <si>
    <t>AA182</t>
  </si>
  <si>
    <t>SAMEA5160921</t>
  </si>
  <si>
    <t>Switzerland</t>
  </si>
  <si>
    <t>Arbon Bleiche 3</t>
  </si>
  <si>
    <t>0.0235X</t>
  </si>
  <si>
    <t>2.32%</t>
  </si>
  <si>
    <t>AA184</t>
  </si>
  <si>
    <t>SAMEA5160922</t>
  </si>
  <si>
    <t>AA186</t>
  </si>
  <si>
    <t>SAMEA5160923</t>
  </si>
  <si>
    <t>0.1825X</t>
  </si>
  <si>
    <t>1.96%</t>
  </si>
  <si>
    <t>AA191</t>
  </si>
  <si>
    <t>SAMEA5160924</t>
  </si>
  <si>
    <t>Escherichia coli; Streptococcus gallolyticus; Erysipelothrix rhusiopathiae</t>
  </si>
  <si>
    <t>0.0078X</t>
  </si>
  <si>
    <t>AA197</t>
  </si>
  <si>
    <t>SAMEA5160925</t>
  </si>
  <si>
    <t>#45</t>
  </si>
  <si>
    <t>Zurich-Seefeld</t>
  </si>
  <si>
    <t>AA200</t>
  </si>
  <si>
    <t>SAMEA5160926</t>
  </si>
  <si>
    <t>Zurich-Mozartstrasse</t>
  </si>
  <si>
    <t>0.0119X</t>
  </si>
  <si>
    <t>AA202</t>
  </si>
  <si>
    <t>SAMEA5160927</t>
  </si>
  <si>
    <t>AA211</t>
  </si>
  <si>
    <t>SAMEA5160928</t>
  </si>
  <si>
    <t>Pločnik</t>
  </si>
  <si>
    <t>AA212</t>
  </si>
  <si>
    <t>SAMEA5160929</t>
  </si>
  <si>
    <t>AA213</t>
  </si>
  <si>
    <t>SAMEA5160930</t>
  </si>
  <si>
    <t>AA216</t>
  </si>
  <si>
    <t>SAMEA5160931</t>
  </si>
  <si>
    <t>0.03%</t>
  </si>
  <si>
    <t>97.85%</t>
  </si>
  <si>
    <t>AA217</t>
  </si>
  <si>
    <t>SAMEA5160932</t>
  </si>
  <si>
    <t>AA218</t>
  </si>
  <si>
    <t>SAMEA5160933</t>
  </si>
  <si>
    <t>AA219</t>
  </si>
  <si>
    <t>SAMEA5160934</t>
  </si>
  <si>
    <t>AA221</t>
  </si>
  <si>
    <t>SAMEA5160935</t>
  </si>
  <si>
    <t>AA225</t>
  </si>
  <si>
    <t>SAMEA5160936</t>
  </si>
  <si>
    <t>AA226</t>
  </si>
  <si>
    <t>SAMEA5160937</t>
  </si>
  <si>
    <t>DAL1984</t>
  </si>
  <si>
    <t>Sagalossos</t>
  </si>
  <si>
    <t>AA230</t>
  </si>
  <si>
    <t>SAMEA5160938</t>
  </si>
  <si>
    <t>AA231</t>
  </si>
  <si>
    <t>E-value &gt; 0.001, Reads &gt;= 50, ANI &gt; 96.5%, 5' C&gt;T Damage &gt;= 0.01, Breadth Ratio &gt;= 0.8, Genus Ranking = 1, Read Mapping Ratio &gt;= 0.5</t>
  </si>
  <si>
    <t>SAMEA5160939</t>
  </si>
  <si>
    <t>AA234</t>
  </si>
  <si>
    <t>SAMEA5160940</t>
  </si>
  <si>
    <t>0.2604X</t>
  </si>
  <si>
    <t>22.4%</t>
  </si>
  <si>
    <t>E-value &gt; 0.001, Reads &gt;= 1, ANI &gt; 96.5%, Breadth Ratio &gt;= 0.8, Entropy (1000bp) &gt;= 0.7 (virus), Edit Distance Damage Decay Quality &gt;= 0.5, Edit Distance No-Damage Decay Quality &gt;= 0.6, Genus Ranking = 1, Read Mapping Ratio &gt;= 0.5</t>
  </si>
  <si>
    <t>AA235</t>
  </si>
  <si>
    <t>SAMEA5160941</t>
  </si>
  <si>
    <t>0.1498X</t>
  </si>
  <si>
    <t>13.26%</t>
  </si>
  <si>
    <t>AA237</t>
  </si>
  <si>
    <t>SAMEA5160942</t>
  </si>
  <si>
    <t>AA240</t>
  </si>
  <si>
    <t>SAMEA5160943</t>
  </si>
  <si>
    <t>0.1795X</t>
  </si>
  <si>
    <t>15.78%</t>
  </si>
  <si>
    <t>AA241</t>
  </si>
  <si>
    <t>SAMEA5160944</t>
  </si>
  <si>
    <t>E-value &gt; 0.001, Reads &gt;= 1, ANI &gt; 96.5%, 5' C&gt;T Damage &gt;= 0.01, Breadth Ratio &gt;= 0.8, Entropy (1000bp) &gt;= 0.7 (virus), Edit Distance Damage Decay Quality &gt;= 0.5, Read Mapping Ratio &gt;= 0.5</t>
  </si>
  <si>
    <t>Birsmatten-Basisgrotte</t>
  </si>
  <si>
    <t>AA243</t>
  </si>
  <si>
    <t>SAMEA5160945</t>
  </si>
  <si>
    <t>AA246</t>
  </si>
  <si>
    <t>SAMEA5160946</t>
  </si>
  <si>
    <t>AA248</t>
  </si>
  <si>
    <t>SAMEA5160947</t>
  </si>
  <si>
    <t>AA250</t>
  </si>
  <si>
    <t>SAMEA5160948</t>
  </si>
  <si>
    <t>AA253</t>
  </si>
  <si>
    <t>SAMEA5160949</t>
  </si>
  <si>
    <t>98.08%</t>
  </si>
  <si>
    <t>AA254</t>
  </si>
  <si>
    <t>SAMEA5160950</t>
  </si>
  <si>
    <t>AA255</t>
  </si>
  <si>
    <t>SAMEA5160951</t>
  </si>
  <si>
    <t>AA256</t>
  </si>
  <si>
    <t>Fusobacterium necrophorum; Escherichia coli</t>
  </si>
  <si>
    <t>SAMEA5160952</t>
  </si>
  <si>
    <t>AA257</t>
  </si>
  <si>
    <t>SAMEA5160953</t>
  </si>
  <si>
    <t>AA258</t>
  </si>
  <si>
    <t>SAMEA5160954</t>
  </si>
  <si>
    <t>E-value &gt; 0.001, Reads &gt;= 50, ANI &gt; 96.5%, 5' C&gt;T Damage &gt;= 0.01, Breadth Ratio &gt;= 0.8, Entropy (1000bp) &gt;= 0.8 (bacteria), Edit Distance No-Damage Decay Quality &gt;= 0.6, Genus Ranking = 1, Read Mapping Ratio &gt;= 0.5</t>
  </si>
  <si>
    <t>AA259</t>
  </si>
  <si>
    <t>SAMEA5160955</t>
  </si>
  <si>
    <t>AA260</t>
  </si>
  <si>
    <t>SAMEA5160956</t>
  </si>
  <si>
    <t>0.0006X</t>
  </si>
  <si>
    <t>AA261</t>
  </si>
  <si>
    <t>SAMEA5160957</t>
  </si>
  <si>
    <t>RF006M3D</t>
  </si>
  <si>
    <t>AA262</t>
  </si>
  <si>
    <t>SAMEA5160958</t>
  </si>
  <si>
    <t>E-value &gt; 0.001, Reads &gt;= 50, ANI &gt; 96.5%, Edit Distance Damage Decay Quality &gt;= 0.5, Genus Ranking = 1</t>
  </si>
  <si>
    <t>AA263</t>
  </si>
  <si>
    <t>SAMEA5160959</t>
  </si>
  <si>
    <t>0.0097X</t>
  </si>
  <si>
    <t>0.58%</t>
  </si>
  <si>
    <t>AA265</t>
  </si>
  <si>
    <t>SAMEA5160960</t>
  </si>
  <si>
    <t>AA268</t>
  </si>
  <si>
    <t>SAMEA5160962</t>
  </si>
  <si>
    <t>0.0091X</t>
  </si>
  <si>
    <t>0.49%</t>
  </si>
  <si>
    <t>Augusta Raurica, Kastelen</t>
  </si>
  <si>
    <t>E-value &gt; 0.001, Reads &gt;= 50, ANI &gt; 96.5%, 5' C&gt;T Damage &gt;= 0.01, Edit Distance Damage Decay Quality &gt;= 0.5, Edit Distance No-Damage Decay Quality &gt;= 0.6, Genus Ranking = 1, Read Mapping Ratio &gt;= 0.5</t>
  </si>
  <si>
    <t>AA269</t>
  </si>
  <si>
    <t>SAMEA5160963</t>
  </si>
  <si>
    <t>AA270</t>
  </si>
  <si>
    <t>98.69%</t>
  </si>
  <si>
    <t>SAMEA5160964</t>
  </si>
  <si>
    <t>Casa Solima (Troina)</t>
  </si>
  <si>
    <t>AA271</t>
  </si>
  <si>
    <t>SAMEA5160965</t>
  </si>
  <si>
    <t>0.66%</t>
  </si>
  <si>
    <t>AA274</t>
  </si>
  <si>
    <t>SAMEA5160966</t>
  </si>
  <si>
    <t>AA276</t>
  </si>
  <si>
    <t>SAMEA5160967</t>
  </si>
  <si>
    <t>0.0017X</t>
  </si>
  <si>
    <t>Tel Miqne-Ekron</t>
  </si>
  <si>
    <t>AA277</t>
  </si>
  <si>
    <t>SAMEA5160968</t>
  </si>
  <si>
    <t>0.35%</t>
  </si>
  <si>
    <t>98.92%</t>
  </si>
  <si>
    <t>AA280</t>
  </si>
  <si>
    <t>SAMEA5160970</t>
  </si>
  <si>
    <t>calcareous tooth, UBERON:0001091</t>
  </si>
  <si>
    <t>Londerzeel</t>
  </si>
  <si>
    <t>Bibersteinia trehalosi; Fusobacterium necrophorum</t>
  </si>
  <si>
    <t>AA281</t>
  </si>
  <si>
    <t>SAMEA5160971</t>
  </si>
  <si>
    <t>AA284</t>
  </si>
  <si>
    <t>SAMEA5160973</t>
  </si>
  <si>
    <t>Oudenburg</t>
  </si>
  <si>
    <t>AA285</t>
  </si>
  <si>
    <t>SAMEA5160974</t>
  </si>
  <si>
    <t>0.0242X</t>
  </si>
  <si>
    <t>2.36%</t>
  </si>
  <si>
    <t>AA286</t>
  </si>
  <si>
    <t>SAMEA5160975</t>
  </si>
  <si>
    <t>0.0289X</t>
  </si>
  <si>
    <t>2.83%</t>
  </si>
  <si>
    <t>E-value &gt; 0.001, Reads &gt;= 50, ANI &gt; 96.5%, 5' C&gt;T Damage &gt;= 0.01, Breadth Ratio &gt;= 0.8, Entropy (1000bp) &gt;= 0.8 (bacteria), Edit Distance Damage Decay Quality &gt;= 0.5, Edit Distance No-Damage Decay Quality &gt;= 0.6, Read Mapping Ratio &gt;= 0.5</t>
  </si>
  <si>
    <t>AA294</t>
  </si>
  <si>
    <t>SAMEA5160982</t>
  </si>
  <si>
    <t>Le Taï (Grotte du Tai)</t>
  </si>
  <si>
    <t>97.34%</t>
  </si>
  <si>
    <t>AA295</t>
  </si>
  <si>
    <t>SAMEA5160983</t>
  </si>
  <si>
    <t>Bibersteinia trehalosi; Pasteurella multocida</t>
  </si>
  <si>
    <t>0.36%</t>
  </si>
  <si>
    <t>AA298</t>
  </si>
  <si>
    <t>SAMEA5160985</t>
  </si>
  <si>
    <t>Boulancourt</t>
  </si>
  <si>
    <t>0.0627X</t>
  </si>
  <si>
    <t>AA299</t>
  </si>
  <si>
    <t>SAMEA5160986</t>
  </si>
  <si>
    <t>6.07%</t>
  </si>
  <si>
    <t>AA300</t>
  </si>
  <si>
    <t>Zah1</t>
  </si>
  <si>
    <t>SAMEA5160987</t>
  </si>
  <si>
    <t>AA305</t>
  </si>
  <si>
    <t>SAMEA5160992</t>
  </si>
  <si>
    <t>99.89%</t>
  </si>
  <si>
    <t>Bademağacı Höyük</t>
  </si>
  <si>
    <t>Vratsa2</t>
  </si>
  <si>
    <t>AA306</t>
  </si>
  <si>
    <t>SAMEA5160993</t>
  </si>
  <si>
    <t>AA309</t>
  </si>
  <si>
    <t>SAMEA5160994</t>
  </si>
  <si>
    <t>AA310</t>
  </si>
  <si>
    <t>SAMEA5160995</t>
  </si>
  <si>
    <t>AA317</t>
  </si>
  <si>
    <t>SAMEA5160996</t>
  </si>
  <si>
    <t>Göbekli Tepe</t>
  </si>
  <si>
    <t>AA318</t>
  </si>
  <si>
    <t>SAMEA5160997</t>
  </si>
  <si>
    <t>0.44%</t>
  </si>
  <si>
    <t>AA321</t>
  </si>
  <si>
    <t>SAMEA5160998</t>
  </si>
  <si>
    <t>Gürcütepe II</t>
  </si>
  <si>
    <t>0.0346X</t>
  </si>
  <si>
    <t>AA323</t>
  </si>
  <si>
    <t>2.09%</t>
  </si>
  <si>
    <t>SAMEA5160999</t>
  </si>
  <si>
    <t>97.99%</t>
  </si>
  <si>
    <t>E-value &gt; 0.001, Reads &gt;= 100, ANI &gt; 96.5%, 5' C&gt;T Damage &gt;= 0.01, Edit Distance Damage Decay Quality &gt;= 0.5, Read Mapping Ratio &gt;= 0.5</t>
  </si>
  <si>
    <t>AA324</t>
  </si>
  <si>
    <t>SAMEA5161000</t>
  </si>
  <si>
    <t>Acemhöyük</t>
  </si>
  <si>
    <t>AA325</t>
  </si>
  <si>
    <t>98.26%</t>
  </si>
  <si>
    <t>SAMEA5161001</t>
  </si>
  <si>
    <t>AA326</t>
  </si>
  <si>
    <t>SAMEA5161002</t>
  </si>
  <si>
    <t>AA327</t>
  </si>
  <si>
    <t>SAMEA5161003</t>
  </si>
  <si>
    <t>Clostridium perfringens; Staphylococcus aureus</t>
  </si>
  <si>
    <t>Has5</t>
  </si>
  <si>
    <t>AA328</t>
  </si>
  <si>
    <t>SAMEA5161004</t>
  </si>
  <si>
    <t>AA329</t>
  </si>
  <si>
    <t>97.89%</t>
  </si>
  <si>
    <t>SAMEA5161005</t>
  </si>
  <si>
    <t>Has3</t>
  </si>
  <si>
    <t>AA333</t>
  </si>
  <si>
    <t>SAMEA5161006</t>
  </si>
  <si>
    <t>AA335</t>
  </si>
  <si>
    <t>SAMEA5161007</t>
  </si>
  <si>
    <t>E-value &gt; 0.001, Reads &gt;= 200, ANI &gt; 96.5%, 5' C&gt;T Damage &gt;= 0.01, Breadth Ratio &gt;= 0.8, Genus Ranking = 1</t>
  </si>
  <si>
    <t>AA336</t>
  </si>
  <si>
    <t>SAMEA5161008</t>
  </si>
  <si>
    <t>AA341</t>
  </si>
  <si>
    <t>SAMEA5161009</t>
  </si>
  <si>
    <t>AA343</t>
  </si>
  <si>
    <t>Tsa1</t>
  </si>
  <si>
    <t>SAMEA5161010</t>
  </si>
  <si>
    <t>AA346</t>
  </si>
  <si>
    <t>98.04%</t>
  </si>
  <si>
    <t>SAMEA5161011</t>
  </si>
  <si>
    <t>#8</t>
  </si>
  <si>
    <t>AA348</t>
  </si>
  <si>
    <t>SAMEA5161012</t>
  </si>
  <si>
    <t>0.0228X</t>
  </si>
  <si>
    <t>1.61%</t>
  </si>
  <si>
    <t>Bandar gaz, Caspian sea</t>
  </si>
  <si>
    <t>97.71%</t>
  </si>
  <si>
    <t>#11</t>
  </si>
  <si>
    <t>AA349</t>
  </si>
  <si>
    <t>E-value &gt; 0.001, Reads &gt;= 100, ANI &gt; 96.5%, Read Mapping Ratio &gt;= 0.5</t>
  </si>
  <si>
    <t>SAMEA5161013</t>
  </si>
  <si>
    <t>Tsa2</t>
  </si>
  <si>
    <t>Miankaleh, Caspian sea</t>
  </si>
  <si>
    <t>0.017X</t>
  </si>
  <si>
    <t>1.26%</t>
  </si>
  <si>
    <t>AA350</t>
  </si>
  <si>
    <t>SAMEA5161014</t>
  </si>
  <si>
    <t>97.64%</t>
  </si>
  <si>
    <t>Portugal</t>
  </si>
  <si>
    <t>Cabeço da Amoreira</t>
  </si>
  <si>
    <t>Dog</t>
  </si>
  <si>
    <t>AA351</t>
  </si>
  <si>
    <t>SAMEA5161015</t>
  </si>
  <si>
    <t>0.0143X</t>
  </si>
  <si>
    <t>1.41%</t>
  </si>
  <si>
    <t>99.23%</t>
  </si>
  <si>
    <t>AA352</t>
  </si>
  <si>
    <t>SAMEA5161016</t>
  </si>
  <si>
    <t>Cabeço da Arruda</t>
  </si>
  <si>
    <t>0.0035X</t>
  </si>
  <si>
    <t>99.03%</t>
  </si>
  <si>
    <t>AA353</t>
  </si>
  <si>
    <t>SAMEA5161017</t>
  </si>
  <si>
    <t>AA354</t>
  </si>
  <si>
    <t>SAMEA5161018</t>
  </si>
  <si>
    <t>Bul2</t>
  </si>
  <si>
    <t>AA355</t>
  </si>
  <si>
    <t>SAMEA5161019</t>
  </si>
  <si>
    <t>Mureybet</t>
  </si>
  <si>
    <t>AA356</t>
  </si>
  <si>
    <t>SAMEA5161020</t>
  </si>
  <si>
    <t>AA357</t>
  </si>
  <si>
    <t>SAMEA5161021</t>
  </si>
  <si>
    <t>Noyen</t>
  </si>
  <si>
    <t>AA361</t>
  </si>
  <si>
    <t>SAMEA5161023</t>
  </si>
  <si>
    <t>0.75%</t>
  </si>
  <si>
    <t>Haftavan Tepe</t>
  </si>
  <si>
    <t>98.12%</t>
  </si>
  <si>
    <t>AA363</t>
  </si>
  <si>
    <t>SAMEA5161024</t>
  </si>
  <si>
    <t>Kohne Tepesi</t>
  </si>
  <si>
    <t>AA364</t>
  </si>
  <si>
    <t>SAMEA5161025</t>
  </si>
  <si>
    <t>0.1544X</t>
  </si>
  <si>
    <t>3.5%</t>
  </si>
  <si>
    <t>97.72%</t>
  </si>
  <si>
    <t>AA369</t>
  </si>
  <si>
    <t>SAMEA5161026</t>
  </si>
  <si>
    <t>0.0159X</t>
  </si>
  <si>
    <t>1.53%</t>
  </si>
  <si>
    <t>AA372</t>
  </si>
  <si>
    <t>SAMEA5161027</t>
  </si>
  <si>
    <t>AA375</t>
  </si>
  <si>
    <t>SAMEA5161028</t>
  </si>
  <si>
    <t>0.1145X</t>
  </si>
  <si>
    <t>2.87%</t>
  </si>
  <si>
    <t>97.55%</t>
  </si>
  <si>
    <t>E-value &gt; 0.001, Reads &gt;= 50, ANI &gt; 96.5%, Edit Distance Damage Decay Quality &gt;= 0.5, Read Mapping Ratio &gt;= 0.5</t>
  </si>
  <si>
    <t>AA376</t>
  </si>
  <si>
    <t>SAMEA5161029</t>
  </si>
  <si>
    <t>AA378</t>
  </si>
  <si>
    <t>SAMEA5161030</t>
  </si>
  <si>
    <t>0.0547X</t>
  </si>
  <si>
    <t>0.37%</t>
  </si>
  <si>
    <t>97.59%</t>
  </si>
  <si>
    <t>AA380</t>
  </si>
  <si>
    <t>SAMEA5161031</t>
  </si>
  <si>
    <t>Tula1</t>
  </si>
  <si>
    <t>AA381</t>
  </si>
  <si>
    <t>SAMEA5161032</t>
  </si>
  <si>
    <t>AA382</t>
  </si>
  <si>
    <t>SAMEA5161033</t>
  </si>
  <si>
    <t>E-value &gt; 0.001, Reads &gt;= 200, ANI &gt; 96.5%, Breadth Ratio &gt;= 0.8, Edit Distance No-Damage Decay Quality &gt;= 0.6</t>
  </si>
  <si>
    <t>AA384</t>
  </si>
  <si>
    <t>SAMEA5161034</t>
  </si>
  <si>
    <t>Alba Iulia-Lumea Nouă</t>
  </si>
  <si>
    <t>0.0058X</t>
  </si>
  <si>
    <t>AA385</t>
  </si>
  <si>
    <t>SAMEA5161035</t>
  </si>
  <si>
    <t>98.25%</t>
  </si>
  <si>
    <t>AA391</t>
  </si>
  <si>
    <t>SAMEA5161036</t>
  </si>
  <si>
    <t>Suberde Höyük</t>
  </si>
  <si>
    <t>AA393</t>
  </si>
  <si>
    <t>SAMEA5161037</t>
  </si>
  <si>
    <t>E-value &gt; 0.001, Reads &gt;= 50, ANI &gt; 96.5%, Breadth Ratio &gt;= 0.8, Edit Distance No-Damage Decay Quality &gt;= 0.6</t>
  </si>
  <si>
    <t>AA292</t>
  </si>
  <si>
    <t>AA395</t>
  </si>
  <si>
    <t>SAMEA5161038</t>
  </si>
  <si>
    <t>AA400</t>
  </si>
  <si>
    <t>SAMEA5161039</t>
  </si>
  <si>
    <t>Gyu2</t>
  </si>
  <si>
    <t>SAMEA5161040</t>
  </si>
  <si>
    <t>0.0171X</t>
  </si>
  <si>
    <t>97.95%</t>
  </si>
  <si>
    <t>AA403</t>
  </si>
  <si>
    <t>SAMEA5161041</t>
  </si>
  <si>
    <t>Schela Cladovei</t>
  </si>
  <si>
    <t>AA408</t>
  </si>
  <si>
    <t>SAMEA5161043</t>
  </si>
  <si>
    <t>Hungary</t>
  </si>
  <si>
    <t>Albertfalva Roman vicus (Budapest)</t>
  </si>
  <si>
    <t>0.19%</t>
  </si>
  <si>
    <t>AA409</t>
  </si>
  <si>
    <t>SAMEA5161044</t>
  </si>
  <si>
    <t>E-value &gt; 0.001, Reads &gt;= 50, ANI &gt; 96.5%, Edit Distance Damage Decay Quality &gt;= 0.5, Edit Distance No-Damage Decay Quality &gt;= 0.6, Read Mapping Ratio &gt;= 0.5</t>
  </si>
  <si>
    <t>AA411</t>
  </si>
  <si>
    <t>SAMEA5161045</t>
  </si>
  <si>
    <t>Faroe Islands</t>
  </si>
  <si>
    <t>Undir Junkariusfløtti</t>
  </si>
  <si>
    <t>0.2518X</t>
  </si>
  <si>
    <t>AA412</t>
  </si>
  <si>
    <t>6.73%</t>
  </si>
  <si>
    <t>SAMEA5161046</t>
  </si>
  <si>
    <t>97.70%</t>
  </si>
  <si>
    <t>#52</t>
  </si>
  <si>
    <t>E-value &gt; 0.001, Reads &gt;= 50, ANI &gt; 96.5%, 5' C&gt;T Damage &gt;= 0.01, Entropy (1000bp) &gt;= 0.8 (bacteria), Edit Distance Damage Decay Quality &gt;= 0.5, Read Mapping Ratio &gt;= 0.5</t>
  </si>
  <si>
    <t>AA413</t>
  </si>
  <si>
    <t>SAMEA5161047</t>
  </si>
  <si>
    <t>AA414</t>
  </si>
  <si>
    <t>SAMEA5161048</t>
  </si>
  <si>
    <t>0.2194X</t>
  </si>
  <si>
    <t>5.91%</t>
  </si>
  <si>
    <t>AA415</t>
  </si>
  <si>
    <t>SAMEA5161049</t>
  </si>
  <si>
    <t>E-value &gt; 0.001, Reads &gt;= 100, ANI &gt; 96.5%, 5' C&gt;T Damage &gt;= 0.01, Entropy (1000bp) &gt;= 0.8 (bacteria), Edit Distance Damage Decay Quality &gt;= 0.5, Read Mapping Ratio &gt;= 0.5</t>
  </si>
  <si>
    <t>AA416</t>
  </si>
  <si>
    <t>SAMEA5161050</t>
  </si>
  <si>
    <t>0.1708X</t>
  </si>
  <si>
    <t>4.48%</t>
  </si>
  <si>
    <t>AA417</t>
  </si>
  <si>
    <t>SAMEA5161051</t>
  </si>
  <si>
    <t>AA418</t>
  </si>
  <si>
    <t>SAMEA5161052</t>
  </si>
  <si>
    <t>Clostridium perfringens; Escherichia coli; Streptococcus gallolyticus</t>
  </si>
  <si>
    <t>AA420</t>
  </si>
  <si>
    <t>SAMEA5161053</t>
  </si>
  <si>
    <t>0.2029X</t>
  </si>
  <si>
    <t>5.09%</t>
  </si>
  <si>
    <t>AA424</t>
  </si>
  <si>
    <t>SAMEA5161054</t>
  </si>
  <si>
    <t>AA425</t>
  </si>
  <si>
    <t>SAMEA5161055</t>
  </si>
  <si>
    <t>0.1813X</t>
  </si>
  <si>
    <t>4.72%</t>
  </si>
  <si>
    <t>AA433</t>
  </si>
  <si>
    <t>SAMEA5161056</t>
  </si>
  <si>
    <t>AA437</t>
  </si>
  <si>
    <t>Gyu1</t>
  </si>
  <si>
    <t>SAMEA5161057</t>
  </si>
  <si>
    <t>0.0118X</t>
  </si>
  <si>
    <t>AA439</t>
  </si>
  <si>
    <t>SAMEA5161058</t>
  </si>
  <si>
    <t>AA440</t>
  </si>
  <si>
    <t>SAMEA5161059</t>
  </si>
  <si>
    <t>AA441</t>
  </si>
  <si>
    <t>0.0158X</t>
  </si>
  <si>
    <t>SAMEA5161060</t>
  </si>
  <si>
    <t>0.88%</t>
  </si>
  <si>
    <t>AA442</t>
  </si>
  <si>
    <t>SAMEA5161061</t>
  </si>
  <si>
    <t>AA443</t>
  </si>
  <si>
    <t>SAMEA5161062</t>
  </si>
  <si>
    <t>0.0699X</t>
  </si>
  <si>
    <t>AA444</t>
  </si>
  <si>
    <t>E-value &gt; 0.001, Reads &gt;= 100, ANI &gt; 96.5%, 5' C&gt;T Damage &gt;= 0.01, Edit Distance Damage Decay Quality &gt;= 0.5, Genus Ranking = 1, Read Mapping Ratio &gt;= 0.5</t>
  </si>
  <si>
    <t>SAMEA5161063</t>
  </si>
  <si>
    <t>AA446</t>
  </si>
  <si>
    <t>SAMEA5161064</t>
  </si>
  <si>
    <t>0.0318X</t>
  </si>
  <si>
    <t>1.99%</t>
  </si>
  <si>
    <t>AA447</t>
  </si>
  <si>
    <t>SAMEA5161065</t>
  </si>
  <si>
    <t>E-value &gt; 0.001, Reads &gt;= 100, ANI &gt; 96.5%, Edit Distance Damage Decay Quality &gt;= 0.5, Read Mapping Ratio &gt;= 0.5</t>
  </si>
  <si>
    <t>Clostridium tetani; Erysipelothrix rhusiopathiae; Sheeppox virus</t>
  </si>
  <si>
    <t>AA448</t>
  </si>
  <si>
    <t>SAMEA5161066</t>
  </si>
  <si>
    <t>Louvres "Rue de Bouteiller"</t>
  </si>
  <si>
    <t>AA449</t>
  </si>
  <si>
    <t>SAMEA5161067</t>
  </si>
  <si>
    <t>AA450</t>
  </si>
  <si>
    <t>SAMEA5161068</t>
  </si>
  <si>
    <t>AA451</t>
  </si>
  <si>
    <t>SAMEA5161069</t>
  </si>
  <si>
    <t>0.0213X</t>
  </si>
  <si>
    <t>1.17%</t>
  </si>
  <si>
    <t>AA453</t>
  </si>
  <si>
    <t>SAMEA5161070</t>
  </si>
  <si>
    <t>Wageningen</t>
  </si>
  <si>
    <t>Cas1</t>
  </si>
  <si>
    <t>AA456</t>
  </si>
  <si>
    <t>SAMEA5161071</t>
  </si>
  <si>
    <t>Croatia</t>
  </si>
  <si>
    <t>Pupicina</t>
  </si>
  <si>
    <t>0.0019X</t>
  </si>
  <si>
    <t>AA458</t>
  </si>
  <si>
    <t>SAMEA5161073</t>
  </si>
  <si>
    <t>99.80%</t>
  </si>
  <si>
    <t>AA459</t>
  </si>
  <si>
    <t>SAMEA5161074</t>
  </si>
  <si>
    <t>Borlya</t>
  </si>
  <si>
    <t>AA463</t>
  </si>
  <si>
    <t>SAMEA5161078</t>
  </si>
  <si>
    <t>E-value &gt; 0.001, Reads &gt;= 50, ANI &gt; 96.5%, 5' C&gt;T Damage &gt;= 0.01, Breadth Ratio &gt;= 0.8, Edit Distance Damage Decay Quality &gt;= 0.5, Edit Distance No-Damage Decay Quality &gt;= 0.6</t>
  </si>
  <si>
    <t>AA464</t>
  </si>
  <si>
    <t>SAMEA5161079</t>
  </si>
  <si>
    <t>AA467</t>
  </si>
  <si>
    <t>SAMEA5161080</t>
  </si>
  <si>
    <t>Erysipelothrix rhusiopathiae; Sheeppox virus</t>
  </si>
  <si>
    <t>98.37%</t>
  </si>
  <si>
    <t>AA468</t>
  </si>
  <si>
    <t>SAMEA5161081</t>
  </si>
  <si>
    <t>AA469</t>
  </si>
  <si>
    <t>SAMEA5161082</t>
  </si>
  <si>
    <t>AA472</t>
  </si>
  <si>
    <t>0.06X</t>
  </si>
  <si>
    <t>SAMEA5161083</t>
  </si>
  <si>
    <t>5.77%</t>
  </si>
  <si>
    <t>99.30%</t>
  </si>
  <si>
    <t>AA476</t>
  </si>
  <si>
    <t>SAMEA5161086</t>
  </si>
  <si>
    <t>AA477</t>
  </si>
  <si>
    <t>SAMEA5161087</t>
  </si>
  <si>
    <t>97.74%</t>
  </si>
  <si>
    <t>SAMEA5161088</t>
  </si>
  <si>
    <t>AA479</t>
  </si>
  <si>
    <t>SAMEA5161089</t>
  </si>
  <si>
    <t>98.33%</t>
  </si>
  <si>
    <t>AA480</t>
  </si>
  <si>
    <t>SAMEA5161090</t>
  </si>
  <si>
    <t>AA481</t>
  </si>
  <si>
    <t>SAMEA5161091</t>
  </si>
  <si>
    <t>0.0345X</t>
  </si>
  <si>
    <t>2.76%</t>
  </si>
  <si>
    <t>97.94%</t>
  </si>
  <si>
    <t>AA482</t>
  </si>
  <si>
    <t>SAMEA5161092</t>
  </si>
  <si>
    <t>AA483</t>
  </si>
  <si>
    <t>0.1073X</t>
  </si>
  <si>
    <t>SAMEA5161093</t>
  </si>
  <si>
    <t>6.31%</t>
  </si>
  <si>
    <t>98.02%</t>
  </si>
  <si>
    <t>AA484</t>
  </si>
  <si>
    <t>SAMEA5161094</t>
  </si>
  <si>
    <t>Ska1</t>
  </si>
  <si>
    <t>AA486</t>
  </si>
  <si>
    <t>SAMEA5161095</t>
  </si>
  <si>
    <t>0.0337X</t>
  </si>
  <si>
    <t>1.85%</t>
  </si>
  <si>
    <t>98.45%</t>
  </si>
  <si>
    <t>AA487</t>
  </si>
  <si>
    <t>SAMEA5161096</t>
  </si>
  <si>
    <t>AA488</t>
  </si>
  <si>
    <t>SAMEA5161097</t>
  </si>
  <si>
    <t>0.0586X</t>
  </si>
  <si>
    <t>3.24%</t>
  </si>
  <si>
    <t>AA489</t>
  </si>
  <si>
    <t>SAMEA5161098</t>
  </si>
  <si>
    <t>Ska3</t>
  </si>
  <si>
    <t>AA490</t>
  </si>
  <si>
    <t>SAMEA5161099</t>
  </si>
  <si>
    <t>AA493</t>
  </si>
  <si>
    <t>SAMEA5161100</t>
  </si>
  <si>
    <t>Bercy</t>
  </si>
  <si>
    <t>AA495</t>
  </si>
  <si>
    <t>67.7123X</t>
  </si>
  <si>
    <t>SAMEA5161101</t>
  </si>
  <si>
    <t>90.76%</t>
  </si>
  <si>
    <t>AA496</t>
  </si>
  <si>
    <t>SAMEA5161102</t>
  </si>
  <si>
    <t>AA499</t>
  </si>
  <si>
    <t>98.17%</t>
  </si>
  <si>
    <t>SAMEA5161103</t>
  </si>
  <si>
    <t>E-value &gt; 0.001, Reads &gt;= 50, ANI &gt; 96.5%, 5' C&gt;T Damage &gt;= 0.01</t>
  </si>
  <si>
    <t>AA500</t>
  </si>
  <si>
    <t>SAMEA5161104</t>
  </si>
  <si>
    <t>0.1599X</t>
  </si>
  <si>
    <t>7.16%</t>
  </si>
  <si>
    <t>98.18%</t>
  </si>
  <si>
    <t>AA501</t>
  </si>
  <si>
    <t>SAMEA5161105</t>
  </si>
  <si>
    <t>0.0812X</t>
  </si>
  <si>
    <t>5.5%</t>
  </si>
  <si>
    <t>AA503</t>
  </si>
  <si>
    <t>SAMEA5161106</t>
  </si>
  <si>
    <t>Galicia2</t>
  </si>
  <si>
    <t>AA505</t>
  </si>
  <si>
    <t>SAMEA5161107</t>
  </si>
  <si>
    <t>AA506</t>
  </si>
  <si>
    <t>SAMEA5161108</t>
  </si>
  <si>
    <t>AA507</t>
  </si>
  <si>
    <t>SAMEA5161109</t>
  </si>
  <si>
    <t>0.0134X</t>
  </si>
  <si>
    <t>0.68%</t>
  </si>
  <si>
    <t>98.01%</t>
  </si>
  <si>
    <t>El Portalón (Portalon Cueva Mayor)</t>
  </si>
  <si>
    <t>AA511</t>
  </si>
  <si>
    <t>SAMEA5161110</t>
  </si>
  <si>
    <t>maxilla, UBERON:0002397</t>
  </si>
  <si>
    <t>0.4952X</t>
  </si>
  <si>
    <t>14.02%</t>
  </si>
  <si>
    <t>AA512</t>
  </si>
  <si>
    <t>SAMEA5161111</t>
  </si>
  <si>
    <t>0.1076X</t>
  </si>
  <si>
    <t>Bibersteinia trehalosi; Erysipelothrix rhusiopathiae</t>
  </si>
  <si>
    <t>E-value &gt; 0.001, Reads &gt;= 50, ANI &gt; 96.5%, 5' C&gt;T Damage &gt;= 0.01, Edit Distance Damage Decay Quality &gt;= 0.5, Genus Ranking = 1</t>
  </si>
  <si>
    <t>AA513</t>
  </si>
  <si>
    <t>SAMEA5161112</t>
  </si>
  <si>
    <t>0.0659X</t>
  </si>
  <si>
    <t>6.32%</t>
  </si>
  <si>
    <t>99.49%</t>
  </si>
  <si>
    <t>AA514</t>
  </si>
  <si>
    <t>SAMEA5161113</t>
  </si>
  <si>
    <t>Çayönü Tepesi</t>
  </si>
  <si>
    <t>98.39%</t>
  </si>
  <si>
    <t>AA515</t>
  </si>
  <si>
    <t>SAMEA5161114</t>
  </si>
  <si>
    <t>AA522</t>
  </si>
  <si>
    <t>SAMEA5161115</t>
  </si>
  <si>
    <t>Direkli Cave</t>
  </si>
  <si>
    <t>AA523</t>
  </si>
  <si>
    <t>SAMEA5161116</t>
  </si>
  <si>
    <t>Mas1</t>
  </si>
  <si>
    <t>AA524</t>
  </si>
  <si>
    <t>SAMEA5161117</t>
  </si>
  <si>
    <t>97.78%</t>
  </si>
  <si>
    <t>AL1031</t>
  </si>
  <si>
    <t>AA525</t>
  </si>
  <si>
    <t>SAMEA5161118</t>
  </si>
  <si>
    <t>0.0192X</t>
  </si>
  <si>
    <t>1.37%</t>
  </si>
  <si>
    <t>98.30%</t>
  </si>
  <si>
    <t>AA629</t>
  </si>
  <si>
    <t>SAMEA5161119</t>
  </si>
  <si>
    <t>E-value &gt; 0.001, Reads &gt;= 100, ANI &gt; 96.5%, 5' C&gt;T Damage &gt;= 0.01, Genus Ranking = 1, Read Mapping Ratio &gt;= 0.5</t>
  </si>
  <si>
    <t>Santa Maria In Selva (Marche)</t>
  </si>
  <si>
    <t>0.0233X</t>
  </si>
  <si>
    <t>1.58%</t>
  </si>
  <si>
    <t>SAMEA5161120</t>
  </si>
  <si>
    <t>98.13%</t>
  </si>
  <si>
    <t>Cyprus</t>
  </si>
  <si>
    <t>Klimonas</t>
  </si>
  <si>
    <t>Padova1</t>
  </si>
  <si>
    <t>AL1062</t>
  </si>
  <si>
    <t>SAMEA5161121</t>
  </si>
  <si>
    <t>0.0283X</t>
  </si>
  <si>
    <t>Gomolava</t>
  </si>
  <si>
    <t>1.19%</t>
  </si>
  <si>
    <t>AL1063</t>
  </si>
  <si>
    <t>SAMEA5161122</t>
  </si>
  <si>
    <t>E-value &gt; 0.001, Reads &gt;= 20, ANI &gt; 96.5%, Edit Distance Damage Decay Quality &gt;= 0.5, Read Mapping Ratio &gt;= 0.5</t>
  </si>
  <si>
    <t>AL1068</t>
  </si>
  <si>
    <t>0.0261X</t>
  </si>
  <si>
    <t>SAMEA5161123</t>
  </si>
  <si>
    <t>AL1070</t>
  </si>
  <si>
    <t>SAMEA5161124</t>
  </si>
  <si>
    <t>AL1072</t>
  </si>
  <si>
    <t>SAMEA5161125</t>
  </si>
  <si>
    <t>0.0272X</t>
  </si>
  <si>
    <t>1.57%</t>
  </si>
  <si>
    <t>AL1102</t>
  </si>
  <si>
    <t>SAMEA5161126</t>
  </si>
  <si>
    <t>AL1103</t>
  </si>
  <si>
    <t>SAMEA5161127</t>
  </si>
  <si>
    <t>0.0329X</t>
  </si>
  <si>
    <t>AL1105</t>
  </si>
  <si>
    <t>SAMEA5161128</t>
  </si>
  <si>
    <t>98.05%</t>
  </si>
  <si>
    <t>Çadır Höyük</t>
  </si>
  <si>
    <t>AL1106</t>
  </si>
  <si>
    <t>SAMEA5161129</t>
  </si>
  <si>
    <t>AL1107</t>
  </si>
  <si>
    <t>1.68%</t>
  </si>
  <si>
    <t>SAMEA5161130</t>
  </si>
  <si>
    <t>AL1108</t>
  </si>
  <si>
    <t>SAMEA5161131</t>
  </si>
  <si>
    <t>AL1110</t>
  </si>
  <si>
    <t>SAMEA5161132</t>
  </si>
  <si>
    <t>99.74%</t>
  </si>
  <si>
    <t>AL1111</t>
  </si>
  <si>
    <t>SAMEA5161133</t>
  </si>
  <si>
    <t>AL1113</t>
  </si>
  <si>
    <t>SAMEA5161134</t>
  </si>
  <si>
    <t>AL1114</t>
  </si>
  <si>
    <t>SAMEA5161135</t>
  </si>
  <si>
    <t>Mantova1</t>
  </si>
  <si>
    <t>AL1116</t>
  </si>
  <si>
    <t>SAMEA5161136</t>
  </si>
  <si>
    <t>0.0499X</t>
  </si>
  <si>
    <t>2.92%</t>
  </si>
  <si>
    <t>Mount Petrino (Mondragone, Caserta)</t>
  </si>
  <si>
    <t>AL612</t>
  </si>
  <si>
    <t>SAMEA5161137</t>
  </si>
  <si>
    <t>Men1</t>
  </si>
  <si>
    <t>Grotta Verde Alghero (Sardinia)</t>
  </si>
  <si>
    <t>AL613</t>
  </si>
  <si>
    <t>SAMEA5161138</t>
  </si>
  <si>
    <t>Tell-Afis Sarageb</t>
  </si>
  <si>
    <t>97.98%</t>
  </si>
  <si>
    <t>AL616</t>
  </si>
  <si>
    <t>E-value &gt; 0.001, Reads &gt;= 50, ANI &gt; 96.5%, Breadth Ratio &gt;= 0.8, Edit Distance Damage Decay Quality &gt;= 0.5</t>
  </si>
  <si>
    <t>SAMEA5161139</t>
  </si>
  <si>
    <t>Latronico (Potenza, Basilicata)</t>
  </si>
  <si>
    <t>AL643</t>
  </si>
  <si>
    <t>SAMEA5161140</t>
  </si>
  <si>
    <t>AL646</t>
  </si>
  <si>
    <t>E-value &gt; 0.001, Reads &gt;= 200, ANI &gt; 96.5%, Breadth Ratio &gt;= 0.8</t>
  </si>
  <si>
    <t>SAMEA5161141</t>
  </si>
  <si>
    <t>AL647</t>
  </si>
  <si>
    <t>SAMEA5161142</t>
  </si>
  <si>
    <t>0.78%</t>
  </si>
  <si>
    <t>AL706</t>
  </si>
  <si>
    <t>SAMEA5161143</t>
  </si>
  <si>
    <t>AL708</t>
  </si>
  <si>
    <t>SAMEA5161144</t>
  </si>
  <si>
    <t>AL714</t>
  </si>
  <si>
    <t>SAMEA5161145</t>
  </si>
  <si>
    <t>AL718</t>
  </si>
  <si>
    <t>SAMEA5161146</t>
  </si>
  <si>
    <t>0.0093X</t>
  </si>
  <si>
    <t>0.91%</t>
  </si>
  <si>
    <t>AL720</t>
  </si>
  <si>
    <t>SAMEA5161147</t>
  </si>
  <si>
    <t>SAMEA5161148</t>
  </si>
  <si>
    <t>AL726</t>
  </si>
  <si>
    <t>SAMEA5161149</t>
  </si>
  <si>
    <t>98.20%</t>
  </si>
  <si>
    <t>#17</t>
  </si>
  <si>
    <t>E-value &gt; 0.001, Reads &gt;= 50, ANI &gt; 96.5%, Edit Distance Damage Decay Quality &gt;= 0.5</t>
  </si>
  <si>
    <t>BLT013</t>
  </si>
  <si>
    <t>SAMEA5161155</t>
  </si>
  <si>
    <t>SAMEA5161156</t>
  </si>
  <si>
    <t>BLT017</t>
  </si>
  <si>
    <t>SAMEA5161159</t>
  </si>
  <si>
    <t>E-value &gt; 0.001, Reads &gt;= 50, ANI &gt; 96.5%, Edit Distance Damage Decay Quality &gt;= 0.5, Genus Ranking = 1, Read Mapping Ratio &gt;= 0.5</t>
  </si>
  <si>
    <t>Çamlibel Tarlasi</t>
  </si>
  <si>
    <t>BLT022</t>
  </si>
  <si>
    <t>Men2</t>
  </si>
  <si>
    <t>SAMEA5161162</t>
  </si>
  <si>
    <t>North Macedonia</t>
  </si>
  <si>
    <t>Madzhari</t>
  </si>
  <si>
    <t>BLT023</t>
  </si>
  <si>
    <t>SAMEA5161163</t>
  </si>
  <si>
    <t>E-value &gt; 0.001, Reads &gt;= 200, ANI &gt; 96.5%, Breadth Ratio &gt;= 0.8, Edit Distance Damage Decay Quality &gt;= 0.5, Edit Distance No-Damage Decay Quality &gt;= 0.6</t>
  </si>
  <si>
    <t>BLT025</t>
  </si>
  <si>
    <t>SAMEA5161164</t>
  </si>
  <si>
    <t>Vlasac</t>
  </si>
  <si>
    <t>BLT026</t>
  </si>
  <si>
    <t>SAMEA5161165</t>
  </si>
  <si>
    <t>0.54%</t>
  </si>
  <si>
    <t>SAMEA5161188</t>
  </si>
  <si>
    <t>KD025</t>
  </si>
  <si>
    <t>SAMEA5161189</t>
  </si>
  <si>
    <t>Bunnik Odijk, Utrecht</t>
  </si>
  <si>
    <t>KD033</t>
  </si>
  <si>
    <t>SAMEA5161191</t>
  </si>
  <si>
    <t>KD037</t>
  </si>
  <si>
    <t>SAMEA5161192</t>
  </si>
  <si>
    <t>STK239</t>
  </si>
  <si>
    <t>LG507</t>
  </si>
  <si>
    <t>SAMEA5161194</t>
  </si>
  <si>
    <t>SAMEA5161197</t>
  </si>
  <si>
    <t>STK236</t>
  </si>
  <si>
    <t>AA072</t>
  </si>
  <si>
    <t>SAMEA5160883</t>
  </si>
  <si>
    <t>E-value &gt; 0.001, Reads &gt;= 50, ANI &gt; 96.5%, 5' C&gt;T Damage &gt;= 0.01, Breadth Ratio &gt;= 0.8</t>
  </si>
  <si>
    <t>Căscioarele A</t>
  </si>
  <si>
    <t>AA119</t>
  </si>
  <si>
    <t>SAMEA5160907</t>
  </si>
  <si>
    <t>Lchashen</t>
  </si>
  <si>
    <t>AA266</t>
  </si>
  <si>
    <t>SAMEA5160961</t>
  </si>
  <si>
    <t>STK234</t>
  </si>
  <si>
    <t>Basel-Gasfabrik</t>
  </si>
  <si>
    <t>AA288</t>
  </si>
  <si>
    <t>SAMEA5160977</t>
  </si>
  <si>
    <t>Oulens</t>
  </si>
  <si>
    <t>AA301</t>
  </si>
  <si>
    <t>SAMEA5160988</t>
  </si>
  <si>
    <t>Coppergate</t>
  </si>
  <si>
    <t>AA405</t>
  </si>
  <si>
    <t>SAMEA5161042</t>
  </si>
  <si>
    <t>Wild</t>
  </si>
  <si>
    <t>BLT010</t>
  </si>
  <si>
    <t>SAMEA5161154</t>
  </si>
  <si>
    <t>Măgura</t>
  </si>
  <si>
    <t>BLT018</t>
  </si>
  <si>
    <t>SAMEA5161160</t>
  </si>
  <si>
    <t>E-value &gt; 0.001, Reads &gt;= 50, ANI &gt; 96.5%, Breadth Ratio &gt;= 0.8, Edit Distance Damage Decay Quality &gt;= 0.5, Edit Distance No-Damage Decay Quality &gt;= 0.6</t>
  </si>
  <si>
    <t>STK230</t>
  </si>
  <si>
    <t>GL980</t>
  </si>
  <si>
    <t>SAMEA5161187</t>
  </si>
  <si>
    <t>0.0056X</t>
  </si>
  <si>
    <t>0.55%</t>
  </si>
  <si>
    <t>AA112</t>
  </si>
  <si>
    <t>SAMEA5160902</t>
  </si>
  <si>
    <t>BLT029</t>
  </si>
  <si>
    <t>SAMEA5161166</t>
  </si>
  <si>
    <t>Icoana</t>
  </si>
  <si>
    <t>AA293</t>
  </si>
  <si>
    <t>SAMEA5160981</t>
  </si>
  <si>
    <t>Ajvide</t>
  </si>
  <si>
    <t>BLT008</t>
  </si>
  <si>
    <t>SAMEA5161152</t>
  </si>
  <si>
    <t>BLT019</t>
  </si>
  <si>
    <t>SAMEA5161161</t>
  </si>
  <si>
    <t>98.86%</t>
  </si>
  <si>
    <t>BLT007</t>
  </si>
  <si>
    <t>SAMEA5161151</t>
  </si>
  <si>
    <t>STK231</t>
  </si>
  <si>
    <t>BLT009</t>
  </si>
  <si>
    <t>SAMEA5161153</t>
  </si>
  <si>
    <t>BLT015</t>
  </si>
  <si>
    <t>SAMEA5161157</t>
  </si>
  <si>
    <t>AA457</t>
  </si>
  <si>
    <t>SAMEA5161072</t>
  </si>
  <si>
    <t>Th7</t>
  </si>
  <si>
    <t>AA117</t>
  </si>
  <si>
    <t>SAMEA5160905</t>
  </si>
  <si>
    <t>Tmbatir (Achajur)</t>
  </si>
  <si>
    <t>AA297</t>
  </si>
  <si>
    <t>SAMEA5160984</t>
  </si>
  <si>
    <t>AA279</t>
  </si>
  <si>
    <t>0.0216X</t>
  </si>
  <si>
    <t>SAMEA5160969</t>
  </si>
  <si>
    <t>Montaigle</t>
  </si>
  <si>
    <t>AA067</t>
  </si>
  <si>
    <t>SAMEA5160881</t>
  </si>
  <si>
    <t>0.0089X</t>
  </si>
  <si>
    <t>AA068</t>
  </si>
  <si>
    <t>SAMEA5160882</t>
  </si>
  <si>
    <t>Vărăşti</t>
  </si>
  <si>
    <t>AA075</t>
  </si>
  <si>
    <t>SAMEA5160884</t>
  </si>
  <si>
    <t>Baikal1</t>
  </si>
  <si>
    <t>Untervaz-Haselbodensenke</t>
  </si>
  <si>
    <t>AA077</t>
  </si>
  <si>
    <t>SAMEA5160885</t>
  </si>
  <si>
    <t>AA080</t>
  </si>
  <si>
    <t>SAMEA5160887</t>
  </si>
  <si>
    <t>AA084</t>
  </si>
  <si>
    <t>SAMEA5160889</t>
  </si>
  <si>
    <t>97.54%</t>
  </si>
  <si>
    <t>Durostorum-Ostrov Farm 4</t>
  </si>
  <si>
    <t>AA088</t>
  </si>
  <si>
    <t>SAMEA5160890</t>
  </si>
  <si>
    <t>AA089</t>
  </si>
  <si>
    <t>SAMEA5160891</t>
  </si>
  <si>
    <t>AA111</t>
  </si>
  <si>
    <t>SAMEA5160901</t>
  </si>
  <si>
    <t>0.0616X</t>
  </si>
  <si>
    <t>1.9%</t>
  </si>
  <si>
    <t>AA114</t>
  </si>
  <si>
    <t>SAMEA5160903</t>
  </si>
  <si>
    <t>Tsakaektsy</t>
  </si>
  <si>
    <t>AA116</t>
  </si>
  <si>
    <t>SAMEA5160904</t>
  </si>
  <si>
    <t>0.0734X</t>
  </si>
  <si>
    <t>2.16%</t>
  </si>
  <si>
    <t>AA118</t>
  </si>
  <si>
    <t>SAMEA5160906</t>
  </si>
  <si>
    <t>Surb nahatak (Sevcar)</t>
  </si>
  <si>
    <t>0.0656X</t>
  </si>
  <si>
    <t>AA120</t>
  </si>
  <si>
    <t>SAMEA5160908</t>
  </si>
  <si>
    <t>97.66%</t>
  </si>
  <si>
    <t>Sub1</t>
  </si>
  <si>
    <t>AA283</t>
  </si>
  <si>
    <t>SAMEA5160972</t>
  </si>
  <si>
    <t>AA287</t>
  </si>
  <si>
    <t>SAMEA5160976</t>
  </si>
  <si>
    <t>E-value &gt; 0.001, Reads &gt;= 200, ANI &gt; 96.5%, Breadth Ratio &gt;= 0.8, Entropy (1000bp) &gt;= 0.8 (bacteria), Edit Distance No-Damage Decay Quality &gt;= 0.6</t>
  </si>
  <si>
    <t>AA290</t>
  </si>
  <si>
    <t>SAMEA5160978</t>
  </si>
  <si>
    <t>0.0172X</t>
  </si>
  <si>
    <t>1.65%</t>
  </si>
  <si>
    <t>AA291</t>
  </si>
  <si>
    <t>SAMEA5160979</t>
  </si>
  <si>
    <t>SAMEA5160980</t>
  </si>
  <si>
    <t>98.23%</t>
  </si>
  <si>
    <t>AA302</t>
  </si>
  <si>
    <t>SAMEA5160989</t>
  </si>
  <si>
    <t>AA303</t>
  </si>
  <si>
    <t>SAMEA5160990</t>
  </si>
  <si>
    <t>Swinegate</t>
  </si>
  <si>
    <t>AA304</t>
  </si>
  <si>
    <t>SAMEA5160991</t>
  </si>
  <si>
    <t>AA360</t>
  </si>
  <si>
    <t>SAMEA5161022</t>
  </si>
  <si>
    <t>AA460</t>
  </si>
  <si>
    <t>SAMEA5161075</t>
  </si>
  <si>
    <t>Eilsleben</t>
  </si>
  <si>
    <t>AA461</t>
  </si>
  <si>
    <t>SAMEA5161076</t>
  </si>
  <si>
    <t>Plo7</t>
  </si>
  <si>
    <t>AA462</t>
  </si>
  <si>
    <t>SAMEA5161077</t>
  </si>
  <si>
    <t>AA473</t>
  </si>
  <si>
    <t>SAMEA5161084</t>
  </si>
  <si>
    <t>Plo2</t>
  </si>
  <si>
    <t>AA475</t>
  </si>
  <si>
    <t>SAMEA5161085</t>
  </si>
  <si>
    <t>BLT006</t>
  </si>
  <si>
    <t>SAMEA5161150</t>
  </si>
  <si>
    <t>BLT016</t>
  </si>
  <si>
    <t>SAMEA5161158</t>
  </si>
  <si>
    <t>GL1000</t>
  </si>
  <si>
    <t>SAMEA5161167</t>
  </si>
  <si>
    <t>Plo8</t>
  </si>
  <si>
    <t>Grotta del Santuario della Madonna</t>
  </si>
  <si>
    <t>GL122</t>
  </si>
  <si>
    <t>SAMEA5161169</t>
  </si>
  <si>
    <t>Friesack</t>
  </si>
  <si>
    <t>GL210</t>
  </si>
  <si>
    <t>SAMEA5161170</t>
  </si>
  <si>
    <t>North Sea</t>
  </si>
  <si>
    <t>GL321</t>
  </si>
  <si>
    <t>SAMEA5161171</t>
  </si>
  <si>
    <t>Roucadour</t>
  </si>
  <si>
    <t>Uzzo1</t>
  </si>
  <si>
    <t>GL429</t>
  </si>
  <si>
    <t>SAMEA5161172</t>
  </si>
  <si>
    <t>GL438</t>
  </si>
  <si>
    <t>SAMEA5161173</t>
  </si>
  <si>
    <t>Cencelle</t>
  </si>
  <si>
    <t>GL454</t>
  </si>
  <si>
    <t>SAMEA5161174</t>
  </si>
  <si>
    <t>Zambujal</t>
  </si>
  <si>
    <t>GL464</t>
  </si>
  <si>
    <t>SAMEA5161175</t>
  </si>
  <si>
    <t>0.0049X</t>
  </si>
  <si>
    <t>GL496</t>
  </si>
  <si>
    <t>SAMEA5161176</t>
  </si>
  <si>
    <t>Crypta Balbi</t>
  </si>
  <si>
    <t>GL527</t>
  </si>
  <si>
    <t>SAMEA5161177</t>
  </si>
  <si>
    <t>Chedworth Roman villa</t>
  </si>
  <si>
    <t>GL538</t>
  </si>
  <si>
    <t>SAMEA5161178</t>
  </si>
  <si>
    <t>GL707</t>
  </si>
  <si>
    <t>SAMEA5161179</t>
  </si>
  <si>
    <t>Exedra of Crypta Balbi</t>
  </si>
  <si>
    <t>0.0671X</t>
  </si>
  <si>
    <t>6.42%</t>
  </si>
  <si>
    <t>SAMEA115574420</t>
  </si>
  <si>
    <t>Bos primigenius</t>
  </si>
  <si>
    <t>49.145</t>
  </si>
  <si>
    <t>8.222</t>
  </si>
  <si>
    <t>SAMEA115574418</t>
  </si>
  <si>
    <t>41.132</t>
  </si>
  <si>
    <t>43.871</t>
  </si>
  <si>
    <t>Gyumri district</t>
  </si>
  <si>
    <t>Bed3</t>
  </si>
  <si>
    <t>11990</t>
  </si>
  <si>
    <t>14023</t>
  </si>
  <si>
    <t>SAMEA115574415</t>
  </si>
  <si>
    <t>0.24X</t>
  </si>
  <si>
    <t>4.17%</t>
  </si>
  <si>
    <t>43.072</t>
  </si>
  <si>
    <t>-8.661</t>
  </si>
  <si>
    <t>97.56%</t>
  </si>
  <si>
    <t>8297</t>
  </si>
  <si>
    <t>9464</t>
  </si>
  <si>
    <t>SAMEA115574404</t>
  </si>
  <si>
    <t>51.497</t>
  </si>
  <si>
    <t>104.038</t>
  </si>
  <si>
    <t>Barguzin river, Baikal</t>
  </si>
  <si>
    <t>10320</t>
  </si>
  <si>
    <t>0.2452X</t>
  </si>
  <si>
    <t>12455</t>
  </si>
  <si>
    <t>4.19%</t>
  </si>
  <si>
    <t>SAMEA115574452</t>
  </si>
  <si>
    <t>97.58%</t>
  </si>
  <si>
    <t>42.973</t>
  </si>
  <si>
    <t>24.118</t>
  </si>
  <si>
    <t>5266</t>
  </si>
  <si>
    <t>6184</t>
  </si>
  <si>
    <t>Var2</t>
  </si>
  <si>
    <t>SAMEA115574450</t>
  </si>
  <si>
    <t>51.630</t>
  </si>
  <si>
    <t>49.666</t>
  </si>
  <si>
    <t>6335</t>
  </si>
  <si>
    <t>7412</t>
  </si>
  <si>
    <t>0.2092X</t>
  </si>
  <si>
    <t>3.61%</t>
  </si>
  <si>
    <t>YoA</t>
  </si>
  <si>
    <t>SAMEA115574455</t>
  </si>
  <si>
    <t>54.110</t>
  </si>
  <si>
    <t>#51</t>
  </si>
  <si>
    <t>-2.291</t>
  </si>
  <si>
    <t>Yorkshire</t>
  </si>
  <si>
    <t>4179</t>
  </si>
  <si>
    <t>4835</t>
  </si>
  <si>
    <t>SAMEA115574449</t>
  </si>
  <si>
    <t>6580</t>
  </si>
  <si>
    <t>7567</t>
  </si>
  <si>
    <t>0.0488X</t>
  </si>
  <si>
    <t>SAMEA115574446</t>
  </si>
  <si>
    <t>3.71%</t>
  </si>
  <si>
    <t>54.193</t>
  </si>
  <si>
    <t>37.605</t>
  </si>
  <si>
    <t>Tula district</t>
  </si>
  <si>
    <t>36800</t>
  </si>
  <si>
    <t>42386</t>
  </si>
  <si>
    <t>Rhi3</t>
  </si>
  <si>
    <t>SAMEA115574435</t>
  </si>
  <si>
    <t>51.619</t>
  </si>
  <si>
    <t>9.669</t>
  </si>
  <si>
    <t>Upper Rhine Valley</t>
  </si>
  <si>
    <t>SAMEA115574417</t>
  </si>
  <si>
    <t>#28</t>
  </si>
  <si>
    <t>8311</t>
  </si>
  <si>
    <t>9474</t>
  </si>
  <si>
    <t>Palidoro1</t>
  </si>
  <si>
    <t>SAMEA115574432</t>
  </si>
  <si>
    <t>0.3467X</t>
  </si>
  <si>
    <t>5.3%</t>
  </si>
  <si>
    <t>41.927</t>
  </si>
  <si>
    <t>12.178</t>
  </si>
  <si>
    <t>97.57%</t>
  </si>
  <si>
    <t>Palidoro, Latium</t>
  </si>
  <si>
    <t>14720</t>
  </si>
  <si>
    <t>18236</t>
  </si>
  <si>
    <t>BZL2</t>
  </si>
  <si>
    <t>SAMEA115574412</t>
  </si>
  <si>
    <t>Bos taurus</t>
  </si>
  <si>
    <t>53.801</t>
  </si>
  <si>
    <t>86.109</t>
  </si>
  <si>
    <t>Berezovaya Luka (Березовая Лука)</t>
  </si>
  <si>
    <t>0.3645X</t>
  </si>
  <si>
    <t>3676</t>
  </si>
  <si>
    <t>5.53%</t>
  </si>
  <si>
    <t>4138</t>
  </si>
  <si>
    <t>KOL9</t>
  </si>
  <si>
    <t>SAMEA115574422</t>
  </si>
  <si>
    <t>53.417</t>
  </si>
  <si>
    <t>80.484</t>
  </si>
  <si>
    <t>Rhi1</t>
  </si>
  <si>
    <t>Kolyvanskoe-I (Колыванское-I)</t>
  </si>
  <si>
    <t>3698</t>
  </si>
  <si>
    <t>4148</t>
  </si>
  <si>
    <t>0.0206X</t>
  </si>
  <si>
    <t>SAMEA115574405</t>
  </si>
  <si>
    <t>51.107</t>
  </si>
  <si>
    <t>6.464</t>
  </si>
  <si>
    <t>10108</t>
  </si>
  <si>
    <t>11875</t>
  </si>
  <si>
    <t>Tri1</t>
  </si>
  <si>
    <t>SAMEA115574445</t>
  </si>
  <si>
    <t>metatarsus, UBERON:0010545</t>
  </si>
  <si>
    <t>49.750</t>
  </si>
  <si>
    <t>0.0829X</t>
  </si>
  <si>
    <t>6.633</t>
  </si>
  <si>
    <t>7.14%</t>
  </si>
  <si>
    <t>Trier-Brüderkrankenhaus</t>
  </si>
  <si>
    <t>8935</t>
  </si>
  <si>
    <t>10217</t>
  </si>
  <si>
    <t>Rhi2</t>
  </si>
  <si>
    <t>SAMEA115574434</t>
  </si>
  <si>
    <t>43690</t>
  </si>
  <si>
    <t>46935</t>
  </si>
  <si>
    <t>Tango2</t>
  </si>
  <si>
    <t>SAMEA115574444</t>
  </si>
  <si>
    <t>Former Soviet Union</t>
  </si>
  <si>
    <t>3980</t>
  </si>
  <si>
    <t>4525</t>
  </si>
  <si>
    <t>SAMEA115574448</t>
  </si>
  <si>
    <t>37.593</t>
  </si>
  <si>
    <t>13.853</t>
  </si>
  <si>
    <t>Grotta dell'Uzzo, Sicily</t>
  </si>
  <si>
    <t>8485</t>
  </si>
  <si>
    <t>9542</t>
  </si>
  <si>
    <t>BZL1</t>
  </si>
  <si>
    <t>#23</t>
  </si>
  <si>
    <t>SAMEA115574411</t>
  </si>
  <si>
    <t>3655</t>
  </si>
  <si>
    <t>4086</t>
  </si>
  <si>
    <t>Tango1</t>
  </si>
  <si>
    <t>SAMEA115574443</t>
  </si>
  <si>
    <t>3618</t>
  </si>
  <si>
    <t>4068</t>
  </si>
  <si>
    <t>99.22%</t>
  </si>
  <si>
    <t>#29</t>
  </si>
  <si>
    <t>Borly4b</t>
  </si>
  <si>
    <t>SAMEA115574407</t>
  </si>
  <si>
    <t>52.040</t>
  </si>
  <si>
    <t>77.727</t>
  </si>
  <si>
    <t>Borly 4, Pavlodar region</t>
  </si>
  <si>
    <t>4335</t>
  </si>
  <si>
    <t>5025</t>
  </si>
  <si>
    <t>SAMEA115574433</t>
  </si>
  <si>
    <t>E-value &gt; 0.001, Reads &gt;= 50, ANI &gt; 96.5%, Edit Distance No-Damage Decay Quality &gt;= 0.6</t>
  </si>
  <si>
    <t>47000</t>
  </si>
  <si>
    <t>SAMEA115574454</t>
  </si>
  <si>
    <t>Hjo1</t>
  </si>
  <si>
    <t>SAMEA115574419</t>
  </si>
  <si>
    <t>57.241</t>
  </si>
  <si>
    <t>9.869</t>
  </si>
  <si>
    <t>Hjørring, Tofte Bæk</t>
  </si>
  <si>
    <t>7251</t>
  </si>
  <si>
    <t>8173</t>
  </si>
  <si>
    <t>KOL10</t>
  </si>
  <si>
    <t>SAMEA115574421</t>
  </si>
  <si>
    <t>E-value &gt; 0.001, Reads &gt;= 20, ANI &gt; 96.5%, 5' C&gt;T Damage &gt;= 0.01, Edit Distance Damage Decay Quality &gt;= 0.5, Read Mapping Ratio &gt;= 0.5</t>
  </si>
  <si>
    <t>3597</t>
  </si>
  <si>
    <t>3982</t>
  </si>
  <si>
    <t>SAMEA115574409</t>
  </si>
  <si>
    <t>0.0314X</t>
  </si>
  <si>
    <t>2.99%</t>
  </si>
  <si>
    <t>Bos taurus;Bos indicus</t>
  </si>
  <si>
    <t>37.700</t>
  </si>
  <si>
    <t>66.800</t>
  </si>
  <si>
    <t>Tilla Bulak</t>
  </si>
  <si>
    <t>Mon4</t>
  </si>
  <si>
    <t>0.0268X</t>
  </si>
  <si>
    <t>SAMEA115574424</t>
  </si>
  <si>
    <t>2.54%</t>
  </si>
  <si>
    <t>98.19%</t>
  </si>
  <si>
    <t>36.849</t>
  </si>
  <si>
    <t>60.418</t>
  </si>
  <si>
    <t>5588</t>
  </si>
  <si>
    <t>6442</t>
  </si>
  <si>
    <t>SAMEA115574416</t>
  </si>
  <si>
    <t>8236</t>
  </si>
  <si>
    <t>9407</t>
  </si>
  <si>
    <t>E-value &gt; 0.001, Reads &gt;= 50, ANI &gt; 96.5%, Edit Distance No-Damage Decay Quality &gt;= 0.6, Read Mapping Ratio &gt;= 0.5</t>
  </si>
  <si>
    <t>SAMEA115574440</t>
  </si>
  <si>
    <t>51.721</t>
  </si>
  <si>
    <t>74.644</t>
  </si>
  <si>
    <t>3538</t>
  </si>
  <si>
    <t>3909</t>
  </si>
  <si>
    <t>0.1029X</t>
  </si>
  <si>
    <t>2.48%</t>
  </si>
  <si>
    <t>Mon7</t>
  </si>
  <si>
    <t>97.92%</t>
  </si>
  <si>
    <t>SAMEA115574426</t>
  </si>
  <si>
    <t>#53</t>
  </si>
  <si>
    <t>SAMEA115574442</t>
  </si>
  <si>
    <t>55.848</t>
  </si>
  <si>
    <t>13.809</t>
  </si>
  <si>
    <t>Skåne</t>
  </si>
  <si>
    <t>0.5%</t>
  </si>
  <si>
    <t>8540</t>
  </si>
  <si>
    <t>9657</t>
  </si>
  <si>
    <t>SAMEA115574441</t>
  </si>
  <si>
    <t>E-value &gt; 0.001, Reads &gt;= 50, ANI &gt; 96.5%, Breadth Ratio &gt;= 0.8, Edit Distance Damage Decay Quality &gt;= 0.5, Genus Ranking = 1, Read Mapping Ratio &gt;= 0.5</t>
  </si>
  <si>
    <t>55.622</t>
  </si>
  <si>
    <t>13.230</t>
  </si>
  <si>
    <t>Nevishög</t>
  </si>
  <si>
    <t>8380</t>
  </si>
  <si>
    <t>9536</t>
  </si>
  <si>
    <t>SAMEA115574408</t>
  </si>
  <si>
    <t>52.417</t>
  </si>
  <si>
    <t>98.52%</t>
  </si>
  <si>
    <t>70.515</t>
  </si>
  <si>
    <t>#35</t>
  </si>
  <si>
    <t>Borly, Pavlodar region</t>
  </si>
  <si>
    <t>5763</t>
  </si>
  <si>
    <t>6666</t>
  </si>
  <si>
    <t>SAMEA115574456</t>
  </si>
  <si>
    <t>55.358</t>
  </si>
  <si>
    <t>11.393</t>
  </si>
  <si>
    <t>0.0037X</t>
  </si>
  <si>
    <t>Borly4a</t>
  </si>
  <si>
    <t>SAMEA115574406</t>
  </si>
  <si>
    <t>4365</t>
  </si>
  <si>
    <t>5041</t>
  </si>
  <si>
    <t>SAMEA115574423</t>
  </si>
  <si>
    <t>45.158</t>
  </si>
  <si>
    <t>10.794</t>
  </si>
  <si>
    <t>Barche di Solferino, near Mantova</t>
  </si>
  <si>
    <t>11169</t>
  </si>
  <si>
    <t>#30</t>
  </si>
  <si>
    <t>13172</t>
  </si>
  <si>
    <t>SAMEA115574430</t>
  </si>
  <si>
    <t>45.406</t>
  </si>
  <si>
    <t>11.882</t>
  </si>
  <si>
    <t>Padova</t>
  </si>
  <si>
    <t>12120</t>
  </si>
  <si>
    <t>14216</t>
  </si>
  <si>
    <t>97.97%</t>
  </si>
  <si>
    <t>SAMEA115574437</t>
  </si>
  <si>
    <t>54.145</t>
  </si>
  <si>
    <t>69.194</t>
  </si>
  <si>
    <t>4637</t>
  </si>
  <si>
    <t>5465</t>
  </si>
  <si>
    <t>Zea2</t>
  </si>
  <si>
    <t>SAMEA115574457</t>
  </si>
  <si>
    <t>0.1947X</t>
  </si>
  <si>
    <t>3.63%</t>
  </si>
  <si>
    <t>NVL3</t>
  </si>
  <si>
    <t>SAMEA115574429</t>
  </si>
  <si>
    <t>51.669</t>
  </si>
  <si>
    <t>81.911</t>
  </si>
  <si>
    <t>Novoil`inka-VI (Новоильинка-VI)</t>
  </si>
  <si>
    <t>4494</t>
  </si>
  <si>
    <t>0.2334X</t>
  </si>
  <si>
    <t>4.16%</t>
  </si>
  <si>
    <t>5300</t>
  </si>
  <si>
    <t>Uralsk1</t>
  </si>
  <si>
    <t>SAMEA115574447</t>
  </si>
  <si>
    <t>cranial bone, UBERON:0004766</t>
  </si>
  <si>
    <t>51.231</t>
  </si>
  <si>
    <t>51.378</t>
  </si>
  <si>
    <t>Uralsk</t>
  </si>
  <si>
    <t>ROS001</t>
  </si>
  <si>
    <t>SAMEA115574436</t>
  </si>
  <si>
    <t>0.2077X</t>
  </si>
  <si>
    <t>3.84%</t>
  </si>
  <si>
    <t>4625</t>
  </si>
  <si>
    <t>NVL1</t>
  </si>
  <si>
    <t>SAMEA115574428</t>
  </si>
  <si>
    <t>98.21%</t>
  </si>
  <si>
    <t>4504</t>
  </si>
  <si>
    <t>E-value &gt; 0.001, Reads &gt;= 20, ANI &gt; 96.5%, Genus Ranking = 1, Read Mapping Ratio &gt;= 0.5</t>
  </si>
  <si>
    <t>5308</t>
  </si>
  <si>
    <t>SAMEA115481004</t>
  </si>
  <si>
    <t>51.05</t>
  </si>
  <si>
    <t>6.52</t>
  </si>
  <si>
    <t>11600</t>
  </si>
  <si>
    <t>SAMEA5577393</t>
  </si>
  <si>
    <t>STK243</t>
  </si>
  <si>
    <t>37.35</t>
  </si>
  <si>
    <t>31.95</t>
  </si>
  <si>
    <t>Erbaba</t>
  </si>
  <si>
    <t>8072</t>
  </si>
  <si>
    <t>Bes2</t>
  </si>
  <si>
    <t>SAMEA5577352</t>
  </si>
  <si>
    <t>35.38</t>
  </si>
  <si>
    <t>45.65</t>
  </si>
  <si>
    <t>Iraq</t>
  </si>
  <si>
    <t>Bestansur</t>
  </si>
  <si>
    <t>603</t>
  </si>
  <si>
    <t>652</t>
  </si>
  <si>
    <t>CPC98</t>
  </si>
  <si>
    <t>SAMN04028906</t>
  </si>
  <si>
    <t>53.07</t>
  </si>
  <si>
    <t>-1.66</t>
  </si>
  <si>
    <t>Carsington Pasture Cave, Derbyshire</t>
  </si>
  <si>
    <t>6738</t>
  </si>
  <si>
    <t>Kaz1</t>
  </si>
  <si>
    <t>SAMEA5577367</t>
  </si>
  <si>
    <t>42.66</t>
  </si>
  <si>
    <t>44.65</t>
  </si>
  <si>
    <t>1000</t>
  </si>
  <si>
    <t>0.1361X</t>
  </si>
  <si>
    <t>12.43%</t>
  </si>
  <si>
    <t>SAMEA5577376</t>
  </si>
  <si>
    <t>40.29</t>
  </si>
  <si>
    <t>29.53</t>
  </si>
  <si>
    <t>8050</t>
  </si>
  <si>
    <t>Plo4</t>
  </si>
  <si>
    <t>SAMEA5577383</t>
  </si>
  <si>
    <t>43.20</t>
  </si>
  <si>
    <t>21.36</t>
  </si>
  <si>
    <t>0.0181X</t>
  </si>
  <si>
    <t>1.7%</t>
  </si>
  <si>
    <t>Plocnik, Prokuplje</t>
  </si>
  <si>
    <t>7000</t>
  </si>
  <si>
    <t>Shimao05</t>
  </si>
  <si>
    <t>SAMN08866422</t>
  </si>
  <si>
    <t>38.33</t>
  </si>
  <si>
    <t>109.83</t>
  </si>
  <si>
    <t>3879</t>
  </si>
  <si>
    <t>0.0465X</t>
  </si>
  <si>
    <t>4.24%</t>
  </si>
  <si>
    <t>Plo3</t>
  </si>
  <si>
    <t>SAMEA5577382</t>
  </si>
  <si>
    <t>E-value &gt; 0.001, Reads &gt;= 50, ANI &gt; 96.5%, 5' C&gt;T Damage &gt;= 0.01, Breadth Ratio &gt;= 0.8, Entropy (1000bp) &gt;= 0.8 (bacteria), Read Mapping Ratio &gt;= 0.5</t>
  </si>
  <si>
    <t>7025</t>
  </si>
  <si>
    <t>Bes1</t>
  </si>
  <si>
    <t>SAMEA5577351</t>
  </si>
  <si>
    <t>0.0218X</t>
  </si>
  <si>
    <t>2800</t>
  </si>
  <si>
    <t>SAMEA5577377</t>
  </si>
  <si>
    <t>7924</t>
  </si>
  <si>
    <t>0.1268X</t>
  </si>
  <si>
    <t>11.38%</t>
  </si>
  <si>
    <t>SAMEA5577362</t>
  </si>
  <si>
    <t>40.79</t>
  </si>
  <si>
    <t>E-value &gt; 0.001, Reads &gt;= 50, ANI &gt; 96.5%, 5' C&gt;T Damage &gt;= 0.01, Breadth Ratio &gt;= 0.8, Entropy (1000bp) &gt;= 0.8 (bacteria), Genus Ranking = 1</t>
  </si>
  <si>
    <t>43.85</t>
  </si>
  <si>
    <t>Gyumri</t>
  </si>
  <si>
    <t>7136</t>
  </si>
  <si>
    <t>Yer1</t>
  </si>
  <si>
    <t>SAMEA5577405</t>
  </si>
  <si>
    <t>41.27</t>
  </si>
  <si>
    <t>69.22</t>
  </si>
  <si>
    <t>Yerqorqan</t>
  </si>
  <si>
    <t>2050</t>
  </si>
  <si>
    <t>Has4</t>
  </si>
  <si>
    <t>SAMEA5577365</t>
  </si>
  <si>
    <t>37.00</t>
  </si>
  <si>
    <t>45.46</t>
  </si>
  <si>
    <t>Hasanlu, Azerbaijan</t>
  </si>
  <si>
    <t>2900</t>
  </si>
  <si>
    <t>Qaz1</t>
  </si>
  <si>
    <t>SAMEA5577389</t>
  </si>
  <si>
    <t>36.30</t>
  </si>
  <si>
    <t>49.98</t>
  </si>
  <si>
    <t>Qazvin</t>
  </si>
  <si>
    <t>4707</t>
  </si>
  <si>
    <t>SAMEA5577364</t>
  </si>
  <si>
    <t>#21</t>
  </si>
  <si>
    <t>4470</t>
  </si>
  <si>
    <t>SAMEA5577407</t>
  </si>
  <si>
    <t>31.70</t>
  </si>
  <si>
    <t>34.85</t>
  </si>
  <si>
    <t>Tel es-Safi</t>
  </si>
  <si>
    <t>2820</t>
  </si>
  <si>
    <t>Kok1</t>
  </si>
  <si>
    <t>SAMEA5577373</t>
  </si>
  <si>
    <t>39.89</t>
  </si>
  <si>
    <t>66.95</t>
  </si>
  <si>
    <t>Kok Tepe</t>
  </si>
  <si>
    <t>3500</t>
  </si>
  <si>
    <t>SAMEA5577381</t>
  </si>
  <si>
    <t>6950</t>
  </si>
  <si>
    <t>SAMEA5577370</t>
  </si>
  <si>
    <t>98.06%</t>
  </si>
  <si>
    <t>1200</t>
  </si>
  <si>
    <t>Kaz3</t>
  </si>
  <si>
    <t>SAMEA5577369</t>
  </si>
  <si>
    <t>1350</t>
  </si>
  <si>
    <t>Bub1</t>
  </si>
  <si>
    <t>SAMEA5577355</t>
  </si>
  <si>
    <t>98.59%</t>
  </si>
  <si>
    <t>43.31</t>
  </si>
  <si>
    <t>21.87</t>
  </si>
  <si>
    <t>Bubanj</t>
  </si>
  <si>
    <t>7600</t>
  </si>
  <si>
    <t>Plo6</t>
  </si>
  <si>
    <t>SAMEA5577385</t>
  </si>
  <si>
    <t>0.0634X</t>
  </si>
  <si>
    <t>5.76%</t>
  </si>
  <si>
    <t>7126</t>
  </si>
  <si>
    <t>Ch22</t>
  </si>
  <si>
    <t>SAMEA5577358</t>
  </si>
  <si>
    <t>Far1</t>
  </si>
  <si>
    <t>37.67</t>
  </si>
  <si>
    <t>32.83</t>
  </si>
  <si>
    <t>Çatalhöyük</t>
  </si>
  <si>
    <t>Kaz2</t>
  </si>
  <si>
    <t>SAMEA5577368</t>
  </si>
  <si>
    <t>99.11%</t>
  </si>
  <si>
    <t>1050</t>
  </si>
  <si>
    <t>Kho1</t>
  </si>
  <si>
    <t>SAMEA5577372</t>
  </si>
  <si>
    <t>36.21</t>
  </si>
  <si>
    <t>58.80</t>
  </si>
  <si>
    <t>Nishapur Qohandez</t>
  </si>
  <si>
    <t>1400</t>
  </si>
  <si>
    <t>SAMEA5577387</t>
  </si>
  <si>
    <t>7001</t>
  </si>
  <si>
    <t>Sac3</t>
  </si>
  <si>
    <t>SAMEA5577390</t>
  </si>
  <si>
    <t>36.50</t>
  </si>
  <si>
    <t>55.00</t>
  </si>
  <si>
    <t>Tapeh-Sang-e-Caxmaq</t>
  </si>
  <si>
    <t>7373</t>
  </si>
  <si>
    <t>Stu1</t>
  </si>
  <si>
    <t>SAMEA5577392</t>
  </si>
  <si>
    <t>44.57</t>
  </si>
  <si>
    <t>20.14</t>
  </si>
  <si>
    <t>Stubline</t>
  </si>
  <si>
    <t>6660</t>
  </si>
  <si>
    <t>0.0299X</t>
  </si>
  <si>
    <t>2.9%</t>
  </si>
  <si>
    <t>Shimao04</t>
  </si>
  <si>
    <t>SAMN08866421</t>
  </si>
  <si>
    <t>E-value &gt; 0.001, Reads &gt;= 50, ANI &gt; 96.5%, Breadth Ratio &gt;= 0.8, Entropy (1000bp) &gt;= 0.8 (bacteria), Edit Distance No-Damage Decay Quality &gt;= 0.6, Genus Ranking = 1, Read Mapping Ratio &gt;= 0.5</t>
  </si>
  <si>
    <t>Bel2</t>
  </si>
  <si>
    <t>SAMEA5577350</t>
  </si>
  <si>
    <t>44.38</t>
  </si>
  <si>
    <t>21.42</t>
  </si>
  <si>
    <t>Belovode-Veliko</t>
  </si>
  <si>
    <t>6900</t>
  </si>
  <si>
    <t>Plo1</t>
  </si>
  <si>
    <t>SAMEA5577380</t>
  </si>
  <si>
    <t>7125</t>
  </si>
  <si>
    <t>Ace1</t>
  </si>
  <si>
    <t>SAMEA5577346</t>
  </si>
  <si>
    <t>38.41</t>
  </si>
  <si>
    <t>33.84</t>
  </si>
  <si>
    <t>4200</t>
  </si>
  <si>
    <t>ALT232</t>
  </si>
  <si>
    <t>SAMEA5577386</t>
  </si>
  <si>
    <t>SAMN25653744</t>
  </si>
  <si>
    <t>35.87</t>
  </si>
  <si>
    <t>8.79</t>
  </si>
  <si>
    <t>2818</t>
  </si>
  <si>
    <t>Bel1</t>
  </si>
  <si>
    <t>SAMEA5577349</t>
  </si>
  <si>
    <t>SAMN25653742</t>
  </si>
  <si>
    <t>2553</t>
  </si>
  <si>
    <t>SAMEA5577395</t>
  </si>
  <si>
    <t>34.78</t>
  </si>
  <si>
    <t>-3.33</t>
  </si>
  <si>
    <t>Morocco</t>
  </si>
  <si>
    <t>Taghit Haddouch</t>
  </si>
  <si>
    <t>8828</t>
  </si>
  <si>
    <t>Plo5</t>
  </si>
  <si>
    <t>SAMEA5577384</t>
  </si>
  <si>
    <t>6650</t>
  </si>
  <si>
    <t>SAMEA5577357</t>
  </si>
  <si>
    <t>32.60</t>
  </si>
  <si>
    <t>35.24</t>
  </si>
  <si>
    <t>Horvat Castra</t>
  </si>
  <si>
    <t>Shimao07</t>
  </si>
  <si>
    <t>SAMN08866424</t>
  </si>
  <si>
    <t>Bul1</t>
  </si>
  <si>
    <t>SAMEA5577356</t>
  </si>
  <si>
    <t>37.70</t>
  </si>
  <si>
    <t>66.80</t>
  </si>
  <si>
    <t>3800</t>
  </si>
  <si>
    <t>Tyq1</t>
  </si>
  <si>
    <t>SAMEA5577404</t>
  </si>
  <si>
    <t>32.66</t>
  </si>
  <si>
    <t>35.11</t>
  </si>
  <si>
    <t>Tel Yoqneam</t>
  </si>
  <si>
    <t>2200</t>
  </si>
  <si>
    <t>SAMEA5577366</t>
  </si>
  <si>
    <t>2300</t>
  </si>
  <si>
    <t>Mar1</t>
  </si>
  <si>
    <t>SAMEA5577374</t>
  </si>
  <si>
    <t>35.96</t>
  </si>
  <si>
    <t>50.68</t>
  </si>
  <si>
    <t>Maral Tappeh, Ozbaki</t>
  </si>
  <si>
    <t>6150</t>
  </si>
  <si>
    <t>Shimao02</t>
  </si>
  <si>
    <t>SAMN08866419</t>
  </si>
  <si>
    <t>0.0154X</t>
  </si>
  <si>
    <t>0.72%</t>
  </si>
  <si>
    <t>SAMEA5577406</t>
  </si>
  <si>
    <t>32.50</t>
  </si>
  <si>
    <t>35.50</t>
  </si>
  <si>
    <t>Tel Zahara</t>
  </si>
  <si>
    <t>1850</t>
  </si>
  <si>
    <t>SAMEA5577360</t>
  </si>
  <si>
    <t>30.17</t>
  </si>
  <si>
    <t>52.67</t>
  </si>
  <si>
    <t>Miyanroud</t>
  </si>
  <si>
    <t>7700</t>
  </si>
  <si>
    <t>Has1</t>
  </si>
  <si>
    <t>SAMEA5577363</t>
  </si>
  <si>
    <t>0.0875X</t>
  </si>
  <si>
    <t>2.43%</t>
  </si>
  <si>
    <t>3700</t>
  </si>
  <si>
    <t>SAMN08866425</t>
  </si>
  <si>
    <t>0.1019X</t>
  </si>
  <si>
    <t>2.72%</t>
  </si>
  <si>
    <t>Kaz5</t>
  </si>
  <si>
    <t>SAMEA5577371</t>
  </si>
  <si>
    <t>1290</t>
  </si>
  <si>
    <t>Tmq3</t>
  </si>
  <si>
    <t>SAMEA5577399</t>
  </si>
  <si>
    <t>0.0916X</t>
  </si>
  <si>
    <t>31.78</t>
  </si>
  <si>
    <t>2925</t>
  </si>
  <si>
    <t>Tmq4</t>
  </si>
  <si>
    <t>SAMEA5577400</t>
  </si>
  <si>
    <t>Tsa3</t>
  </si>
  <si>
    <t>SAMEA5577409</t>
  </si>
  <si>
    <t>0.0354X</t>
  </si>
  <si>
    <t>2.19%</t>
  </si>
  <si>
    <t>Bla1</t>
  </si>
  <si>
    <t>SAMEA5577353</t>
  </si>
  <si>
    <t>43.44</t>
  </si>
  <si>
    <t>21.06</t>
  </si>
  <si>
    <t>Blagotin</t>
  </si>
  <si>
    <t>8100</t>
  </si>
  <si>
    <t>Tqa3</t>
  </si>
  <si>
    <t>SAMEA5577403</t>
  </si>
  <si>
    <t>32.73</t>
  </si>
  <si>
    <t>35.05</t>
  </si>
  <si>
    <t>Tel es-Qashish</t>
  </si>
  <si>
    <t>4800</t>
  </si>
  <si>
    <t>SAMN25653738</t>
  </si>
  <si>
    <t>2541</t>
  </si>
  <si>
    <t>Bla2</t>
  </si>
  <si>
    <t>SAMEA5577354</t>
  </si>
  <si>
    <t>Shimao01</t>
  </si>
  <si>
    <t>SAMN08866418</t>
  </si>
  <si>
    <t>97.77%</t>
  </si>
  <si>
    <t>Shimao03</t>
  </si>
  <si>
    <t>SAMN08866420</t>
  </si>
  <si>
    <t>SAMN08866423</t>
  </si>
  <si>
    <t>SAMN25653740</t>
  </si>
  <si>
    <t>SAMN25653741</t>
  </si>
  <si>
    <t>0.0052X</t>
  </si>
  <si>
    <t>SAMN25653743</t>
  </si>
  <si>
    <t>SAMN25653746</t>
  </si>
  <si>
    <t>2131</t>
  </si>
  <si>
    <t>Ash4</t>
  </si>
  <si>
    <t>SAMEA5577347</t>
  </si>
  <si>
    <t>31.66</t>
  </si>
  <si>
    <t>34.55</t>
  </si>
  <si>
    <t>Tel Ashqelon</t>
  </si>
  <si>
    <t>3100</t>
  </si>
  <si>
    <t>SAMEA5577375</t>
  </si>
  <si>
    <t>31.20</t>
  </si>
  <si>
    <t>34.99</t>
  </si>
  <si>
    <t>Tel Masos</t>
  </si>
  <si>
    <t>Tmq1</t>
  </si>
  <si>
    <t>SAMEA5577397</t>
  </si>
  <si>
    <t>0.8%</t>
  </si>
  <si>
    <t>3150</t>
  </si>
  <si>
    <t>Tmq2</t>
  </si>
  <si>
    <t>SAMEA5577398</t>
  </si>
  <si>
    <t>SAMEA5577408</t>
  </si>
  <si>
    <t>ALT235</t>
  </si>
  <si>
    <t>2.05%</t>
  </si>
  <si>
    <t>SAMN25653739</t>
  </si>
  <si>
    <t>SAMEA5577348</t>
  </si>
  <si>
    <t>39.16</t>
  </si>
  <si>
    <t>45.27</t>
  </si>
  <si>
    <t>6100</t>
  </si>
  <si>
    <t>SAMEA5577359</t>
  </si>
  <si>
    <t>33.25</t>
  </si>
  <si>
    <t>35.65</t>
  </si>
  <si>
    <t>5200</t>
  </si>
  <si>
    <t>Gil1</t>
  </si>
  <si>
    <t>SAMEA5577361</t>
  </si>
  <si>
    <t>31.33</t>
  </si>
  <si>
    <t>34.65</t>
  </si>
  <si>
    <t>Gilat</t>
  </si>
  <si>
    <t>5750</t>
  </si>
  <si>
    <t>Mon1</t>
  </si>
  <si>
    <t>SAMEA5577378</t>
  </si>
  <si>
    <t>36.85</t>
  </si>
  <si>
    <t>60.42</t>
  </si>
  <si>
    <t>7200</t>
  </si>
  <si>
    <t>#24</t>
  </si>
  <si>
    <t>Nah1</t>
  </si>
  <si>
    <t>SAMEA5577379</t>
  </si>
  <si>
    <t>31.25</t>
  </si>
  <si>
    <t>34.79</t>
  </si>
  <si>
    <t>Nahal Tillah</t>
  </si>
  <si>
    <t>Pro1</t>
  </si>
  <si>
    <t>SAMEA5577388</t>
  </si>
  <si>
    <t>41.37</t>
  </si>
  <si>
    <t>23.37</t>
  </si>
  <si>
    <t>Greece</t>
  </si>
  <si>
    <t>Promachon, Serres</t>
  </si>
  <si>
    <t>Sar38</t>
  </si>
  <si>
    <t>SAMEA5577391</t>
  </si>
  <si>
    <t>38.50</t>
  </si>
  <si>
    <t>23.17</t>
  </si>
  <si>
    <t>Sarakenos Cave, Boeotia</t>
  </si>
  <si>
    <t>6600</t>
  </si>
  <si>
    <t>SAMN25653745</t>
  </si>
  <si>
    <t>Tda1</t>
  </si>
  <si>
    <t>SAMEA5577394</t>
  </si>
  <si>
    <t>31.98</t>
  </si>
  <si>
    <t>34.97</t>
  </si>
  <si>
    <t>Tel-Dalit</t>
  </si>
  <si>
    <t>5050</t>
  </si>
  <si>
    <t>Thr1</t>
  </si>
  <si>
    <t>SAMEA5577396</t>
  </si>
  <si>
    <t>97.93%</t>
  </si>
  <si>
    <t>32.69</t>
  </si>
  <si>
    <t>34.94</t>
  </si>
  <si>
    <t>Tel Hreiz</t>
  </si>
  <si>
    <t>6700</t>
  </si>
  <si>
    <t>Tqa1</t>
  </si>
  <si>
    <t>SAMEA5577401</t>
  </si>
  <si>
    <t>SAMEA115481003</t>
  </si>
  <si>
    <t>98.43%</t>
  </si>
  <si>
    <t>53.33333</t>
  </si>
  <si>
    <t>6.516667</t>
  </si>
  <si>
    <t>1556</t>
  </si>
  <si>
    <t>Newly published</t>
  </si>
  <si>
    <t>0.0383X</t>
  </si>
  <si>
    <t>2.35%</t>
  </si>
  <si>
    <t>899,5</t>
  </si>
  <si>
    <t>0.1788X</t>
  </si>
  <si>
    <t>1899,5</t>
  </si>
  <si>
    <t>97.62%</t>
  </si>
  <si>
    <t>98.99%</t>
  </si>
  <si>
    <t>1149,5</t>
  </si>
  <si>
    <t>1499,5</t>
  </si>
  <si>
    <t>Published</t>
  </si>
  <si>
    <t>99.35%</t>
  </si>
  <si>
    <t>0.0081X</t>
  </si>
  <si>
    <t>0.004X</t>
  </si>
  <si>
    <t>9837.5</t>
  </si>
  <si>
    <t>10118</t>
  </si>
  <si>
    <t>98.61%</t>
  </si>
  <si>
    <t>9557</t>
  </si>
  <si>
    <t>metacarpal</t>
  </si>
  <si>
    <t>metacarpal (juvinal)</t>
  </si>
  <si>
    <t>Kuran Buzan</t>
  </si>
  <si>
    <t>E-value &gt; 0.001, Reads &gt;= 50, ANI &gt; 96.5%, Breadth Ratio &gt;= 0.8, Edit Distance No-Damage Decay Quality &gt;= 0.6, Genus Ranking = 1</t>
  </si>
  <si>
    <t>petrous ("wild")</t>
  </si>
  <si>
    <t>Tepe Jarali</t>
  </si>
  <si>
    <t>petrous</t>
  </si>
  <si>
    <t>humerus (fetous)</t>
  </si>
  <si>
    <t>Internal code</t>
  </si>
  <si>
    <t>Endogenous</t>
  </si>
  <si>
    <t>99.45%</t>
  </si>
  <si>
    <t>BK471</t>
  </si>
  <si>
    <t>0.1272X</t>
  </si>
  <si>
    <t>9.91%</t>
  </si>
  <si>
    <t>ISK318</t>
  </si>
  <si>
    <t>E-value &gt; 0.001, Reads &gt;= 50, ANI &gt; 96.5%, 5' C&gt;T Damage &gt;= 0.01, Breadth Ratio &gt;= 0.8, Entropy (1000bp) &gt;= 0.8 (bacteria), Edit Distance Damage Decay Quality &gt;= 0.5, Genus Ranking = 1, Read Mapping Ratio &gt;= 0.5</t>
  </si>
  <si>
    <t>humerus ("domesticated")</t>
  </si>
  <si>
    <t>BK383</t>
  </si>
  <si>
    <t>KK171</t>
  </si>
  <si>
    <t>KK172</t>
  </si>
  <si>
    <t>tib ("foetal")</t>
  </si>
  <si>
    <t>KT081</t>
  </si>
  <si>
    <t>Asiab</t>
  </si>
  <si>
    <t>ph ? ("pullus" juvenile)</t>
  </si>
  <si>
    <t>KK353</t>
  </si>
  <si>
    <t>0.0199X</t>
  </si>
  <si>
    <t>1.94%</t>
  </si>
  <si>
    <t>P46</t>
  </si>
  <si>
    <t>humerus (pullus)</t>
  </si>
  <si>
    <t>Missing</t>
  </si>
  <si>
    <t>mtc (adult)</t>
  </si>
  <si>
    <t>P115</t>
  </si>
  <si>
    <t>mtt (pullus) (pathology)</t>
  </si>
  <si>
    <t>P77</t>
  </si>
  <si>
    <t>mttc</t>
  </si>
  <si>
    <t>P42</t>
  </si>
  <si>
    <t>P62</t>
  </si>
  <si>
    <t>0.0543X</t>
  </si>
  <si>
    <t>1.38%</t>
  </si>
  <si>
    <t>P43</t>
  </si>
  <si>
    <t>P54</t>
  </si>
  <si>
    <t>Tang-i-Ktchek</t>
  </si>
  <si>
    <t>P87</t>
  </si>
  <si>
    <t>Saudi Arabia</t>
  </si>
  <si>
    <t>Al-Ula</t>
  </si>
  <si>
    <t>0.133X</t>
  </si>
  <si>
    <t>P89</t>
  </si>
  <si>
    <t>P96</t>
  </si>
  <si>
    <t>0.0815X</t>
  </si>
  <si>
    <t>7.67%</t>
  </si>
  <si>
    <t>P102</t>
  </si>
  <si>
    <t>mandibula with teeth</t>
  </si>
  <si>
    <t>Stoderovskoe 1</t>
  </si>
  <si>
    <t>P85</t>
  </si>
  <si>
    <t>0.0106X</t>
  </si>
  <si>
    <t>0.84%</t>
  </si>
  <si>
    <t>E-value &gt; 0.001, Reads &gt;= 100, ANI &gt; 96.5%, 5' C&gt;T Damage &gt;= 0.01, Read Mapping Ratio &gt;= 0.5</t>
  </si>
  <si>
    <t>P108</t>
  </si>
  <si>
    <t>P86</t>
  </si>
  <si>
    <t>P78</t>
  </si>
  <si>
    <t>Mandibula (adult)</t>
  </si>
  <si>
    <t>P95</t>
  </si>
  <si>
    <t>Nezlobnenskiy 5</t>
  </si>
  <si>
    <t>P71</t>
  </si>
  <si>
    <t>0.1172X</t>
  </si>
  <si>
    <t>3.04%</t>
  </si>
  <si>
    <t>P50</t>
  </si>
  <si>
    <t>P51</t>
  </si>
  <si>
    <t>P80</t>
  </si>
  <si>
    <t>Tang-i-Hamamlan</t>
  </si>
  <si>
    <t>P113</t>
  </si>
  <si>
    <t>P58</t>
  </si>
  <si>
    <t>P97</t>
  </si>
  <si>
    <t>P44</t>
  </si>
  <si>
    <t>humerus(pullus)</t>
  </si>
  <si>
    <t>P45</t>
  </si>
  <si>
    <t>P47</t>
  </si>
  <si>
    <t>0.0252X</t>
  </si>
  <si>
    <t>P48</t>
  </si>
  <si>
    <t>1.77%</t>
  </si>
  <si>
    <t>P49</t>
  </si>
  <si>
    <t>femur(foet)</t>
  </si>
  <si>
    <t>0.0153X</t>
  </si>
  <si>
    <t>1.5%</t>
  </si>
  <si>
    <t>P52</t>
  </si>
  <si>
    <t>OCD_1</t>
  </si>
  <si>
    <t>AAKSAU-EX 2021A IDIHA-0011182; IDIHA-F-0018247; 017 #0523 N.63</t>
  </si>
  <si>
    <t>BZNK-0828/1</t>
  </si>
  <si>
    <t>BZNK-1280/2-#</t>
  </si>
  <si>
    <t>BZNK-0466/1-2</t>
  </si>
  <si>
    <t>rad(pullus)</t>
  </si>
  <si>
    <t>BZNK-0440/1</t>
  </si>
  <si>
    <t>E-value &gt; 0.001, Reads &gt;= 200, ANI &gt; 96.5%, 5' C&gt;T Damage &gt;= 0.01</t>
  </si>
  <si>
    <t>mtc</t>
  </si>
  <si>
    <t>BZNK-0258/1-##</t>
  </si>
  <si>
    <t>0.075X</t>
  </si>
  <si>
    <t>97.86%</t>
  </si>
  <si>
    <t>BZNK-0553/1</t>
  </si>
  <si>
    <t>0.04X</t>
  </si>
  <si>
    <t>0.7%</t>
  </si>
  <si>
    <t>BZNK-1321/1</t>
  </si>
  <si>
    <t>BZNK-0826/1-2</t>
  </si>
  <si>
    <t>P70</t>
  </si>
  <si>
    <t>pars petrous(same as LL108 and LL109)</t>
  </si>
  <si>
    <t>P55</t>
  </si>
  <si>
    <t>0.0361X</t>
  </si>
  <si>
    <t>2.23%</t>
  </si>
  <si>
    <t>P38</t>
  </si>
  <si>
    <t>0.0425X</t>
  </si>
  <si>
    <t>mtc(large capra)</t>
  </si>
  <si>
    <t>4.14%</t>
  </si>
  <si>
    <t>P41</t>
  </si>
  <si>
    <t>E-value &gt; 0.001, Reads &gt;= 50, ANI &gt; 96.5%, 5' C&gt;T Damage &gt;= 0.01, Breadth Ratio &gt;= 0.8, Entropy (1000bp) &gt;= 0.8 (bacteria), Edit Distance Damage Decay Quality &gt;= 0.5, Edit Distance No-Damage Decay Quality &gt;= 0.6</t>
  </si>
  <si>
    <t>OCD_2</t>
  </si>
  <si>
    <t>P82</t>
  </si>
  <si>
    <t>P39</t>
  </si>
  <si>
    <t>P40</t>
  </si>
  <si>
    <t>P53</t>
  </si>
  <si>
    <t>0.1261X</t>
  </si>
  <si>
    <t>4.51%</t>
  </si>
  <si>
    <t>P56</t>
  </si>
  <si>
    <t>E-value &gt; 0.001, Reads &gt;= 100, ANI &gt; 96.5%, Entropy (1000bp) &gt;= 0.8 (bacteria), Edit Distance Damage Decay Quality &gt;= 0.5, Read Mapping Ratio &gt;= 0.5</t>
  </si>
  <si>
    <t>P57</t>
  </si>
  <si>
    <t>0.0872X</t>
  </si>
  <si>
    <t>8.05%</t>
  </si>
  <si>
    <t>humerus(wild)</t>
  </si>
  <si>
    <t>E-value &gt; 0.001, Reads &gt;= 50, ANI &gt; 96.5%, 5' C&gt;T Damage &gt;= 0.01, Breadth Ratio &gt;= 0.8, Entropy (1000bp) &gt;= 0.8 (bacteria), Edit Distance Damage Decay Quality &gt;= 0.5, Edit Distance No-Damage Decay Quality &gt;= 0.6, Genus Ranking = 1</t>
  </si>
  <si>
    <t>P67</t>
  </si>
  <si>
    <t>humerus(dom)</t>
  </si>
  <si>
    <t>P72</t>
  </si>
  <si>
    <t>3/10</t>
  </si>
  <si>
    <t>P69</t>
  </si>
  <si>
    <t>P92</t>
  </si>
  <si>
    <t>98.10%</t>
  </si>
  <si>
    <t>P112</t>
  </si>
  <si>
    <t>3.8735X</t>
  </si>
  <si>
    <t>14.66%</t>
  </si>
  <si>
    <t>P59</t>
  </si>
  <si>
    <t>97.45%</t>
  </si>
  <si>
    <t>P60</t>
  </si>
  <si>
    <t>P61</t>
  </si>
  <si>
    <t>0.0818X</t>
  </si>
  <si>
    <t>1.71%</t>
  </si>
  <si>
    <t>P79</t>
  </si>
  <si>
    <t>P63</t>
  </si>
  <si>
    <t>0.0889X</t>
  </si>
  <si>
    <t>1.82%</t>
  </si>
  <si>
    <t>P65</t>
  </si>
  <si>
    <t>0.0564X</t>
  </si>
  <si>
    <t>2.95%</t>
  </si>
  <si>
    <t>P66</t>
  </si>
  <si>
    <t>P68</t>
  </si>
  <si>
    <t>humerus"dom"</t>
  </si>
  <si>
    <t>99.18%</t>
  </si>
  <si>
    <t>P76</t>
  </si>
  <si>
    <t>P73</t>
  </si>
  <si>
    <t>P74</t>
  </si>
  <si>
    <t>0.0951X</t>
  </si>
  <si>
    <t>3.98%</t>
  </si>
  <si>
    <t>P75</t>
  </si>
  <si>
    <t>P81</t>
  </si>
  <si>
    <t>P83</t>
  </si>
  <si>
    <t>P88</t>
  </si>
  <si>
    <t>P90</t>
  </si>
  <si>
    <t>P91</t>
  </si>
  <si>
    <t>bad003_2</t>
  </si>
  <si>
    <t>pars petrous(same as LL081 and LL108)</t>
  </si>
  <si>
    <t>P93</t>
  </si>
  <si>
    <t>P94</t>
  </si>
  <si>
    <t>Al-ula</t>
  </si>
  <si>
    <t>P98</t>
  </si>
  <si>
    <t>Phalanx 1</t>
  </si>
  <si>
    <t>0.0424X</t>
  </si>
  <si>
    <t>Tepe Qabrestan</t>
  </si>
  <si>
    <t>P99</t>
  </si>
  <si>
    <t>Mandibule</t>
  </si>
  <si>
    <t>0.0351X</t>
  </si>
  <si>
    <t>3.45%</t>
  </si>
  <si>
    <t>P103</t>
  </si>
  <si>
    <t>Metactarsus</t>
  </si>
  <si>
    <t>P100</t>
  </si>
  <si>
    <t>Atlas and Axis</t>
  </si>
  <si>
    <t>Tepe Zagheh</t>
  </si>
  <si>
    <t>0.0224X</t>
  </si>
  <si>
    <t>P101</t>
  </si>
  <si>
    <t>Maxilla</t>
  </si>
  <si>
    <t>Camel</t>
  </si>
  <si>
    <t>Sagzabad</t>
  </si>
  <si>
    <t>P84</t>
  </si>
  <si>
    <t>0.0161X</t>
  </si>
  <si>
    <t>1.2%</t>
  </si>
  <si>
    <t>P104</t>
  </si>
  <si>
    <t>Tibia</t>
  </si>
  <si>
    <t>P105</t>
  </si>
  <si>
    <t>Femur</t>
  </si>
  <si>
    <t>0.0214X</t>
  </si>
  <si>
    <t>1.59%</t>
  </si>
  <si>
    <t>P106</t>
  </si>
  <si>
    <t>Metapodial</t>
  </si>
  <si>
    <t>2.3475X</t>
  </si>
  <si>
    <t>13.32%</t>
  </si>
  <si>
    <t>P107</t>
  </si>
  <si>
    <t>P109</t>
  </si>
  <si>
    <t>0.0169X</t>
  </si>
  <si>
    <t>1.66%</t>
  </si>
  <si>
    <t>P110</t>
  </si>
  <si>
    <t>P111</t>
  </si>
  <si>
    <t>Qaleh Rostam</t>
  </si>
  <si>
    <t>Teeth (Incisive)</t>
  </si>
  <si>
    <t>P116</t>
  </si>
  <si>
    <t>98.07%</t>
  </si>
  <si>
    <t>Tooth</t>
  </si>
  <si>
    <t>Jari B</t>
  </si>
  <si>
    <t>P117</t>
  </si>
  <si>
    <t>0.0249X</t>
  </si>
  <si>
    <t>AAKSAU-EX 2020B; IDIHA-0004316; IDIHA-F-0007224; 001; SQ.1,SP.3 #0249 N.186 Kevin#1</t>
  </si>
  <si>
    <t>98.09%</t>
  </si>
  <si>
    <t>zah001_2</t>
  </si>
  <si>
    <t>MM2023-41</t>
  </si>
  <si>
    <t>Yafteh</t>
  </si>
  <si>
    <t>Tooth (incisor)</t>
  </si>
  <si>
    <t>T.Q.#71</t>
  </si>
  <si>
    <t>MM2023-46</t>
  </si>
  <si>
    <t>Bakun A</t>
  </si>
  <si>
    <t>MM2023-38</t>
  </si>
  <si>
    <t>Tooth(incisor)</t>
  </si>
  <si>
    <t>MM2023-57</t>
  </si>
  <si>
    <t>zah001_1</t>
  </si>
  <si>
    <t>Komishan</t>
  </si>
  <si>
    <t>0.0108X</t>
  </si>
  <si>
    <t>Radius(perinatal)</t>
  </si>
  <si>
    <t>Metacarpals(perinatal)</t>
  </si>
  <si>
    <t>0.0101X</t>
  </si>
  <si>
    <t>0.81%</t>
  </si>
  <si>
    <t>#2001</t>
  </si>
  <si>
    <t>E-value &gt; 0.001, Reads &gt;= 100, ANI &gt; 96.5%, Breadth Ratio &gt;= 0.8, Edit Distance Damage Decay Quality &gt;= 0.5, Read Mapping Ratio &gt;= 0.5</t>
  </si>
  <si>
    <t>Humerus (perinatal)</t>
  </si>
  <si>
    <t>#2051</t>
  </si>
  <si>
    <t>0.0705X</t>
  </si>
  <si>
    <t>6.7%</t>
  </si>
  <si>
    <t>JB164</t>
  </si>
  <si>
    <t>Metapodial (perinatal)</t>
  </si>
  <si>
    <t>#2540</t>
  </si>
  <si>
    <t>Metapodial(Perinatal)</t>
  </si>
  <si>
    <t>MM2023-28</t>
  </si>
  <si>
    <t>MM2023-37</t>
  </si>
  <si>
    <t>Metapodial(perinatal)</t>
  </si>
  <si>
    <t>MM2023-1</t>
  </si>
  <si>
    <t>97.22%</t>
  </si>
  <si>
    <t>MM2023-2</t>
  </si>
  <si>
    <t>Y199</t>
  </si>
  <si>
    <t>0.0068X</t>
  </si>
  <si>
    <t>Femur(perinatal)</t>
  </si>
  <si>
    <t>#739</t>
  </si>
  <si>
    <t>#740</t>
  </si>
  <si>
    <t>MM2023-4</t>
  </si>
  <si>
    <t>#20</t>
  </si>
  <si>
    <t>E-value &gt; 0.001, Reads &gt;= 50, ANI &gt; 96.5%, 5' C&gt;T Damage &gt;= 0.01, Edit Distance Damage Decay Quality &gt;= 0.5</t>
  </si>
  <si>
    <t>JB163</t>
  </si>
  <si>
    <t>Petrous</t>
  </si>
  <si>
    <t>Shanidar Cave</t>
  </si>
  <si>
    <t>0.1004X</t>
  </si>
  <si>
    <t>9.29%</t>
  </si>
  <si>
    <t>MC 71580</t>
  </si>
  <si>
    <t>E-value &gt; 0.001, Reads &gt;= 100, ANI &gt; 96.5%, 5' C&gt;T Damage &gt;= 0.01, Breadth Ratio &gt;= 0.8, Entropy (1000bp) &gt;= 0.8 (bacteria), Edit Distance Damage Decay Quality &gt;= 0.5, Edit Distance No-Damage Decay Quality &gt;= 0.6, Genus Ranking = 1, Read Mapping Ratio &gt;= 0.5</t>
  </si>
  <si>
    <t>Teeth (PLM2)</t>
  </si>
  <si>
    <t>MC 72713</t>
  </si>
  <si>
    <t>KD416</t>
  </si>
  <si>
    <t>Teeth( DUP)</t>
  </si>
  <si>
    <t>97.10%</t>
  </si>
  <si>
    <t>Teeth (PLP2)</t>
  </si>
  <si>
    <t>Teeth (Incisor)</t>
  </si>
  <si>
    <t>Teeth (PUP)</t>
  </si>
  <si>
    <t>97.81%</t>
  </si>
  <si>
    <t>Ulna</t>
  </si>
  <si>
    <t>0.0524X</t>
  </si>
  <si>
    <t>97.75%</t>
  </si>
  <si>
    <t>2.74%</t>
  </si>
  <si>
    <t>long bone (?)</t>
  </si>
  <si>
    <t>0.0266X</t>
  </si>
  <si>
    <t>99.33%</t>
  </si>
  <si>
    <t>0.0232X</t>
  </si>
  <si>
    <t>1.48%</t>
  </si>
  <si>
    <t>II 443 Layer C</t>
  </si>
  <si>
    <t>0.0191X</t>
  </si>
  <si>
    <t>III-557 Layer D</t>
  </si>
  <si>
    <t>A-510-520</t>
  </si>
  <si>
    <t>0.0867X</t>
  </si>
  <si>
    <t>2.27%</t>
  </si>
  <si>
    <t>? (sample 54)</t>
  </si>
  <si>
    <t>1.63%</t>
  </si>
  <si>
    <t>0.0417X</t>
  </si>
  <si>
    <t>2.13%</t>
  </si>
  <si>
    <t>P119</t>
  </si>
  <si>
    <t>AAKSAN-EX 2020B IDIMA-0004316 IDIMA-F-0007224 001 SQ.1,SP.3 #0249 Kevin #2</t>
  </si>
  <si>
    <t>0.0438X</t>
  </si>
  <si>
    <t>AAKSAU-EX 2021A; IDIHA-0011182; IDIHA-F-0018247; 001; #0345 N.239</t>
  </si>
  <si>
    <t>MM2023-5</t>
  </si>
  <si>
    <t>0.0309X</t>
  </si>
  <si>
    <t>#407</t>
  </si>
  <si>
    <t>0.3369X</t>
  </si>
  <si>
    <t>5.98%</t>
  </si>
  <si>
    <t>0.1976X</t>
  </si>
  <si>
    <t>4.77%</t>
  </si>
  <si>
    <t>0.3907X</t>
  </si>
  <si>
    <t>E-value &gt; 0.001, Reads &gt;= 20, ANI &gt; 96.5%, Breadth Ratio &gt;= 0.8, Entropy (1000bp) &gt;= 0.8 (bacteria), Edit distance damaged &gt;= 0.5, Edit distance default (non-damaged) &gt;= 0.6, Genus Ranking = 1, Read Mapping Ratio &gt;= 0.5</t>
  </si>
  <si>
    <t>0.3871X</t>
  </si>
  <si>
    <t>E-value &gt; 0.001, Reads &gt;= 20, ANI &gt; 96.5%, Breadth Ratio &gt;= 0.8, Entropy (1000bp) &gt;= 0.8 (bacteria), Edit distance damaged &gt;= 0.5, Edit distance default (non-damaged) &gt;= 0.6, Read Mapping Ratio &gt;= 0.5</t>
  </si>
  <si>
    <t>0.0479X</t>
  </si>
  <si>
    <t>E-value &gt; 0.001, Reads &gt;= 100, ANI &gt; 96.5%, Edit distance damaged &gt;= 0.5, Read Mapping Ratio &gt;= 0.5</t>
  </si>
  <si>
    <t>0.0766X</t>
  </si>
  <si>
    <t>0.0245X</t>
  </si>
  <si>
    <t>2.41%</t>
  </si>
  <si>
    <t>No species found</t>
  </si>
  <si>
    <t>98.83%</t>
  </si>
  <si>
    <t>0.0062X</t>
  </si>
  <si>
    <t>tps062_5</t>
  </si>
  <si>
    <t>tps062_1</t>
  </si>
  <si>
    <t>tps062_3</t>
  </si>
  <si>
    <t>tps062_2</t>
  </si>
  <si>
    <t>0.86%</t>
  </si>
  <si>
    <t>96.82%</t>
  </si>
  <si>
    <t>0.0076X</t>
  </si>
  <si>
    <t>0.0505X</t>
  </si>
  <si>
    <t>0.1091X</t>
  </si>
  <si>
    <t>4.27%</t>
  </si>
  <si>
    <t>97.52%</t>
  </si>
  <si>
    <t>0.0937X</t>
  </si>
  <si>
    <t>8.79%</t>
  </si>
  <si>
    <t>98.49%</t>
  </si>
  <si>
    <t>97.67%</t>
  </si>
  <si>
    <t>ulu012_1</t>
  </si>
  <si>
    <t>0.0187X</t>
  </si>
  <si>
    <t>E-value &gt; 0.001, Reads &gt;= 100, ANI &gt; 96.5%, 5' C&gt;T Damage &gt;= 0.01, Breadth Ratio &gt;= 0.8, Edit Distance Damage Decay Quality &gt;= 0.5, Edit Distance No-Damage Decay Quality &gt;= 0.6, Genus Ranking = 1, Read Mapping Ratio &gt;= 0.5</t>
  </si>
  <si>
    <t>0.2427X</t>
  </si>
  <si>
    <t>5.23%</t>
  </si>
  <si>
    <t>97.91%</t>
  </si>
  <si>
    <t>0.0462X</t>
  </si>
  <si>
    <t>E-value &gt; 0.001, Reads &gt;= 100, ANI &gt; 96.5%, Entropy (1000bp) &gt;= 0.8 (bacteria), Read Mapping Ratio &gt;= 0.5</t>
  </si>
  <si>
    <t>1.4%</t>
  </si>
  <si>
    <t>1.0149X</t>
  </si>
  <si>
    <t>10.7%</t>
  </si>
  <si>
    <t>0.013X</t>
  </si>
  <si>
    <t>1.29%</t>
  </si>
  <si>
    <t>APOR009_8</t>
  </si>
  <si>
    <t>0.0301X</t>
  </si>
  <si>
    <t>1.72%</t>
  </si>
  <si>
    <t>99.04%</t>
  </si>
  <si>
    <t>1.51%</t>
  </si>
  <si>
    <t>APOR009_3</t>
  </si>
  <si>
    <t>APOR009_7</t>
  </si>
  <si>
    <t>APOR009_6</t>
  </si>
  <si>
    <t>APOR009_5</t>
  </si>
  <si>
    <t>2.02%</t>
  </si>
  <si>
    <t>97.90%</t>
  </si>
  <si>
    <t>0.0065X</t>
  </si>
  <si>
    <t>97.69%</t>
  </si>
  <si>
    <t>0.011X</t>
  </si>
  <si>
    <t>0.3515X</t>
  </si>
  <si>
    <t>8.56%</t>
  </si>
  <si>
    <t>E-value &gt; 0.001, Reads &gt;= 50, ANI &gt; 96.5%, 5' C&gt;T Damage &gt;= 0.01, Entropy (1000bp) &gt;= 0.8 (bacteria), Read Mapping Ratio &gt;= 0.5</t>
  </si>
  <si>
    <t>0.3024X</t>
  </si>
  <si>
    <t>18.63%</t>
  </si>
  <si>
    <t>0.012X</t>
  </si>
  <si>
    <t>0.0133X</t>
  </si>
  <si>
    <t>0.92%</t>
  </si>
  <si>
    <t>0.97%</t>
  </si>
  <si>
    <t>2.3527X</t>
  </si>
  <si>
    <t>81.55%</t>
  </si>
  <si>
    <t>2.9381X</t>
  </si>
  <si>
    <t>13.58%</t>
  </si>
  <si>
    <t>0.0592X</t>
  </si>
  <si>
    <t>97.63%</t>
  </si>
  <si>
    <t>1.18%</t>
  </si>
  <si>
    <t>E-value &gt; 0.001, Reads &gt;= 200, ANI &gt; 96.5%, 5' C&gt;T Damage &gt;= 0.01, Breadth Ratio &gt;= 0.8, Edit Distance No-Damage Decay Quality &gt;= 0.6</t>
  </si>
  <si>
    <t>0.93%</t>
  </si>
  <si>
    <t>97.83%</t>
  </si>
  <si>
    <t>0.0397X</t>
  </si>
  <si>
    <t>2.5%</t>
  </si>
  <si>
    <t>1.21%</t>
  </si>
  <si>
    <t>1.86X</t>
  </si>
  <si>
    <t>12.92%</t>
  </si>
  <si>
    <t>0.123X</t>
  </si>
  <si>
    <t>3.01%</t>
  </si>
  <si>
    <t>E-value &gt; 0.001, Reads &gt;= 200, ANI &gt; 96.5%, Breadth Ratio &gt;= 0.8, Edit Distance Damage Decay Quality &gt;= 0.5</t>
  </si>
  <si>
    <t>97.51%</t>
  </si>
  <si>
    <t>1.6388X</t>
  </si>
  <si>
    <t>12.27%</t>
  </si>
  <si>
    <t>0.0167X</t>
  </si>
  <si>
    <t>0.0973X</t>
  </si>
  <si>
    <t>2.68%</t>
  </si>
  <si>
    <t>0.1039X</t>
  </si>
  <si>
    <t>2.84%</t>
  </si>
  <si>
    <t>0.055X</t>
  </si>
  <si>
    <t>97.76%</t>
  </si>
  <si>
    <t>1.7395X</t>
  </si>
  <si>
    <t>12.24%</t>
  </si>
  <si>
    <t>1.32%</t>
  </si>
  <si>
    <t>0.073X</t>
  </si>
  <si>
    <t>2.18%</t>
  </si>
  <si>
    <t>97.60%</t>
  </si>
  <si>
    <t>97.79%</t>
  </si>
  <si>
    <t>0.0138X</t>
  </si>
  <si>
    <t>1.36%</t>
  </si>
  <si>
    <t>0.0402X</t>
  </si>
  <si>
    <t>2.11%</t>
  </si>
  <si>
    <t>0.1081X</t>
  </si>
  <si>
    <t>0.1098X</t>
  </si>
  <si>
    <t>2.98%</t>
  </si>
  <si>
    <t>E-value &gt; 0.001, Reads &gt;= 200, ANI &gt; 96.5%, 5' C&gt;T Damage &gt;= 0.01, Breadth Ratio &gt;= 0.8, Edit Distance Damage Decay Quality &gt;= 0.5, Edit Distance No-Damage Decay Quality &gt;= 0.6</t>
  </si>
  <si>
    <t>0.0059X</t>
  </si>
  <si>
    <t>0.1424X</t>
  </si>
  <si>
    <t>4.59%</t>
  </si>
  <si>
    <t>97.61%</t>
  </si>
  <si>
    <t>0.2197X</t>
  </si>
  <si>
    <t>17.56%</t>
  </si>
  <si>
    <t>0.1215X</t>
  </si>
  <si>
    <t>3.13%</t>
  </si>
  <si>
    <t>2.14%</t>
  </si>
  <si>
    <t>0.0067X</t>
  </si>
  <si>
    <t>98.28%</t>
  </si>
  <si>
    <t>0.1624X</t>
  </si>
  <si>
    <t>5.1%</t>
  </si>
  <si>
    <t>0.0985X</t>
  </si>
  <si>
    <t>0.0885X</t>
  </si>
  <si>
    <t>0.0666X</t>
  </si>
  <si>
    <t>3.11%</t>
  </si>
  <si>
    <t>0.032X</t>
  </si>
  <si>
    <t>3.12%</t>
  </si>
  <si>
    <t>0.0111X</t>
  </si>
  <si>
    <t>1.1%</t>
  </si>
  <si>
    <t>1.9526X</t>
  </si>
  <si>
    <t>68.45%</t>
  </si>
  <si>
    <t>E-value &gt; 0.001, Reads &gt;= 50, ANI &gt; 96.5%, 5' C&gt;T Damage &gt;= 0.01, Entropy (1000bp) &gt;= 0.8 (bacteria), Edit Distance Damage Decay Quality &gt;= 0.5, Edit Distance No-Damage Decay Quality &gt;= 0.6, Genus Ranking = 1, Read Mapping Ratio &gt;= 0.5</t>
  </si>
  <si>
    <t>0.5127X</t>
  </si>
  <si>
    <t>9.21%</t>
  </si>
  <si>
    <t>0.0582X</t>
  </si>
  <si>
    <t>5.52%</t>
  </si>
  <si>
    <t>0.0681X</t>
  </si>
  <si>
    <t>6.55%</t>
  </si>
  <si>
    <t>E-value &gt; 0.001, Reads &gt;= 200, ANI &gt; 96.5%, 5' C&gt;T Damage &gt;= 0.01, Breadth Ratio &gt;= 0.8, Entropy (1000bp) &gt;= 0.8 (bacteria), Edit Distance Damage Decay Quality &gt;= 0.5, Edit Distance No-Damage Decay Quality &gt;= 0.6, Genus Ranking = 1, Read Mapping Ratio &gt;= 0.5</t>
  </si>
  <si>
    <t>2.0812X</t>
  </si>
  <si>
    <t>12.71%</t>
  </si>
  <si>
    <t>0.2787X</t>
  </si>
  <si>
    <t>23.89%</t>
  </si>
  <si>
    <t>0.0474X</t>
  </si>
  <si>
    <t>2.58%</t>
  </si>
  <si>
    <t>E-value &gt; 0.001, Reads &gt;= 1, Genus Ranking = 1</t>
  </si>
  <si>
    <t>99.21%</t>
  </si>
  <si>
    <t>0.0569X</t>
  </si>
  <si>
    <t>5.21%</t>
  </si>
  <si>
    <t>4.5874X</t>
  </si>
  <si>
    <t>16.13%</t>
  </si>
  <si>
    <t>97.39%</t>
  </si>
  <si>
    <t>0.0378X</t>
  </si>
  <si>
    <t>3.67%</t>
  </si>
  <si>
    <t>0.1247X</t>
  </si>
  <si>
    <t>97.49%</t>
  </si>
  <si>
    <t>0.1499X</t>
  </si>
  <si>
    <t>97.53%</t>
  </si>
  <si>
    <t>0.1351X</t>
  </si>
  <si>
    <t>2.53%</t>
  </si>
  <si>
    <t>97.48%</t>
  </si>
  <si>
    <t>0.0237X</t>
  </si>
  <si>
    <t>99.17%</t>
  </si>
  <si>
    <t>1.04%</t>
  </si>
  <si>
    <t>0.0225X</t>
  </si>
  <si>
    <t>1.45%</t>
  </si>
  <si>
    <t>E-value &gt; 0.001, Reads &gt;= 20, ANI &gt; 96.5%, Read Mapping Ratio &gt;= 0.5</t>
  </si>
  <si>
    <t>0.0406X</t>
  </si>
  <si>
    <t>2.6%</t>
  </si>
  <si>
    <t>97.41%</t>
  </si>
  <si>
    <t>97.87%</t>
  </si>
  <si>
    <t>0.0313X</t>
  </si>
  <si>
    <t>1.31%</t>
  </si>
  <si>
    <t>0.0377X</t>
  </si>
  <si>
    <t>0.0334X</t>
  </si>
  <si>
    <t>1.39%</t>
  </si>
  <si>
    <t>0.74%</t>
  </si>
  <si>
    <t>0.209X</t>
  </si>
  <si>
    <t>18.47%</t>
  </si>
  <si>
    <t>0.0258X</t>
  </si>
  <si>
    <t>0.96%</t>
  </si>
  <si>
    <t>0.2069X</t>
  </si>
  <si>
    <t>17.21%</t>
  </si>
  <si>
    <t>0.0197X</t>
  </si>
  <si>
    <t>98.11%</t>
  </si>
  <si>
    <t>0.0264X</t>
  </si>
  <si>
    <t>98.15%</t>
  </si>
  <si>
    <t>E-value &gt; 0.001, Reads &gt;= 20, ANI &gt; 96.5%, Breadth Ratio &gt;= 0.8, Read Mapping Ratio &gt;= 0.5</t>
  </si>
  <si>
    <t>0.0131X</t>
  </si>
  <si>
    <t>0.67%</t>
  </si>
  <si>
    <t>E-value &gt; 0.001, Reads &gt;= 1, ANI &gt; 96.5%, Genus Ranking = 1, Read Mapping Ratio &gt;= 0.5</t>
  </si>
  <si>
    <t>0.018X</t>
  </si>
  <si>
    <t>E-value &gt; 0.001, Reads &gt;= 20, ANI &gt; 96.5%, 5' C&gt;T Damage &gt;= 0.01, Breadth Ratio &gt;= 0.8, Edit Distance Damage Decay Quality &gt;= 0.5, Read Mapping Ratio &gt;= 0.5</t>
  </si>
  <si>
    <t>0.61%</t>
  </si>
  <si>
    <t>0.05X</t>
  </si>
  <si>
    <t>0.0121X</t>
  </si>
  <si>
    <t>3.5558X</t>
  </si>
  <si>
    <t>14.82%</t>
  </si>
  <si>
    <t>0.0189X</t>
  </si>
  <si>
    <t>1.87%</t>
  </si>
  <si>
    <t>E-value &gt; 0.001, Reads &gt;= 50, ANI &gt; 96.5%, 5' C&gt;T Damage &gt;= 0.01, Breadth Ratio &gt;= 0.8, Edit Distance No-Damage Decay Quality &gt;= 0.6</t>
  </si>
  <si>
    <t>0.0635X</t>
  </si>
  <si>
    <t>0.6022X</t>
  </si>
  <si>
    <t>1.09%</t>
  </si>
  <si>
    <t>0.3422X</t>
  </si>
  <si>
    <t>28.45%</t>
  </si>
  <si>
    <t>E-value &gt; 0.001, Reads &gt;= 50, ANI &gt; 96.5%, Breadth Ratio &gt;= 0.8, Entropy (1000bp) &gt;= 0.8 (bacteria), Edit Distance Damage Decay Quality &gt;= 0.5, Edit Distance No-Damage Decay Quality &gt;= 0.6, Read Mapping Ratio &gt;= 0.5</t>
  </si>
  <si>
    <t>96.88%</t>
  </si>
  <si>
    <t>0.009X</t>
  </si>
  <si>
    <t>0.5823X</t>
  </si>
  <si>
    <t>41.71%</t>
  </si>
  <si>
    <t>0.0079X</t>
  </si>
  <si>
    <t>0.65%</t>
  </si>
  <si>
    <t>1.22%</t>
  </si>
  <si>
    <t>0.2799X</t>
  </si>
  <si>
    <t>18.54%</t>
  </si>
  <si>
    <t>E-value &gt; 0.001, Reads &gt;= 50, ANI &gt; 96.5%, 5' C&gt;T Damage &gt;= 0.01, Entropy (1000bp) &gt;= 0.8 (bacteria), Genus Ranking = 1</t>
  </si>
  <si>
    <t>0.037X</t>
  </si>
  <si>
    <t>0.0204X</t>
  </si>
  <si>
    <t>0.0615X</t>
  </si>
  <si>
    <t>0.0142X</t>
  </si>
  <si>
    <t>2.1%</t>
  </si>
  <si>
    <t>E-value &gt; 0.001, Reads &gt;= 20, ANI &gt; 96.5%, Edit Distance Damage Decay Quality &gt;= 0.5, Genus Ranking = 1, Read Mapping Ratio &gt;= 0.5</t>
  </si>
  <si>
    <t>0.0793X</t>
  </si>
  <si>
    <t>7.54%</t>
  </si>
  <si>
    <t>0.0075X</t>
  </si>
  <si>
    <t>0.59%</t>
  </si>
  <si>
    <t>0.0729X</t>
  </si>
  <si>
    <t>1.11%</t>
  </si>
  <si>
    <t>E-value &gt; 0.001, Reads &gt;= 200, ANI &gt; 96.5%, Breadth Ratio &gt;= 0.8, Genus Ranking = 1, Read Mapping Ratio &gt;= 0.5</t>
  </si>
  <si>
    <t>1.3%</t>
  </si>
  <si>
    <t>0.1203X</t>
  </si>
  <si>
    <t>9.4%</t>
  </si>
  <si>
    <t>0.0364X</t>
  </si>
  <si>
    <t>3.59%</t>
  </si>
  <si>
    <t>2.5651X</t>
  </si>
  <si>
    <t>13.55%</t>
  </si>
  <si>
    <t>0.302X</t>
  </si>
  <si>
    <t>23.94%</t>
  </si>
  <si>
    <t>0.0602X</t>
  </si>
  <si>
    <t>1.44%</t>
  </si>
  <si>
    <t>97.80%</t>
  </si>
  <si>
    <t>96.59%</t>
  </si>
  <si>
    <t>0.0335X</t>
  </si>
  <si>
    <t>0.0085X</t>
  </si>
  <si>
    <t>0.82%</t>
  </si>
  <si>
    <t>99.55%</t>
  </si>
  <si>
    <t>0.0325X</t>
  </si>
  <si>
    <t>E-value &gt; 0.001, Reads &gt;= 200, ANI &gt; 96.5%, Edit Distance Damage Decay Quality &gt;= 0.5, Edit Distance No-Damage Decay Quality &gt;= 0.6</t>
  </si>
  <si>
    <t>0.0286X</t>
  </si>
  <si>
    <t>2.73%</t>
  </si>
  <si>
    <t>0.18X</t>
  </si>
  <si>
    <t>15.88%</t>
  </si>
  <si>
    <t>0.95%</t>
  </si>
  <si>
    <t>3.7051X</t>
  </si>
  <si>
    <t>73.62%</t>
  </si>
  <si>
    <t>0.0104X</t>
  </si>
  <si>
    <t>0.0421X</t>
  </si>
  <si>
    <t>1.27%</t>
  </si>
  <si>
    <t>2.8748X</t>
  </si>
  <si>
    <t>15.08%</t>
  </si>
  <si>
    <t>0.0508X</t>
  </si>
  <si>
    <t>4.85%</t>
  </si>
  <si>
    <t>0.0546X</t>
  </si>
  <si>
    <t>0.0717X</t>
  </si>
  <si>
    <t>3.2%</t>
  </si>
  <si>
    <t>0.0779X</t>
  </si>
  <si>
    <t>3.42%</t>
  </si>
  <si>
    <t>0.0217X</t>
  </si>
  <si>
    <t>1.42%</t>
  </si>
  <si>
    <t>0.329X</t>
  </si>
  <si>
    <t>25.67%</t>
  </si>
  <si>
    <t>0.0236X</t>
  </si>
  <si>
    <t>1.62%</t>
  </si>
  <si>
    <t>0.0223X</t>
  </si>
  <si>
    <t>0.6256X</t>
  </si>
  <si>
    <t>0.0243X</t>
  </si>
  <si>
    <t>96.53%</t>
  </si>
  <si>
    <t>E-value &gt; 0.001, Reads &gt;= 100, ANI &gt; 96.5%, 5' C&gt;T Damage &gt;= 0.01, Breadth Ratio &gt;= 0.8, Edit Distance Damage Decay Quality &gt;= 0.5, Read Mapping Ratio &gt;= 0.5</t>
  </si>
  <si>
    <t>E-value &gt; 0.001, Reads &gt;= 200, ANI &gt; 96.5%, Edit Distance No-Damage Decay Quality &gt;= 0.6</t>
  </si>
  <si>
    <t>0.0407X</t>
  </si>
  <si>
    <t>0.0644X</t>
  </si>
  <si>
    <t>ira016_2</t>
  </si>
  <si>
    <t>0.2985X</t>
  </si>
  <si>
    <t>6.52%</t>
  </si>
  <si>
    <t>tps001_1</t>
  </si>
  <si>
    <t>tps001_2</t>
  </si>
  <si>
    <t>tps001_3</t>
  </si>
  <si>
    <t>0.0574X</t>
  </si>
  <si>
    <t>5.48%</t>
  </si>
  <si>
    <t>0.0061X</t>
  </si>
  <si>
    <t>0.0116X</t>
  </si>
  <si>
    <t>1.14%</t>
  </si>
  <si>
    <t>E-value &gt; 0.001, Reads &gt;= 100, ANI &gt; 96.5%, 5' C&gt;T Damage &gt;= 0.01, Breadth Ratio &gt;= 0.8, Edit Distance Damage Decay Quality &gt;= 0.5, Genus Ranking = 1, Read Mapping Ratio &gt;= 0.5</t>
  </si>
  <si>
    <t>0.0439X</t>
  </si>
  <si>
    <t>0.1006X</t>
  </si>
  <si>
    <t>9.43%</t>
  </si>
  <si>
    <t>0.0248X</t>
  </si>
  <si>
    <t>0.096X</t>
  </si>
  <si>
    <t>8.88%</t>
  </si>
  <si>
    <t>0.0074X</t>
  </si>
  <si>
    <t>0.0504X</t>
  </si>
  <si>
    <t>0.0568X</t>
  </si>
  <si>
    <t>5.11%</t>
  </si>
  <si>
    <t>0.0481X</t>
  </si>
  <si>
    <t>3.05%</t>
  </si>
  <si>
    <t>1.16%</t>
  </si>
  <si>
    <t>0.0379X</t>
  </si>
  <si>
    <t>2.33%</t>
  </si>
  <si>
    <t>0.0526X</t>
  </si>
  <si>
    <t>0.152X</t>
  </si>
  <si>
    <t>13.67%</t>
  </si>
  <si>
    <t>E-value &gt; 0.001, Reads &gt;= 100, ANI &gt; 96.5%, 5' C&gt;T Damage &gt;= 0.01, Breadth Ratio &gt;= 0.8, Edit Distance No-Damage Decay Quality &gt;= 0.6, Genus Ranking = 1, Read Mapping Ratio &gt;= 0.5</t>
  </si>
  <si>
    <t>7.76%</t>
  </si>
  <si>
    <t>0.0274X</t>
  </si>
  <si>
    <t>1.28%</t>
  </si>
  <si>
    <t>0.0139X</t>
  </si>
  <si>
    <t>2.0286X</t>
  </si>
  <si>
    <t>12.97%</t>
  </si>
  <si>
    <t>0.0185X</t>
  </si>
  <si>
    <t>1.81%</t>
  </si>
  <si>
    <t>0.1538X</t>
  </si>
  <si>
    <t>3.54%</t>
  </si>
  <si>
    <t>0.0954X</t>
  </si>
  <si>
    <t>2.2%</t>
  </si>
  <si>
    <t>4.6716X</t>
  </si>
  <si>
    <t>15.85%</t>
  </si>
  <si>
    <t>0.1445X</t>
  </si>
  <si>
    <t>2.47%</t>
  </si>
  <si>
    <t>0.1305X</t>
  </si>
  <si>
    <t>2.28%</t>
  </si>
  <si>
    <t>3.9846X</t>
  </si>
  <si>
    <t>15.26%</t>
  </si>
  <si>
    <t>97.47%</t>
  </si>
  <si>
    <t>0.1061X</t>
  </si>
  <si>
    <t>99.82%</t>
  </si>
  <si>
    <t>4.1548X</t>
  </si>
  <si>
    <t>15.56%</t>
  </si>
  <si>
    <t>97.44%</t>
  </si>
  <si>
    <t>2.91%</t>
  </si>
  <si>
    <t>0.1226X</t>
  </si>
  <si>
    <t>2.22%</t>
  </si>
  <si>
    <t>0.1107X</t>
  </si>
  <si>
    <t>2.07%</t>
  </si>
  <si>
    <t>0.0413X</t>
  </si>
  <si>
    <t>E-value &gt; 0.001, Reads &gt;= 1, ANI &gt; 96.5%, Edit Distance Damage Decay Quality &gt;= 0.5, Genus Ranking = 1</t>
  </si>
  <si>
    <t>96.90%</t>
  </si>
  <si>
    <t>3.7702X</t>
  </si>
  <si>
    <t>14.48%</t>
  </si>
  <si>
    <t>0.0126X</t>
  </si>
  <si>
    <t>1.24%</t>
  </si>
  <si>
    <t>0.0912X</t>
  </si>
  <si>
    <t>0.028X</t>
  </si>
  <si>
    <t>0.088X</t>
  </si>
  <si>
    <t>0.2746X</t>
  </si>
  <si>
    <t>24.34%</t>
  </si>
  <si>
    <t>0.1659X</t>
  </si>
  <si>
    <t>14.99%</t>
  </si>
  <si>
    <t>0.198X</t>
  </si>
  <si>
    <t>18.05%</t>
  </si>
  <si>
    <t>E-value &gt; 0.001, Reads &gt;= 1, ANI &gt; 96.5%, 5' C&gt;T Damage &gt;= 0.01, Breadth Ratio &gt;= 0.8, Entropy (1000bp) &gt;= 0.7 (virus), Read Mapping Ratio &gt;= 0.5</t>
  </si>
  <si>
    <t>0.1058X</t>
  </si>
  <si>
    <t>9.95%</t>
  </si>
  <si>
    <t>E-value &gt; 0.001, Reads &gt;= 50, ANI &gt; 96.5%, 5' C&gt;T Damage &gt;= 0.01, Edit distance damaged &gt;= 0.5, Genus Ranking = 1</t>
  </si>
  <si>
    <t>0.0285X</t>
  </si>
  <si>
    <t>2.82%</t>
  </si>
  <si>
    <t>0.4408X</t>
  </si>
  <si>
    <t>32.19%</t>
  </si>
  <si>
    <t>E-value &gt; 0.001, Reads &gt;= 50, ANI &gt; 96.5%, 5' C&gt;T Damage &gt;= 0.01, Breadth Ratio &gt;= 0.8, Entropy (1000bp) &gt;= 0.8 (bacteria), Edit distance default (non-damaged) &gt;= 0.6, Genus Ranking = 1, Read Mapping Ratio &gt;= 0.5</t>
  </si>
  <si>
    <t>0.0741X</t>
  </si>
  <si>
    <t>4.67%</t>
  </si>
  <si>
    <t>0.052X</t>
  </si>
  <si>
    <t>5.16%</t>
  </si>
  <si>
    <t>0.0392X</t>
  </si>
  <si>
    <t>3.88%</t>
  </si>
  <si>
    <t>0.583X</t>
  </si>
  <si>
    <t>42.9%</t>
  </si>
  <si>
    <t>E-value &gt; 0.001, Reads &gt;= 50, ANI &gt; 96.5%, 5' C&gt;T Damage &gt;= 0.01, Breadth Ratio &gt;= 0.8, Edit distance default (non-damaged) &gt;= 0.6, Genus Ranking = 1, Read Mapping Ratio &gt;= 0.5</t>
  </si>
  <si>
    <t>E-value &gt; 0.001, Reads &gt;= 50, ANI &gt; 96.5%, Breadth Ratio &gt;= 0.8, Edit distance damaged &gt;= 0.5, Genus Ranking =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</si>
</sst>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mmmd"/>
    <numFmt numFmtId="166" formatCode="0.0"/>
    <numFmt numFmtId="167" formatCode="d/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color rgb="FF222222"/>
      <name val="Arial"/>
    </font>
    <font>
      <color rgb="FF000000"/>
      <name val="Arial"/>
    </font>
    <font>
      <sz val="21.0"/>
      <color rgb="FF001E2E"/>
      <name val="Google Sans"/>
    </font>
    <font>
      <sz val="11.0"/>
      <color theme="1"/>
      <name val="Arial"/>
    </font>
    <font>
      <sz val="12.0"/>
      <color rgb="FF000000"/>
      <name val="Calibri"/>
    </font>
    <font>
      <b/>
      <color theme="1"/>
      <name val="Calibri"/>
    </font>
    <font>
      <color theme="1"/>
      <name val="Calibri"/>
    </font>
    <font>
      <sz val="11.0"/>
      <color rgb="FF444746"/>
      <name val="&quot;Google Sans&quot;"/>
    </font>
    <font>
      <color theme="1"/>
      <name val="Google Sans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9F2FB"/>
        <bgColor rgb="FFE9F2F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</border>
    <border>
      <top style="thin">
        <color rgb="FF000000"/>
      </top>
    </border>
    <border>
      <left style="thin">
        <color rgb="FFA9C6C9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 shrinkToFit="0" vertical="bottom" wrapText="0"/>
    </xf>
    <xf borderId="0" fillId="0" fontId="4" numFmtId="49" xfId="0" applyAlignment="1" applyFont="1" applyNumberFormat="1">
      <alignment readingOrder="0" vertical="bottom"/>
    </xf>
    <xf borderId="0" fillId="2" fontId="4" numFmtId="49" xfId="0" applyAlignment="1" applyFill="1" applyFont="1" applyNumberFormat="1">
      <alignment horizontal="center" readingOrder="0" vertical="bottom"/>
    </xf>
    <xf borderId="0" fillId="3" fontId="4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4" fontId="4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5" fontId="4" numFmtId="49" xfId="0" applyAlignment="1" applyFill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6" fontId="4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7" fontId="4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readingOrder="0" vertical="bottom"/>
    </xf>
    <xf borderId="0" fillId="6" fontId="5" numFmtId="49" xfId="0" applyAlignment="1" applyFill="1" applyFont="1" applyNumberFormat="1">
      <alignment horizontal="center" readingOrder="0" shrinkToFit="0" vertical="bottom" wrapText="0"/>
    </xf>
    <xf borderId="0" fillId="7" fontId="5" numFmtId="49" xfId="0" applyAlignment="1" applyFill="1" applyFont="1" applyNumberFormat="1">
      <alignment horizontal="center" readingOrder="0" shrinkToFit="0" vertical="bottom" wrapText="0"/>
    </xf>
    <xf borderId="0" fillId="6" fontId="4" numFmtId="164" xfId="0" applyAlignment="1" applyFill="1" applyFont="1" applyNumberFormat="1">
      <alignment horizontal="center" readingOrder="0" shrinkToFit="0" vertical="bottom" wrapText="0"/>
    </xf>
    <xf borderId="0" fillId="7" fontId="4" numFmtId="164" xfId="0" applyAlignment="1" applyFill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2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 shrinkToFit="0" vertical="bottom" wrapText="1"/>
    </xf>
    <xf borderId="0" fillId="0" fontId="4" numFmtId="4" xfId="0" applyAlignment="1" applyFont="1" applyNumberFormat="1">
      <alignment horizontal="right" readingOrder="0" vertical="bottom"/>
    </xf>
    <xf borderId="0" fillId="0" fontId="1" numFmtId="0" xfId="0" applyFont="1"/>
    <xf borderId="0" fillId="0" fontId="4" numFmtId="0" xfId="0" applyAlignment="1" applyFont="1">
      <alignment readingOrder="0" shrinkToFit="0" vertical="bottom" wrapText="1"/>
    </xf>
    <xf borderId="0" fillId="8" fontId="7" numFmtId="0" xfId="0" applyAlignment="1" applyFill="1" applyFont="1">
      <alignment horizontal="right"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8" numFmtId="49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readingOrder="0"/>
    </xf>
    <xf borderId="0" fillId="0" fontId="9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1" numFmtId="49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166" xfId="0" applyFont="1" applyNumberFormat="1"/>
    <xf borderId="2" fillId="0" fontId="10" numFmtId="0" xfId="0" applyAlignment="1" applyBorder="1" applyFont="1">
      <alignment vertical="bottom"/>
    </xf>
    <xf borderId="0" fillId="0" fontId="11" numFmtId="166" xfId="0" applyAlignment="1" applyFont="1" applyNumberFormat="1">
      <alignment horizontal="right" vertical="bottom"/>
    </xf>
    <xf borderId="0" fillId="9" fontId="4" numFmtId="0" xfId="0" applyAlignment="1" applyFill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0" xfId="0" applyFont="1"/>
    <xf borderId="0" fillId="0" fontId="11" numFmtId="0" xfId="0" applyAlignment="1" applyFont="1">
      <alignment horizontal="right" vertical="bottom"/>
    </xf>
    <xf borderId="0" fillId="0" fontId="1" numFmtId="2" xfId="0" applyFont="1" applyNumberFormat="1"/>
    <xf borderId="0" fillId="6" fontId="12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3" numFmtId="0" xfId="0" applyFont="1"/>
    <xf borderId="0" fillId="0" fontId="2" numFmtId="10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right" vertical="bottom"/>
    </xf>
    <xf borderId="3" fillId="0" fontId="4" numFmtId="2" xfId="0" applyAlignment="1" applyBorder="1" applyFont="1" applyNumberFormat="1">
      <alignment horizontal="right" vertical="bottom"/>
    </xf>
    <xf borderId="0" fillId="0" fontId="11" numFmtId="2" xfId="0" applyAlignment="1" applyFont="1" applyNumberFormat="1">
      <alignment vertical="bottom"/>
    </xf>
    <xf borderId="0" fillId="10" fontId="11" numFmtId="2" xfId="0" applyAlignment="1" applyFill="1" applyFont="1" applyNumberFormat="1">
      <alignment horizontal="right" vertical="bottom"/>
    </xf>
    <xf borderId="2" fillId="0" fontId="4" numFmtId="0" xfId="0" applyAlignment="1" applyBorder="1" applyFont="1">
      <alignment vertical="bottom"/>
    </xf>
    <xf borderId="0" fillId="10" fontId="4" numFmtId="2" xfId="0" applyAlignment="1" applyFill="1" applyFont="1" applyNumberFormat="1">
      <alignment horizontal="right" vertical="bottom"/>
    </xf>
    <xf borderId="0" fillId="10" fontId="4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5" max="5" width="31.75"/>
  </cols>
  <sheetData>
    <row r="1">
      <c r="A1" s="1" t="s">
        <v>8</v>
      </c>
      <c r="B1" s="1" t="s">
        <v>21</v>
      </c>
      <c r="C1" s="1" t="s">
        <v>26</v>
      </c>
      <c r="D1" s="1" t="s">
        <v>30</v>
      </c>
      <c r="E1" s="1" t="s">
        <v>36</v>
      </c>
    </row>
    <row r="2">
      <c r="A2" s="1">
        <v>666.0</v>
      </c>
      <c r="B2" s="1" t="s">
        <v>48</v>
      </c>
      <c r="C2" s="1">
        <v>5.0</v>
      </c>
      <c r="D2" s="1">
        <v>50.0</v>
      </c>
      <c r="E2" s="1">
        <v>0.001</v>
      </c>
    </row>
    <row r="3">
      <c r="A3" s="1">
        <v>1211.0</v>
      </c>
      <c r="B3" s="1" t="s">
        <v>62</v>
      </c>
      <c r="C3" s="1">
        <v>5.0</v>
      </c>
      <c r="D3" s="1">
        <v>5.0</v>
      </c>
      <c r="E3" s="1">
        <v>0.001</v>
      </c>
    </row>
    <row r="4">
      <c r="A4" s="1">
        <v>633.0</v>
      </c>
      <c r="B4" s="1" t="s">
        <v>70</v>
      </c>
      <c r="C4" s="1">
        <v>5.0</v>
      </c>
      <c r="D4" s="1">
        <v>50.0</v>
      </c>
      <c r="E4" s="1">
        <v>0.001</v>
      </c>
    </row>
    <row r="5">
      <c r="A5" s="1">
        <v>28871.0</v>
      </c>
      <c r="B5" s="1" t="s">
        <v>77</v>
      </c>
      <c r="C5" s="1">
        <v>5.0</v>
      </c>
      <c r="D5" s="1">
        <v>1.0</v>
      </c>
      <c r="E5" s="1">
        <v>0.001</v>
      </c>
    </row>
    <row r="6">
      <c r="A6" s="1">
        <v>10255.0</v>
      </c>
      <c r="B6" s="1" t="s">
        <v>87</v>
      </c>
      <c r="C6" s="1">
        <v>5.0</v>
      </c>
      <c r="D6" s="1">
        <v>1.0</v>
      </c>
      <c r="E6" s="1">
        <v>0.001</v>
      </c>
    </row>
    <row r="7">
      <c r="A7" s="1">
        <v>10244.0</v>
      </c>
      <c r="B7" s="1" t="s">
        <v>93</v>
      </c>
      <c r="C7" s="1">
        <v>5.0</v>
      </c>
      <c r="D7" s="1">
        <v>5.0</v>
      </c>
      <c r="E7" s="1">
        <v>0.001</v>
      </c>
    </row>
    <row r="8">
      <c r="A8" s="1">
        <v>10243.0</v>
      </c>
      <c r="B8" s="1" t="s">
        <v>98</v>
      </c>
      <c r="C8" s="1">
        <v>5.0</v>
      </c>
      <c r="D8" s="1">
        <v>5.0</v>
      </c>
      <c r="E8" s="1">
        <v>0.001</v>
      </c>
    </row>
    <row r="9">
      <c r="A9" s="1">
        <v>10245.0</v>
      </c>
      <c r="B9" s="1" t="s">
        <v>104</v>
      </c>
      <c r="C9" s="1">
        <v>5.0</v>
      </c>
      <c r="D9" s="1">
        <v>5.0</v>
      </c>
      <c r="E9" s="1">
        <v>0.001</v>
      </c>
    </row>
    <row r="10">
      <c r="A10" s="1">
        <v>35794.0</v>
      </c>
      <c r="B10" s="1" t="s">
        <v>112</v>
      </c>
      <c r="C10" s="1">
        <v>5.0</v>
      </c>
      <c r="D10" s="1">
        <v>50.0</v>
      </c>
      <c r="E10" s="1">
        <v>0.001</v>
      </c>
    </row>
    <row r="11">
      <c r="A11" s="1">
        <v>35790.0</v>
      </c>
      <c r="B11" s="1" t="s">
        <v>117</v>
      </c>
      <c r="C11" s="1">
        <v>5.0</v>
      </c>
      <c r="D11" s="1">
        <v>50.0</v>
      </c>
      <c r="E11" s="1">
        <v>0.001</v>
      </c>
    </row>
    <row r="12">
      <c r="A12" s="1">
        <v>1679933.0</v>
      </c>
      <c r="B12" s="1" t="s">
        <v>130</v>
      </c>
      <c r="C12" s="1">
        <v>5.0</v>
      </c>
      <c r="D12" s="1">
        <v>1.0</v>
      </c>
      <c r="E12" s="1">
        <v>0.001</v>
      </c>
    </row>
    <row r="13">
      <c r="A13" s="1">
        <v>34105.0</v>
      </c>
      <c r="B13" s="1" t="s">
        <v>139</v>
      </c>
      <c r="C13" s="1">
        <v>5.0</v>
      </c>
      <c r="D13" s="1">
        <v>50.0</v>
      </c>
      <c r="E13" s="1">
        <v>0.001</v>
      </c>
    </row>
    <row r="14">
      <c r="A14" s="1">
        <v>786.0</v>
      </c>
      <c r="B14" s="1" t="s">
        <v>146</v>
      </c>
      <c r="C14" s="1">
        <v>5.0</v>
      </c>
      <c r="D14" s="1">
        <v>50.0</v>
      </c>
      <c r="E14" s="1">
        <v>0.001</v>
      </c>
    </row>
    <row r="15">
      <c r="A15" s="1">
        <v>10279.0</v>
      </c>
      <c r="B15" s="1" t="s">
        <v>150</v>
      </c>
      <c r="C15" s="1">
        <v>5.0</v>
      </c>
      <c r="D15" s="1">
        <v>5.0</v>
      </c>
      <c r="E15" s="1">
        <v>0.001</v>
      </c>
    </row>
    <row r="16">
      <c r="A16" s="1">
        <v>10258.0</v>
      </c>
      <c r="B16" s="1" t="s">
        <v>158</v>
      </c>
      <c r="C16" s="1">
        <v>5.0</v>
      </c>
      <c r="D16" s="1">
        <v>25.0</v>
      </c>
      <c r="E16" s="1">
        <v>0.001</v>
      </c>
    </row>
    <row r="17">
      <c r="A17" s="1">
        <v>10266.0</v>
      </c>
      <c r="B17" s="1" t="s">
        <v>163</v>
      </c>
      <c r="C17" s="1">
        <v>5.0</v>
      </c>
      <c r="D17" s="1">
        <v>1.0</v>
      </c>
      <c r="E17" s="1">
        <v>0.001</v>
      </c>
    </row>
    <row r="18">
      <c r="A18" s="1">
        <v>186805.0</v>
      </c>
      <c r="B18" s="1" t="s">
        <v>170</v>
      </c>
      <c r="C18" s="1">
        <v>5.0</v>
      </c>
      <c r="D18" s="1">
        <v>1.0</v>
      </c>
      <c r="E18" s="1">
        <v>0.001</v>
      </c>
    </row>
    <row r="19">
      <c r="A19" s="1">
        <v>59509.0</v>
      </c>
      <c r="B19" s="1" t="s">
        <v>176</v>
      </c>
      <c r="C19" s="1">
        <v>5.0</v>
      </c>
      <c r="D19" s="1">
        <v>1.0</v>
      </c>
      <c r="E19" s="1">
        <v>0.001</v>
      </c>
    </row>
    <row r="20">
      <c r="A20" s="1">
        <v>10275.0</v>
      </c>
      <c r="B20" s="1" t="s">
        <v>184</v>
      </c>
      <c r="C20" s="1">
        <v>5.0</v>
      </c>
      <c r="D20" s="1">
        <v>1.0</v>
      </c>
      <c r="E20" s="1">
        <v>0.001</v>
      </c>
    </row>
    <row r="21">
      <c r="A21" s="1">
        <v>10273.0</v>
      </c>
      <c r="B21" s="1" t="s">
        <v>196</v>
      </c>
      <c r="C21" s="1">
        <v>5.0</v>
      </c>
      <c r="D21" s="1">
        <v>5.0</v>
      </c>
      <c r="E21" s="1">
        <v>0.001</v>
      </c>
    </row>
    <row r="22">
      <c r="A22" s="1">
        <v>10280.0</v>
      </c>
      <c r="B22" s="1" t="s">
        <v>203</v>
      </c>
      <c r="C22" s="1">
        <v>5.0</v>
      </c>
      <c r="D22" s="1">
        <v>5.0</v>
      </c>
      <c r="E22" s="1">
        <v>0.001</v>
      </c>
    </row>
    <row r="23">
      <c r="A23" s="1">
        <v>10277.0</v>
      </c>
      <c r="B23" s="1" t="s">
        <v>210</v>
      </c>
      <c r="C23" s="1">
        <v>5.0</v>
      </c>
      <c r="D23" s="1">
        <v>50.0</v>
      </c>
      <c r="E23" s="1">
        <v>0.001</v>
      </c>
    </row>
    <row r="24">
      <c r="A24" s="1">
        <v>10278.0</v>
      </c>
      <c r="B24" s="1" t="s">
        <v>217</v>
      </c>
      <c r="C24" s="1">
        <v>5.0</v>
      </c>
      <c r="D24" s="1">
        <v>50.0</v>
      </c>
      <c r="E24" s="1">
        <v>0.001</v>
      </c>
    </row>
    <row r="25">
      <c r="A25" s="1">
        <v>10263.0</v>
      </c>
      <c r="B25" s="1" t="s">
        <v>224</v>
      </c>
      <c r="C25" s="1">
        <v>5.0</v>
      </c>
      <c r="D25" s="1">
        <v>50.0</v>
      </c>
      <c r="E25" s="1">
        <v>0.001</v>
      </c>
    </row>
    <row r="26">
      <c r="A26" s="1">
        <v>10264.0</v>
      </c>
      <c r="B26" s="1" t="s">
        <v>232</v>
      </c>
      <c r="C26" s="1">
        <v>5.0</v>
      </c>
      <c r="D26" s="1">
        <v>50.0</v>
      </c>
      <c r="E26" s="1">
        <v>0.001</v>
      </c>
    </row>
    <row r="27">
      <c r="A27" s="1">
        <v>10260.0</v>
      </c>
      <c r="B27" s="1" t="s">
        <v>242</v>
      </c>
      <c r="C27" s="1">
        <v>5.0</v>
      </c>
      <c r="D27" s="1">
        <v>50.0</v>
      </c>
      <c r="E27" s="1">
        <v>0.001</v>
      </c>
    </row>
    <row r="28">
      <c r="A28" s="1">
        <v>10262.0</v>
      </c>
      <c r="B28" s="1" t="s">
        <v>248</v>
      </c>
      <c r="C28" s="1">
        <v>5.0</v>
      </c>
      <c r="D28" s="1">
        <v>50.0</v>
      </c>
      <c r="E28" s="1">
        <v>0.001</v>
      </c>
    </row>
    <row r="29">
      <c r="A29" s="1">
        <v>10265.0</v>
      </c>
      <c r="B29" s="1" t="s">
        <v>254</v>
      </c>
      <c r="C29" s="1">
        <v>5.0</v>
      </c>
      <c r="D29" s="1">
        <v>50.0</v>
      </c>
      <c r="E29" s="1">
        <v>0.001</v>
      </c>
    </row>
    <row r="30">
      <c r="A30" s="1">
        <v>10267.0</v>
      </c>
      <c r="B30" s="1" t="s">
        <v>263</v>
      </c>
      <c r="C30" s="1">
        <v>5.0</v>
      </c>
      <c r="D30" s="1">
        <v>50.0</v>
      </c>
      <c r="E30" s="1">
        <v>0.001</v>
      </c>
    </row>
    <row r="31">
      <c r="A31" s="1">
        <v>10268.0</v>
      </c>
      <c r="B31" s="1" t="s">
        <v>268</v>
      </c>
      <c r="C31" s="1">
        <v>5.0</v>
      </c>
      <c r="D31" s="1">
        <v>50.0</v>
      </c>
      <c r="E31" s="1">
        <v>0.001</v>
      </c>
    </row>
    <row r="32">
      <c r="A32" s="1">
        <v>10269.0</v>
      </c>
      <c r="B32" s="1" t="s">
        <v>277</v>
      </c>
      <c r="C32" s="1">
        <v>5.0</v>
      </c>
      <c r="D32" s="1">
        <v>50.0</v>
      </c>
      <c r="E32" s="1">
        <v>0.001</v>
      </c>
    </row>
    <row r="33">
      <c r="A33" s="1">
        <v>10270.0</v>
      </c>
      <c r="B33" s="1" t="s">
        <v>284</v>
      </c>
      <c r="C33" s="1">
        <v>5.0</v>
      </c>
      <c r="D33" s="1">
        <v>50.0</v>
      </c>
      <c r="E33" s="1">
        <v>0.001</v>
      </c>
    </row>
    <row r="34">
      <c r="A34" s="1">
        <v>10271.0</v>
      </c>
      <c r="B34" s="1" t="s">
        <v>289</v>
      </c>
      <c r="C34" s="1">
        <v>5.0</v>
      </c>
      <c r="D34" s="1">
        <v>50.0</v>
      </c>
      <c r="E34" s="1">
        <v>0.001</v>
      </c>
    </row>
    <row r="35">
      <c r="A35" s="1">
        <v>10272.0</v>
      </c>
      <c r="B35" s="1" t="s">
        <v>294</v>
      </c>
      <c r="C35" s="1">
        <v>5.0</v>
      </c>
      <c r="D35" s="1">
        <v>50.0</v>
      </c>
      <c r="E35" s="1">
        <v>0.001</v>
      </c>
    </row>
    <row r="36">
      <c r="A36" s="1">
        <v>305674.0</v>
      </c>
      <c r="B36" s="1" t="s">
        <v>302</v>
      </c>
      <c r="C36" s="1">
        <v>5.0</v>
      </c>
      <c r="D36" s="1">
        <v>50.0</v>
      </c>
      <c r="E36" s="1">
        <v>0.001</v>
      </c>
    </row>
    <row r="37">
      <c r="A37" s="1">
        <v>10282.0</v>
      </c>
      <c r="B37" s="1" t="s">
        <v>308</v>
      </c>
      <c r="C37" s="1">
        <v>5.0</v>
      </c>
      <c r="D37" s="1">
        <v>50.0</v>
      </c>
      <c r="E37" s="1">
        <v>0.001</v>
      </c>
    </row>
    <row r="38">
      <c r="A38" s="1">
        <v>10920.0</v>
      </c>
      <c r="B38" s="1" t="s">
        <v>313</v>
      </c>
      <c r="C38" s="1">
        <v>5.0</v>
      </c>
      <c r="D38" s="1">
        <v>50.0</v>
      </c>
      <c r="E38" s="1">
        <v>0.001</v>
      </c>
    </row>
    <row r="39">
      <c r="A39" s="1">
        <v>115514.0</v>
      </c>
      <c r="B39" s="1" t="s">
        <v>320</v>
      </c>
      <c r="C39" s="1">
        <v>5.0</v>
      </c>
      <c r="D39" s="1">
        <v>50.0</v>
      </c>
      <c r="E39" s="1">
        <v>0.001</v>
      </c>
    </row>
    <row r="40">
      <c r="A40" s="1">
        <v>176531.0</v>
      </c>
      <c r="B40" s="1" t="s">
        <v>325</v>
      </c>
      <c r="C40" s="1">
        <v>5.0</v>
      </c>
      <c r="D40" s="1">
        <v>50.0</v>
      </c>
      <c r="E40" s="1">
        <v>0.001</v>
      </c>
    </row>
    <row r="41">
      <c r="A41" s="1">
        <v>10344.0</v>
      </c>
      <c r="B41" s="1" t="s">
        <v>330</v>
      </c>
      <c r="C41" s="1">
        <v>5.0</v>
      </c>
      <c r="D41" s="1">
        <v>50.0</v>
      </c>
      <c r="E41" s="1">
        <v>0.001</v>
      </c>
    </row>
    <row r="42">
      <c r="A42" s="1">
        <v>10390.0</v>
      </c>
      <c r="B42" s="1" t="s">
        <v>335</v>
      </c>
      <c r="C42" s="1">
        <v>5.0</v>
      </c>
      <c r="D42" s="1">
        <v>50.0</v>
      </c>
      <c r="E42" s="1">
        <v>0.001</v>
      </c>
    </row>
    <row r="43">
      <c r="A43" s="1">
        <v>10496.0</v>
      </c>
      <c r="B43" s="1" t="s">
        <v>342</v>
      </c>
      <c r="C43" s="1">
        <v>5.0</v>
      </c>
      <c r="D43" s="1">
        <v>50.0</v>
      </c>
      <c r="E43" s="1">
        <v>0.001</v>
      </c>
    </row>
    <row r="44">
      <c r="A44" s="1">
        <v>10792.0</v>
      </c>
      <c r="B44" s="1" t="s">
        <v>349</v>
      </c>
      <c r="C44" s="1">
        <v>5.0</v>
      </c>
      <c r="D44" s="1">
        <v>50.0</v>
      </c>
      <c r="E44" s="1">
        <v>0.001</v>
      </c>
    </row>
    <row r="45">
      <c r="A45" s="1">
        <v>11232.0</v>
      </c>
      <c r="B45" s="1" t="s">
        <v>354</v>
      </c>
      <c r="C45" s="1">
        <v>5.0</v>
      </c>
      <c r="D45" s="1">
        <v>50.0</v>
      </c>
      <c r="E45" s="1">
        <v>0.001</v>
      </c>
    </row>
    <row r="46">
      <c r="A46" s="1">
        <v>11292.0</v>
      </c>
      <c r="B46" s="1" t="s">
        <v>361</v>
      </c>
      <c r="C46" s="1">
        <v>5.0</v>
      </c>
      <c r="D46" s="1">
        <v>50.0</v>
      </c>
      <c r="E46" s="1">
        <v>0.001</v>
      </c>
    </row>
    <row r="47">
      <c r="A47" s="1">
        <v>11976.0</v>
      </c>
      <c r="B47" s="1" t="s">
        <v>369</v>
      </c>
      <c r="C47" s="1">
        <v>5.0</v>
      </c>
      <c r="D47" s="1">
        <v>50.0</v>
      </c>
      <c r="E47" s="1">
        <v>0.001</v>
      </c>
    </row>
    <row r="48">
      <c r="A48" s="1">
        <v>280735.0</v>
      </c>
      <c r="B48" s="1" t="s">
        <v>376</v>
      </c>
      <c r="C48" s="1">
        <v>5.0</v>
      </c>
      <c r="D48" s="1">
        <v>50.0</v>
      </c>
      <c r="E48" s="1">
        <v>0.001</v>
      </c>
    </row>
    <row r="49">
      <c r="A49" s="1">
        <v>11676.0</v>
      </c>
      <c r="B49" s="1" t="s">
        <v>383</v>
      </c>
      <c r="C49" s="1">
        <v>5.0</v>
      </c>
      <c r="D49" s="1">
        <v>50.0</v>
      </c>
      <c r="E49" s="1">
        <v>0.001</v>
      </c>
    </row>
    <row r="50">
      <c r="A50" s="1">
        <v>10318.0</v>
      </c>
      <c r="B50" s="1" t="s">
        <v>385</v>
      </c>
      <c r="C50" s="1">
        <v>5.0</v>
      </c>
      <c r="D50" s="1">
        <v>50.0</v>
      </c>
      <c r="E50" s="1">
        <v>0.001</v>
      </c>
    </row>
    <row r="51">
      <c r="A51" s="1">
        <v>10320.0</v>
      </c>
      <c r="B51" s="1" t="s">
        <v>389</v>
      </c>
      <c r="C51" s="1">
        <v>5.0</v>
      </c>
      <c r="D51" s="1">
        <v>50.0</v>
      </c>
      <c r="E51" s="1">
        <v>0.001</v>
      </c>
    </row>
    <row r="52">
      <c r="A52" s="1">
        <v>11777.0</v>
      </c>
      <c r="B52" s="1" t="s">
        <v>397</v>
      </c>
      <c r="C52" s="1">
        <v>5.0</v>
      </c>
      <c r="D52" s="1">
        <v>50.0</v>
      </c>
      <c r="E52" s="1">
        <v>0.001</v>
      </c>
    </row>
    <row r="53">
      <c r="A53" s="1">
        <v>11060.0</v>
      </c>
      <c r="B53" s="1" t="s">
        <v>407</v>
      </c>
      <c r="C53" s="1">
        <v>5.0</v>
      </c>
      <c r="D53" s="1">
        <v>50.0</v>
      </c>
      <c r="E53" s="1">
        <v>0.001</v>
      </c>
    </row>
    <row r="54">
      <c r="A54" s="1">
        <v>11709.0</v>
      </c>
      <c r="B54" s="1" t="s">
        <v>412</v>
      </c>
      <c r="C54" s="1">
        <v>5.0</v>
      </c>
      <c r="D54" s="1">
        <v>50.0</v>
      </c>
      <c r="E54" s="1">
        <v>0.001</v>
      </c>
    </row>
    <row r="55">
      <c r="A55" s="1">
        <v>11657.0</v>
      </c>
      <c r="B55" s="1" t="s">
        <v>420</v>
      </c>
      <c r="C55" s="1">
        <v>5.0</v>
      </c>
      <c r="D55" s="1">
        <v>50.0</v>
      </c>
      <c r="E55" s="1">
        <v>0.001</v>
      </c>
    </row>
    <row r="56">
      <c r="A56" s="1">
        <v>31604.0</v>
      </c>
      <c r="B56" s="1" t="s">
        <v>425</v>
      </c>
      <c r="C56" s="1">
        <v>5.0</v>
      </c>
      <c r="D56" s="1">
        <v>50.0</v>
      </c>
      <c r="E56" s="1">
        <v>0.001</v>
      </c>
    </row>
    <row r="57">
      <c r="A57" s="1">
        <v>11062.0</v>
      </c>
      <c r="B57" s="1" t="s">
        <v>434</v>
      </c>
      <c r="C57" s="1">
        <v>5.0</v>
      </c>
      <c r="D57" s="1">
        <v>50.0</v>
      </c>
      <c r="E57" s="1">
        <v>0.001</v>
      </c>
    </row>
    <row r="58">
      <c r="A58" s="1">
        <v>1504.0</v>
      </c>
      <c r="B58" s="1" t="s">
        <v>441</v>
      </c>
      <c r="C58" s="1">
        <v>5.0</v>
      </c>
      <c r="D58" s="1">
        <v>50.0</v>
      </c>
      <c r="E58" s="1">
        <v>0.001</v>
      </c>
    </row>
    <row r="59">
      <c r="A59" s="1">
        <v>29459.0</v>
      </c>
      <c r="B59" s="1" t="s">
        <v>63</v>
      </c>
      <c r="C59" s="1">
        <v>5.0</v>
      </c>
      <c r="D59" s="1">
        <v>20.0</v>
      </c>
      <c r="E59" s="1">
        <v>0.001</v>
      </c>
    </row>
    <row r="60">
      <c r="A60" s="1">
        <v>235.0</v>
      </c>
      <c r="B60" s="1" t="s">
        <v>172</v>
      </c>
      <c r="C60" s="1">
        <v>5.0</v>
      </c>
      <c r="D60" s="1">
        <v>20.0</v>
      </c>
      <c r="E60" s="1">
        <v>0.001</v>
      </c>
    </row>
    <row r="61">
      <c r="A61" s="1">
        <v>236.0</v>
      </c>
      <c r="B61" s="1" t="s">
        <v>186</v>
      </c>
      <c r="C61" s="1">
        <v>5.0</v>
      </c>
      <c r="D61" s="1">
        <v>20.0</v>
      </c>
      <c r="E61" s="1">
        <v>0.001</v>
      </c>
    </row>
    <row r="62">
      <c r="A62" s="1">
        <v>29461.0</v>
      </c>
      <c r="B62" s="1" t="s">
        <v>120</v>
      </c>
      <c r="C62" s="1">
        <v>5.0</v>
      </c>
      <c r="D62" s="1">
        <v>20.0</v>
      </c>
      <c r="E62" s="1">
        <v>0.001</v>
      </c>
    </row>
    <row r="63">
      <c r="A63" s="1">
        <v>632.0</v>
      </c>
      <c r="B63" s="1" t="s">
        <v>474</v>
      </c>
      <c r="C63" s="1">
        <v>5.0</v>
      </c>
      <c r="D63" s="1">
        <v>20.0</v>
      </c>
      <c r="E63" s="1">
        <v>0.001</v>
      </c>
    </row>
    <row r="64">
      <c r="A64" s="1">
        <v>777.0</v>
      </c>
      <c r="B64" s="1" t="s">
        <v>227</v>
      </c>
      <c r="C64" s="1">
        <v>5.0</v>
      </c>
      <c r="D64" s="1">
        <v>50.0</v>
      </c>
      <c r="E64" s="1">
        <v>0.001</v>
      </c>
    </row>
    <row r="65">
      <c r="A65" s="1">
        <v>160.0</v>
      </c>
      <c r="B65" s="1" t="s">
        <v>486</v>
      </c>
      <c r="C65" s="1">
        <v>5.0</v>
      </c>
      <c r="D65" s="1">
        <v>50.0</v>
      </c>
      <c r="E65" s="1">
        <v>0.001</v>
      </c>
    </row>
    <row r="66">
      <c r="A66" s="1">
        <v>1773.0</v>
      </c>
      <c r="B66" s="1" t="s">
        <v>493</v>
      </c>
      <c r="C66" s="1">
        <v>5.0</v>
      </c>
      <c r="D66" s="1">
        <v>50.0</v>
      </c>
      <c r="E66" s="1">
        <v>0.001</v>
      </c>
    </row>
    <row r="67">
      <c r="A67" s="1">
        <v>630.0</v>
      </c>
      <c r="B67" s="1" t="s">
        <v>503</v>
      </c>
      <c r="C67" s="1">
        <v>5.0</v>
      </c>
      <c r="D67" s="1">
        <v>50.0</v>
      </c>
      <c r="E67" s="1">
        <v>0.001</v>
      </c>
    </row>
    <row r="68">
      <c r="A68" s="1">
        <v>2102.0</v>
      </c>
      <c r="B68" s="1" t="s">
        <v>510</v>
      </c>
      <c r="C68" s="1">
        <v>5.0</v>
      </c>
      <c r="D68" s="1">
        <v>50.0</v>
      </c>
      <c r="E68" s="1">
        <v>0.001</v>
      </c>
    </row>
    <row r="69">
      <c r="A69" s="1">
        <v>5855.0</v>
      </c>
      <c r="B69" s="1" t="s">
        <v>519</v>
      </c>
      <c r="C69" s="1">
        <v>5.0</v>
      </c>
      <c r="D69" s="1">
        <v>50.0</v>
      </c>
      <c r="E69" s="1">
        <v>0.001</v>
      </c>
    </row>
    <row r="70">
      <c r="A70" s="1">
        <v>562.0</v>
      </c>
      <c r="B70" s="1" t="s">
        <v>526</v>
      </c>
      <c r="C70" s="1">
        <v>5.0</v>
      </c>
      <c r="D70" s="1">
        <v>100.0</v>
      </c>
      <c r="E70" s="1">
        <v>0.001</v>
      </c>
    </row>
    <row r="71">
      <c r="A71" s="1">
        <v>1280.0</v>
      </c>
      <c r="B71" s="1" t="s">
        <v>534</v>
      </c>
      <c r="C71" s="1">
        <v>5.0</v>
      </c>
      <c r="D71" s="1">
        <v>200.0</v>
      </c>
      <c r="E71" s="1">
        <v>0.001</v>
      </c>
    </row>
    <row r="72">
      <c r="A72" s="1">
        <v>1313.0</v>
      </c>
      <c r="B72" s="1" t="s">
        <v>542</v>
      </c>
      <c r="C72" s="1">
        <v>5.0</v>
      </c>
      <c r="D72" s="1">
        <v>50.0</v>
      </c>
      <c r="E72" s="1">
        <v>0.001</v>
      </c>
    </row>
    <row r="73">
      <c r="A73" s="1">
        <v>1423.0</v>
      </c>
      <c r="B73" s="1" t="s">
        <v>549</v>
      </c>
      <c r="C73" s="1">
        <v>5.0</v>
      </c>
      <c r="D73" s="1">
        <v>50.0</v>
      </c>
      <c r="E73" s="1">
        <v>0.001</v>
      </c>
    </row>
    <row r="74">
      <c r="A74" s="1">
        <v>28901.0</v>
      </c>
      <c r="B74" s="1" t="s">
        <v>558</v>
      </c>
      <c r="C74" s="1">
        <v>5.0</v>
      </c>
      <c r="D74" s="1">
        <v>100.0</v>
      </c>
      <c r="E74" s="1">
        <v>0.001</v>
      </c>
    </row>
    <row r="75">
      <c r="A75" s="1">
        <v>290.0</v>
      </c>
      <c r="B75" s="1" t="s">
        <v>565</v>
      </c>
      <c r="C75" s="1">
        <v>5.0</v>
      </c>
      <c r="D75" s="1">
        <v>50.0</v>
      </c>
      <c r="E75" s="1">
        <v>0.001</v>
      </c>
    </row>
    <row r="76">
      <c r="A76" s="1">
        <v>1763.0</v>
      </c>
      <c r="B76" s="1" t="s">
        <v>575</v>
      </c>
      <c r="C76" s="1">
        <v>5.0</v>
      </c>
      <c r="D76" s="1">
        <v>50.0</v>
      </c>
      <c r="E76" s="1">
        <v>0.001</v>
      </c>
    </row>
    <row r="77">
      <c r="A77" s="1">
        <v>1764.0</v>
      </c>
      <c r="B77" s="1" t="s">
        <v>581</v>
      </c>
      <c r="C77" s="1">
        <v>5.0</v>
      </c>
      <c r="D77" s="1">
        <v>50.0</v>
      </c>
      <c r="E77" s="1">
        <v>0.001</v>
      </c>
    </row>
    <row r="78">
      <c r="A78" s="1">
        <v>1765.0</v>
      </c>
      <c r="B78" s="1" t="s">
        <v>501</v>
      </c>
      <c r="C78" s="1">
        <v>5.0</v>
      </c>
      <c r="D78" s="1">
        <v>50.0</v>
      </c>
      <c r="E78" s="1">
        <v>0.001</v>
      </c>
    </row>
    <row r="79">
      <c r="A79" s="1">
        <v>338733.0</v>
      </c>
      <c r="B79" s="1" t="s">
        <v>602</v>
      </c>
      <c r="C79" s="1">
        <v>5.0</v>
      </c>
      <c r="D79" s="1">
        <v>50.0</v>
      </c>
      <c r="E79" s="1">
        <v>0.001</v>
      </c>
    </row>
    <row r="80">
      <c r="A80" s="1">
        <v>1639.0</v>
      </c>
      <c r="B80" s="1" t="s">
        <v>611</v>
      </c>
      <c r="C80" s="1">
        <v>5.0</v>
      </c>
      <c r="D80" s="1">
        <v>50.0</v>
      </c>
      <c r="E80" s="1">
        <v>0.001</v>
      </c>
    </row>
    <row r="81">
      <c r="A81" s="1">
        <v>1305.0</v>
      </c>
      <c r="B81" s="1" t="s">
        <v>615</v>
      </c>
      <c r="C81" s="1">
        <v>5.0</v>
      </c>
      <c r="D81" s="1">
        <v>50.0</v>
      </c>
      <c r="E81" s="1">
        <v>0.001</v>
      </c>
    </row>
    <row r="82">
      <c r="A82" s="1">
        <v>747.0</v>
      </c>
      <c r="B82" s="1" t="s">
        <v>623</v>
      </c>
      <c r="C82" s="1">
        <v>5.0</v>
      </c>
      <c r="D82" s="1">
        <v>50.0</v>
      </c>
      <c r="E82" s="1">
        <v>0.001</v>
      </c>
    </row>
    <row r="83">
      <c r="A83" s="1">
        <v>100.0</v>
      </c>
      <c r="B83" s="1" t="s">
        <v>629</v>
      </c>
      <c r="C83" s="1">
        <v>5.0</v>
      </c>
      <c r="D83" s="1">
        <v>50.0</v>
      </c>
      <c r="E83" s="1">
        <v>0.001</v>
      </c>
    </row>
    <row r="84">
      <c r="A84" s="1">
        <v>828.0</v>
      </c>
      <c r="B84" s="1" t="s">
        <v>638</v>
      </c>
      <c r="C84" s="1">
        <v>5.0</v>
      </c>
      <c r="D84" s="1">
        <v>50.0</v>
      </c>
      <c r="E84" s="1">
        <v>0.001</v>
      </c>
    </row>
    <row r="85">
      <c r="A85" s="1">
        <v>835.0</v>
      </c>
      <c r="B85" s="1" t="s">
        <v>645</v>
      </c>
      <c r="C85" s="1">
        <v>5.0</v>
      </c>
      <c r="D85" s="1">
        <v>50.0</v>
      </c>
      <c r="E85" s="1">
        <v>0.001</v>
      </c>
    </row>
    <row r="86">
      <c r="A86" s="1">
        <v>724909.0</v>
      </c>
      <c r="B86" s="1" t="s">
        <v>650</v>
      </c>
      <c r="C86" s="1">
        <v>5.0</v>
      </c>
      <c r="D86" s="1">
        <v>50.0</v>
      </c>
      <c r="E86" s="1">
        <v>0.001</v>
      </c>
    </row>
    <row r="87">
      <c r="A87" s="1">
        <v>2191.0</v>
      </c>
      <c r="B87" s="1" t="s">
        <v>659</v>
      </c>
      <c r="C87" s="1">
        <v>5.0</v>
      </c>
      <c r="D87" s="1">
        <v>50.0</v>
      </c>
      <c r="E87" s="1">
        <v>0.001</v>
      </c>
    </row>
    <row r="88">
      <c r="A88" s="1">
        <v>127.0</v>
      </c>
      <c r="B88" s="1" t="s">
        <v>664</v>
      </c>
      <c r="C88" s="1">
        <v>5.0</v>
      </c>
      <c r="D88" s="1">
        <v>50.0</v>
      </c>
      <c r="E88" s="1">
        <v>0.001</v>
      </c>
    </row>
    <row r="89">
      <c r="A89" s="1">
        <v>945.0</v>
      </c>
      <c r="B89" s="1" t="s">
        <v>672</v>
      </c>
      <c r="C89" s="1">
        <v>5.0</v>
      </c>
      <c r="D89" s="1">
        <v>50.0</v>
      </c>
      <c r="E89" s="1">
        <v>0.001</v>
      </c>
    </row>
    <row r="90">
      <c r="A90" s="1">
        <v>29654.0</v>
      </c>
      <c r="B90" s="1" t="s">
        <v>677</v>
      </c>
      <c r="C90" s="1">
        <v>5.0</v>
      </c>
      <c r="D90" s="1">
        <v>50.0</v>
      </c>
      <c r="E90" s="1">
        <v>0.001</v>
      </c>
    </row>
    <row r="91">
      <c r="A91" s="1">
        <v>194.0</v>
      </c>
      <c r="B91" s="1" t="s">
        <v>686</v>
      </c>
      <c r="C91" s="1">
        <v>5.0</v>
      </c>
      <c r="D91" s="1">
        <v>50.0</v>
      </c>
      <c r="E91" s="1">
        <v>0.001</v>
      </c>
    </row>
    <row r="92">
      <c r="A92" s="1">
        <v>581.0</v>
      </c>
      <c r="B92" s="1" t="s">
        <v>692</v>
      </c>
      <c r="C92" s="1">
        <v>5.0</v>
      </c>
      <c r="D92" s="1">
        <v>50.0</v>
      </c>
      <c r="E92" s="1">
        <v>0.001</v>
      </c>
    </row>
    <row r="93">
      <c r="A93" s="1">
        <v>139.0</v>
      </c>
      <c r="B93" s="1" t="s">
        <v>700</v>
      </c>
      <c r="C93" s="1">
        <v>5.0</v>
      </c>
      <c r="D93" s="1">
        <v>50.0</v>
      </c>
      <c r="E93" s="1">
        <v>0.001</v>
      </c>
    </row>
    <row r="94">
      <c r="A94" s="1">
        <v>29465.0</v>
      </c>
      <c r="B94" s="1" t="s">
        <v>707</v>
      </c>
      <c r="C94" s="1">
        <v>5.0</v>
      </c>
      <c r="D94" s="1">
        <v>50.0</v>
      </c>
      <c r="E94" s="1">
        <v>0.001</v>
      </c>
    </row>
    <row r="95">
      <c r="A95" s="1">
        <v>783.0</v>
      </c>
      <c r="B95" s="1" t="s">
        <v>716</v>
      </c>
      <c r="C95" s="1">
        <v>5.0</v>
      </c>
      <c r="D95" s="1">
        <v>50.0</v>
      </c>
      <c r="E95" s="1">
        <v>0.001</v>
      </c>
    </row>
    <row r="96">
      <c r="A96" s="1">
        <v>781.0</v>
      </c>
      <c r="B96" s="1" t="s">
        <v>724</v>
      </c>
      <c r="C96" s="1">
        <v>5.0</v>
      </c>
      <c r="D96" s="1">
        <v>50.0</v>
      </c>
      <c r="E96" s="1">
        <v>0.001</v>
      </c>
    </row>
    <row r="97">
      <c r="A97" s="1">
        <v>782.0</v>
      </c>
      <c r="B97" s="1" t="s">
        <v>731</v>
      </c>
      <c r="C97" s="1">
        <v>5.0</v>
      </c>
      <c r="D97" s="1">
        <v>50.0</v>
      </c>
      <c r="E97" s="1">
        <v>0.001</v>
      </c>
    </row>
    <row r="98">
      <c r="A98" s="1">
        <v>784.0</v>
      </c>
      <c r="B98" s="1" t="s">
        <v>743</v>
      </c>
      <c r="C98" s="1">
        <v>5.0</v>
      </c>
      <c r="D98" s="1">
        <v>50.0</v>
      </c>
      <c r="E98" s="1">
        <v>0.001</v>
      </c>
    </row>
    <row r="99">
      <c r="A99" s="1">
        <v>5833.0</v>
      </c>
      <c r="B99" s="1" t="s">
        <v>748</v>
      </c>
      <c r="C99" s="1">
        <v>5.0</v>
      </c>
      <c r="D99" s="1">
        <v>50.0</v>
      </c>
      <c r="E99" s="1">
        <v>0.001</v>
      </c>
    </row>
    <row r="100">
      <c r="A100" s="1">
        <v>5855.0</v>
      </c>
      <c r="B100" s="1" t="s">
        <v>519</v>
      </c>
      <c r="C100" s="1">
        <v>5.0</v>
      </c>
      <c r="D100" s="1">
        <v>50.0</v>
      </c>
      <c r="E100" s="1">
        <v>0.001</v>
      </c>
    </row>
    <row r="101">
      <c r="A101" s="1">
        <v>5850.0</v>
      </c>
      <c r="B101" s="1" t="s">
        <v>762</v>
      </c>
      <c r="C101" s="1">
        <v>5.0</v>
      </c>
      <c r="D101" s="1">
        <v>50.0</v>
      </c>
      <c r="E101" s="1">
        <v>0.001</v>
      </c>
    </row>
    <row r="102">
      <c r="A102" s="1">
        <v>5865.0</v>
      </c>
      <c r="B102" s="1" t="s">
        <v>773</v>
      </c>
      <c r="C102" s="1">
        <v>5.0</v>
      </c>
      <c r="D102" s="1">
        <v>50.0</v>
      </c>
      <c r="E102" s="1">
        <v>0.001</v>
      </c>
    </row>
    <row r="103">
      <c r="A103" s="1">
        <v>5864.0</v>
      </c>
      <c r="B103" s="1" t="s">
        <v>778</v>
      </c>
      <c r="C103" s="1">
        <v>5.0</v>
      </c>
      <c r="D103" s="1">
        <v>50.0</v>
      </c>
      <c r="E103" s="1">
        <v>0.001</v>
      </c>
    </row>
    <row r="104">
      <c r="A104" s="1">
        <v>5875.0</v>
      </c>
      <c r="B104" s="1" t="s">
        <v>781</v>
      </c>
      <c r="C104" s="1">
        <v>5.0</v>
      </c>
      <c r="D104" s="1">
        <v>50.0</v>
      </c>
      <c r="E104" s="1">
        <v>0.001</v>
      </c>
    </row>
    <row r="105">
      <c r="A105" s="1">
        <v>5661.0</v>
      </c>
      <c r="B105" s="1" t="s">
        <v>786</v>
      </c>
      <c r="C105" s="1">
        <v>5.0</v>
      </c>
      <c r="D105" s="1">
        <v>50.0</v>
      </c>
      <c r="E105" s="1">
        <v>0.001</v>
      </c>
    </row>
    <row r="106">
      <c r="A106" s="1">
        <v>5671.0</v>
      </c>
      <c r="B106" s="1" t="s">
        <v>792</v>
      </c>
      <c r="C106" s="1">
        <v>5.0</v>
      </c>
      <c r="D106" s="1">
        <v>50.0</v>
      </c>
      <c r="E106" s="1">
        <v>0.001</v>
      </c>
    </row>
    <row r="107">
      <c r="A107" s="1">
        <v>5691.0</v>
      </c>
      <c r="B107" s="1" t="s">
        <v>794</v>
      </c>
      <c r="C107" s="1">
        <v>5.0</v>
      </c>
      <c r="D107" s="1">
        <v>50.0</v>
      </c>
      <c r="E107" s="1">
        <v>0.001</v>
      </c>
    </row>
    <row r="108">
      <c r="A108" s="1">
        <v>5693.0</v>
      </c>
      <c r="B108" s="1" t="s">
        <v>797</v>
      </c>
      <c r="C108" s="1">
        <v>5.0</v>
      </c>
      <c r="D108" s="1">
        <v>50.0</v>
      </c>
      <c r="E108" s="1">
        <v>0.001</v>
      </c>
    </row>
    <row r="109">
      <c r="A109" s="1">
        <v>5811.0</v>
      </c>
      <c r="B109" s="1" t="s">
        <v>803</v>
      </c>
      <c r="C109" s="1">
        <v>5.0</v>
      </c>
      <c r="D109" s="1">
        <v>50.0</v>
      </c>
      <c r="E109" s="1">
        <v>0.001</v>
      </c>
    </row>
    <row r="110">
      <c r="A110" s="1">
        <v>5806.0</v>
      </c>
      <c r="B110" s="1" t="s">
        <v>807</v>
      </c>
      <c r="C110" s="1">
        <v>5.0</v>
      </c>
      <c r="D110" s="1">
        <v>50.0</v>
      </c>
      <c r="E110" s="1">
        <v>0.001</v>
      </c>
    </row>
    <row r="111">
      <c r="A111" s="1">
        <v>5741.0</v>
      </c>
      <c r="B111" s="1" t="s">
        <v>812</v>
      </c>
      <c r="C111" s="1">
        <v>5.0</v>
      </c>
      <c r="D111" s="1">
        <v>50.0</v>
      </c>
      <c r="E111" s="1">
        <v>0.001</v>
      </c>
    </row>
    <row r="112">
      <c r="A112" s="1">
        <v>5759.0</v>
      </c>
      <c r="B112" s="1" t="s">
        <v>814</v>
      </c>
      <c r="C112" s="1">
        <v>5.0</v>
      </c>
      <c r="D112" s="1">
        <v>50.0</v>
      </c>
      <c r="E112" s="1">
        <v>0.001</v>
      </c>
    </row>
    <row r="113">
      <c r="A113" s="1">
        <v>6210.0</v>
      </c>
      <c r="B113" s="1" t="s">
        <v>819</v>
      </c>
      <c r="C113" s="1">
        <v>5.0</v>
      </c>
      <c r="D113" s="1">
        <v>50.0</v>
      </c>
      <c r="E113" s="1">
        <v>0.001</v>
      </c>
    </row>
    <row r="114">
      <c r="A114" s="1">
        <v>6211.0</v>
      </c>
      <c r="B114" s="1" t="s">
        <v>821</v>
      </c>
      <c r="C114" s="1">
        <v>5.0</v>
      </c>
      <c r="D114" s="1">
        <v>50.0</v>
      </c>
      <c r="E114" s="1">
        <v>0.001</v>
      </c>
    </row>
    <row r="115">
      <c r="A115" s="1">
        <v>6204.0</v>
      </c>
      <c r="B115" s="1" t="s">
        <v>824</v>
      </c>
      <c r="C115" s="1">
        <v>5.0</v>
      </c>
      <c r="D115" s="1">
        <v>50.0</v>
      </c>
      <c r="E115" s="1">
        <v>0.001</v>
      </c>
    </row>
    <row r="116">
      <c r="A116" s="1">
        <v>6208.0</v>
      </c>
      <c r="B116" s="1" t="s">
        <v>829</v>
      </c>
      <c r="C116" s="1">
        <v>5.0</v>
      </c>
      <c r="D116" s="1">
        <v>50.0</v>
      </c>
      <c r="E116" s="1">
        <v>0.001</v>
      </c>
    </row>
    <row r="117">
      <c r="A117" s="1">
        <v>6334.0</v>
      </c>
      <c r="B117" s="1" t="s">
        <v>832</v>
      </c>
      <c r="C117" s="1">
        <v>5.0</v>
      </c>
      <c r="D117" s="1">
        <v>50.0</v>
      </c>
      <c r="E117" s="1">
        <v>0.001</v>
      </c>
    </row>
    <row r="118">
      <c r="A118" s="1">
        <v>6253.0</v>
      </c>
      <c r="B118" s="1" t="s">
        <v>835</v>
      </c>
      <c r="C118" s="1">
        <v>5.0</v>
      </c>
      <c r="D118" s="1">
        <v>50.0</v>
      </c>
      <c r="E118" s="1">
        <v>0.001</v>
      </c>
    </row>
    <row r="119">
      <c r="A119" s="1">
        <v>29170.0</v>
      </c>
      <c r="B119" s="1" t="s">
        <v>840</v>
      </c>
      <c r="C119" s="1">
        <v>5.0</v>
      </c>
      <c r="D119" s="1">
        <v>50.0</v>
      </c>
      <c r="E119" s="1">
        <v>0.001</v>
      </c>
    </row>
    <row r="120">
      <c r="A120" s="1">
        <v>6248.0</v>
      </c>
      <c r="B120" s="1" t="s">
        <v>844</v>
      </c>
      <c r="C120" s="1">
        <v>5.0</v>
      </c>
      <c r="D120" s="1">
        <v>50.0</v>
      </c>
      <c r="E120" s="1">
        <v>0.001</v>
      </c>
    </row>
    <row r="121">
      <c r="A121" s="1">
        <v>6183.0</v>
      </c>
      <c r="B121" s="1" t="s">
        <v>848</v>
      </c>
      <c r="C121" s="1">
        <v>5.0</v>
      </c>
      <c r="D121" s="1">
        <v>50.0</v>
      </c>
      <c r="E121" s="1">
        <v>0.001</v>
      </c>
    </row>
    <row r="122">
      <c r="A122" s="1">
        <v>6185.0</v>
      </c>
      <c r="B122" s="1" t="s">
        <v>852</v>
      </c>
      <c r="C122" s="1">
        <v>5.0</v>
      </c>
      <c r="D122" s="1">
        <v>50.0</v>
      </c>
      <c r="E122" s="1">
        <v>0.001</v>
      </c>
    </row>
    <row r="123">
      <c r="A123" s="1">
        <v>6182.0</v>
      </c>
      <c r="B123" s="1" t="s">
        <v>856</v>
      </c>
      <c r="C123" s="1">
        <v>5.0</v>
      </c>
      <c r="D123" s="1">
        <v>50.0</v>
      </c>
      <c r="E123" s="1">
        <v>0.001</v>
      </c>
    </row>
    <row r="124">
      <c r="A124" s="1">
        <v>6279.0</v>
      </c>
      <c r="B124" s="1" t="s">
        <v>862</v>
      </c>
      <c r="C124" s="1">
        <v>5.0</v>
      </c>
      <c r="D124" s="1">
        <v>50.0</v>
      </c>
      <c r="E124" s="1">
        <v>0.001</v>
      </c>
    </row>
    <row r="125">
      <c r="A125" s="1">
        <v>45464.0</v>
      </c>
      <c r="B125" s="1" t="s">
        <v>865</v>
      </c>
      <c r="C125" s="1">
        <v>5.0</v>
      </c>
      <c r="D125" s="1">
        <v>50.0</v>
      </c>
      <c r="E125" s="1">
        <v>0.001</v>
      </c>
    </row>
    <row r="126">
      <c r="A126" s="1">
        <v>6192.0</v>
      </c>
      <c r="B126" s="1" t="s">
        <v>868</v>
      </c>
      <c r="C126" s="1">
        <v>5.0</v>
      </c>
      <c r="D126" s="1">
        <v>50.0</v>
      </c>
      <c r="E126" s="1">
        <v>0.001</v>
      </c>
    </row>
    <row r="127">
      <c r="A127" s="1">
        <v>5037.0</v>
      </c>
      <c r="B127" s="1" t="s">
        <v>875</v>
      </c>
      <c r="C127" s="1">
        <v>5.0</v>
      </c>
      <c r="D127" s="1">
        <v>50.0</v>
      </c>
      <c r="E127" s="1">
        <v>0.001</v>
      </c>
    </row>
    <row r="128">
      <c r="A128" s="1">
        <v>5501.0</v>
      </c>
      <c r="B128" s="1" t="s">
        <v>877</v>
      </c>
      <c r="C128" s="1">
        <v>5.0</v>
      </c>
      <c r="D128" s="1">
        <v>50.0</v>
      </c>
      <c r="E128" s="1">
        <v>0.001</v>
      </c>
    </row>
    <row r="129">
      <c r="A129" s="1">
        <v>5207.0</v>
      </c>
      <c r="B129" s="1" t="s">
        <v>882</v>
      </c>
      <c r="C129" s="1">
        <v>5.0</v>
      </c>
      <c r="D129" s="1">
        <v>50.0</v>
      </c>
      <c r="E129" s="1">
        <v>0.001</v>
      </c>
    </row>
    <row r="130">
      <c r="A130" s="1">
        <v>746128.0</v>
      </c>
      <c r="B130" s="1" t="s">
        <v>885</v>
      </c>
      <c r="C130" s="1">
        <v>5.0</v>
      </c>
      <c r="D130" s="1">
        <v>50.0</v>
      </c>
      <c r="E130" s="1">
        <v>0.001</v>
      </c>
    </row>
    <row r="131">
      <c r="A131" s="1">
        <v>38323.0</v>
      </c>
      <c r="B131" s="1" t="s">
        <v>890</v>
      </c>
      <c r="C131" s="1">
        <v>5.0</v>
      </c>
      <c r="D131" s="1">
        <v>50.0</v>
      </c>
      <c r="E131" s="1">
        <v>0.001</v>
      </c>
    </row>
    <row r="132">
      <c r="A132" s="1">
        <v>28188.0</v>
      </c>
      <c r="B132" s="1" t="s">
        <v>895</v>
      </c>
      <c r="C132" s="1">
        <v>5.0</v>
      </c>
      <c r="D132" s="1">
        <v>50.0</v>
      </c>
      <c r="E132" s="1">
        <v>0.001</v>
      </c>
    </row>
    <row r="133">
      <c r="A133" s="1">
        <v>1341.0</v>
      </c>
      <c r="B133" s="1" t="s">
        <v>898</v>
      </c>
      <c r="C133" s="1">
        <v>5.0</v>
      </c>
      <c r="D133" s="1">
        <v>50.0</v>
      </c>
      <c r="E133" s="1">
        <v>0.001</v>
      </c>
    </row>
    <row r="134">
      <c r="A134" s="1">
        <v>32257.0</v>
      </c>
      <c r="B134" s="1" t="s">
        <v>904</v>
      </c>
      <c r="C134" s="1">
        <v>5.0</v>
      </c>
      <c r="D134" s="1">
        <v>50.0</v>
      </c>
      <c r="E134" s="1">
        <v>0.001</v>
      </c>
    </row>
    <row r="135">
      <c r="A135" s="1">
        <v>1719.0</v>
      </c>
      <c r="B135" s="1" t="s">
        <v>908</v>
      </c>
      <c r="C135" s="1">
        <v>5.0</v>
      </c>
      <c r="D135" s="1">
        <v>100.0</v>
      </c>
      <c r="E135" s="1">
        <v>0.001</v>
      </c>
    </row>
    <row r="136">
      <c r="A136" s="1">
        <v>75985.0</v>
      </c>
      <c r="B136" s="1" t="s">
        <v>915</v>
      </c>
      <c r="C136" s="1">
        <v>5.0</v>
      </c>
      <c r="D136" s="1">
        <v>50.0</v>
      </c>
      <c r="E136" s="1">
        <v>0.001</v>
      </c>
    </row>
    <row r="137">
      <c r="A137" s="1">
        <v>75686.0</v>
      </c>
      <c r="B137" s="1" t="s">
        <v>919</v>
      </c>
      <c r="C137" s="1">
        <v>5.0</v>
      </c>
      <c r="D137" s="1">
        <v>50.0</v>
      </c>
      <c r="E137" s="1">
        <v>0.001</v>
      </c>
    </row>
    <row r="138">
      <c r="A138" s="1">
        <v>2110.0</v>
      </c>
      <c r="B138" s="1" t="s">
        <v>925</v>
      </c>
      <c r="C138" s="1">
        <v>5.0</v>
      </c>
      <c r="D138" s="1">
        <v>50.0</v>
      </c>
      <c r="E138" s="1">
        <v>0.001</v>
      </c>
    </row>
    <row r="139">
      <c r="A139" s="1">
        <v>45362.0</v>
      </c>
      <c r="B139" s="1" t="s">
        <v>929</v>
      </c>
      <c r="C139" s="1">
        <v>5.0</v>
      </c>
      <c r="D139" s="1">
        <v>50.0</v>
      </c>
      <c r="E139" s="1">
        <v>0.001</v>
      </c>
    </row>
    <row r="140">
      <c r="A140" s="1">
        <v>83554.0</v>
      </c>
      <c r="B140" s="1" t="s">
        <v>934</v>
      </c>
      <c r="C140" s="1">
        <v>5.0</v>
      </c>
      <c r="D140" s="1">
        <v>50.0</v>
      </c>
      <c r="E140" s="1">
        <v>0.001</v>
      </c>
    </row>
    <row r="141">
      <c r="A141" s="1">
        <v>13373.0</v>
      </c>
      <c r="B141" s="1" t="s">
        <v>937</v>
      </c>
      <c r="C141" s="1">
        <v>5.0</v>
      </c>
      <c r="D141" s="1">
        <v>50.0</v>
      </c>
      <c r="E141" s="1">
        <v>0.001</v>
      </c>
    </row>
    <row r="142">
      <c r="A142" s="1">
        <v>28450.0</v>
      </c>
      <c r="B142" s="1" t="s">
        <v>942</v>
      </c>
      <c r="C142" s="1">
        <v>5.0</v>
      </c>
      <c r="D142" s="1">
        <v>100.0</v>
      </c>
      <c r="E142" s="1">
        <v>0.001</v>
      </c>
    </row>
    <row r="143">
      <c r="A143" s="1">
        <v>1336.0</v>
      </c>
      <c r="B143" s="1" t="s">
        <v>948</v>
      </c>
      <c r="C143" s="1">
        <v>5.0</v>
      </c>
      <c r="D143" s="1">
        <v>50.0</v>
      </c>
      <c r="E143" s="1">
        <v>0.001</v>
      </c>
    </row>
    <row r="144">
      <c r="A144" s="1">
        <v>1335.0</v>
      </c>
      <c r="B144" s="1" t="s">
        <v>951</v>
      </c>
      <c r="C144" s="1">
        <v>5.0</v>
      </c>
      <c r="D144" s="1">
        <v>50.0</v>
      </c>
      <c r="E144" s="1">
        <v>0.001</v>
      </c>
    </row>
    <row r="145">
      <c r="A145" s="1">
        <v>1644.0</v>
      </c>
      <c r="B145" s="1" t="s">
        <v>954</v>
      </c>
      <c r="C145" s="1">
        <v>5.0</v>
      </c>
      <c r="D145" s="1">
        <v>50.0</v>
      </c>
      <c r="E145" s="1">
        <v>0.001</v>
      </c>
    </row>
    <row r="146">
      <c r="A146" s="1">
        <v>1648.0</v>
      </c>
      <c r="B146" s="1" t="s">
        <v>306</v>
      </c>
      <c r="C146" s="1">
        <v>5.0</v>
      </c>
      <c r="D146" s="1">
        <v>50.0</v>
      </c>
      <c r="E146" s="1">
        <v>0.001</v>
      </c>
    </row>
    <row r="147">
      <c r="A147" s="1">
        <v>47735.0</v>
      </c>
      <c r="B147" s="1" t="s">
        <v>963</v>
      </c>
      <c r="C147" s="1">
        <v>5.0</v>
      </c>
      <c r="D147" s="1">
        <v>50.0</v>
      </c>
      <c r="E147" s="1">
        <v>0.001</v>
      </c>
    </row>
    <row r="148">
      <c r="A148" s="1">
        <v>1314.0</v>
      </c>
      <c r="B148" s="1" t="s">
        <v>969</v>
      </c>
      <c r="C148" s="1">
        <v>5.0</v>
      </c>
      <c r="D148" s="1">
        <v>50.0</v>
      </c>
      <c r="E148" s="1">
        <v>0.001</v>
      </c>
    </row>
    <row r="149">
      <c r="A149" s="1">
        <v>1311.0</v>
      </c>
      <c r="B149" s="1" t="s">
        <v>973</v>
      </c>
      <c r="C149" s="1">
        <v>5.0</v>
      </c>
      <c r="D149" s="1">
        <v>50.0</v>
      </c>
      <c r="E149" s="1">
        <v>0.001</v>
      </c>
    </row>
    <row r="150">
      <c r="A150" s="1">
        <v>150055.0</v>
      </c>
      <c r="B150" s="1" t="s">
        <v>976</v>
      </c>
      <c r="C150" s="1">
        <v>5.0</v>
      </c>
      <c r="D150" s="1">
        <v>50.0</v>
      </c>
      <c r="E150" s="1">
        <v>0.001</v>
      </c>
    </row>
    <row r="151">
      <c r="A151" s="1">
        <v>1335.0</v>
      </c>
      <c r="B151" s="1" t="s">
        <v>982</v>
      </c>
      <c r="C151" s="1">
        <v>5.0</v>
      </c>
      <c r="D151" s="1">
        <v>50.0</v>
      </c>
      <c r="E151" s="1">
        <v>0.001</v>
      </c>
    </row>
    <row r="152">
      <c r="A152" s="1">
        <v>102684.0</v>
      </c>
      <c r="B152" s="1" t="s">
        <v>987</v>
      </c>
      <c r="C152" s="1">
        <v>5.0</v>
      </c>
      <c r="D152" s="1">
        <v>50.0</v>
      </c>
      <c r="E152" s="1">
        <v>0.001</v>
      </c>
    </row>
    <row r="153">
      <c r="A153" s="1">
        <v>315405.0</v>
      </c>
      <c r="B153" s="1" t="s">
        <v>992</v>
      </c>
      <c r="C153" s="1">
        <v>5.0</v>
      </c>
      <c r="D153" s="1">
        <v>50.0</v>
      </c>
      <c r="E153" s="1">
        <v>0.001</v>
      </c>
    </row>
    <row r="154">
      <c r="A154" s="1">
        <v>1502.0</v>
      </c>
      <c r="B154" s="1" t="s">
        <v>997</v>
      </c>
      <c r="C154" s="1">
        <v>5.0</v>
      </c>
      <c r="D154" s="1">
        <v>50.0</v>
      </c>
      <c r="E154" s="1">
        <v>0.001</v>
      </c>
    </row>
    <row r="155">
      <c r="A155" s="1">
        <v>1496.0</v>
      </c>
      <c r="B155" s="1" t="s">
        <v>1004</v>
      </c>
      <c r="C155" s="1">
        <v>5.0</v>
      </c>
      <c r="D155" s="1">
        <v>50.0</v>
      </c>
      <c r="E155" s="1">
        <v>0.001</v>
      </c>
    </row>
    <row r="156">
      <c r="A156" s="1">
        <v>1542.0</v>
      </c>
      <c r="B156" s="1" t="s">
        <v>1009</v>
      </c>
      <c r="C156" s="1">
        <v>5.0</v>
      </c>
      <c r="D156" s="1">
        <v>50.0</v>
      </c>
      <c r="E156" s="1">
        <v>0.001</v>
      </c>
    </row>
    <row r="157">
      <c r="A157" s="1">
        <v>1513.0</v>
      </c>
      <c r="B157" s="1" t="s">
        <v>1015</v>
      </c>
      <c r="C157" s="1">
        <v>5.0</v>
      </c>
      <c r="D157" s="1">
        <v>50.0</v>
      </c>
      <c r="E157" s="1">
        <v>0.001</v>
      </c>
    </row>
    <row r="158">
      <c r="A158" s="1">
        <v>46867.0</v>
      </c>
      <c r="B158" s="1" t="s">
        <v>1019</v>
      </c>
      <c r="C158" s="1">
        <v>5.0</v>
      </c>
      <c r="D158" s="1">
        <v>50.0</v>
      </c>
      <c r="E158" s="1">
        <v>0.001</v>
      </c>
    </row>
    <row r="159">
      <c r="A159" s="1">
        <v>1491.0</v>
      </c>
      <c r="B159" s="1" t="s">
        <v>1024</v>
      </c>
      <c r="C159" s="1">
        <v>5.0</v>
      </c>
      <c r="D159" s="1">
        <v>50.0</v>
      </c>
      <c r="E159" s="1">
        <v>0.001</v>
      </c>
    </row>
    <row r="160">
      <c r="A160" s="1">
        <v>851.0</v>
      </c>
      <c r="B160" s="1" t="s">
        <v>1027</v>
      </c>
      <c r="C160" s="1">
        <v>5.0</v>
      </c>
      <c r="D160" s="1">
        <v>50.0</v>
      </c>
      <c r="E160" s="1">
        <v>0.001</v>
      </c>
    </row>
    <row r="161">
      <c r="A161" s="1">
        <v>859.0</v>
      </c>
      <c r="B161" s="1" t="s">
        <v>1031</v>
      </c>
      <c r="C161" s="1">
        <v>5.0</v>
      </c>
      <c r="D161" s="1">
        <v>50.0</v>
      </c>
      <c r="E161" s="1">
        <v>0.001</v>
      </c>
    </row>
    <row r="162">
      <c r="A162" s="1">
        <v>197.0</v>
      </c>
      <c r="B162" s="1" t="s">
        <v>1036</v>
      </c>
      <c r="C162" s="1">
        <v>5.0</v>
      </c>
      <c r="D162" s="1">
        <v>50.0</v>
      </c>
      <c r="E162" s="1">
        <v>0.001</v>
      </c>
    </row>
    <row r="163">
      <c r="A163" s="1">
        <v>518.0</v>
      </c>
      <c r="B163" s="1" t="s">
        <v>1040</v>
      </c>
      <c r="C163" s="1">
        <v>5.0</v>
      </c>
      <c r="D163" s="1">
        <v>50.0</v>
      </c>
      <c r="E163" s="1">
        <v>0.001</v>
      </c>
    </row>
    <row r="164">
      <c r="A164" s="1">
        <v>520.0</v>
      </c>
      <c r="B164" s="1" t="s">
        <v>1047</v>
      </c>
      <c r="C164" s="1">
        <v>5.0</v>
      </c>
      <c r="D164" s="1">
        <v>50.0</v>
      </c>
      <c r="E164" s="1">
        <v>0.001</v>
      </c>
    </row>
    <row r="165">
      <c r="A165" s="1">
        <v>519.0</v>
      </c>
      <c r="B165" s="1" t="s">
        <v>1053</v>
      </c>
      <c r="C165" s="1">
        <v>5.0</v>
      </c>
      <c r="D165" s="1">
        <v>50.0</v>
      </c>
      <c r="E165" s="1">
        <v>0.001</v>
      </c>
    </row>
    <row r="166">
      <c r="A166" s="1">
        <v>10345.0</v>
      </c>
      <c r="B166" s="1" t="s">
        <v>1057</v>
      </c>
      <c r="C166" s="1">
        <v>5.0</v>
      </c>
      <c r="D166" s="1">
        <v>50.0</v>
      </c>
      <c r="E166" s="1">
        <v>0.001</v>
      </c>
    </row>
    <row r="167">
      <c r="A167" s="1">
        <v>173.0</v>
      </c>
      <c r="B167" s="1" t="s">
        <v>1062</v>
      </c>
      <c r="C167" s="1">
        <v>5.0</v>
      </c>
      <c r="D167" s="1">
        <v>50.0</v>
      </c>
      <c r="E167" s="1">
        <v>0.001</v>
      </c>
    </row>
    <row r="168">
      <c r="A168" s="1">
        <v>174.0</v>
      </c>
      <c r="B168" s="1" t="s">
        <v>396</v>
      </c>
      <c r="C168" s="1">
        <v>5.0</v>
      </c>
      <c r="D168" s="1">
        <v>50.0</v>
      </c>
      <c r="E168" s="1">
        <v>0.001</v>
      </c>
    </row>
    <row r="169">
      <c r="A169" s="1">
        <v>28184.0</v>
      </c>
      <c r="B169" s="1" t="s">
        <v>484</v>
      </c>
      <c r="C169" s="1">
        <v>5.0</v>
      </c>
      <c r="D169" s="1">
        <v>50.0</v>
      </c>
      <c r="E169" s="1">
        <v>0.001</v>
      </c>
    </row>
    <row r="170">
      <c r="A170" s="1">
        <v>785.0</v>
      </c>
      <c r="B170" s="1" t="s">
        <v>1089</v>
      </c>
      <c r="C170" s="1">
        <v>5.0</v>
      </c>
      <c r="D170" s="1">
        <v>50.0</v>
      </c>
      <c r="E170" s="1">
        <v>0.001</v>
      </c>
    </row>
    <row r="171">
      <c r="A171" s="1">
        <v>42862.0</v>
      </c>
      <c r="B171" s="1" t="s">
        <v>1093</v>
      </c>
      <c r="C171" s="1">
        <v>5.0</v>
      </c>
      <c r="D171" s="1">
        <v>50.0</v>
      </c>
      <c r="E171" s="1">
        <v>0.001</v>
      </c>
    </row>
    <row r="172">
      <c r="A172" s="1">
        <v>35788.0</v>
      </c>
      <c r="B172" s="1" t="s">
        <v>1095</v>
      </c>
      <c r="C172" s="1">
        <v>5.0</v>
      </c>
      <c r="D172" s="1">
        <v>50.0</v>
      </c>
      <c r="E172" s="1">
        <v>0.001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37.13"/>
    <col customWidth="1" min="4" max="4" width="20.38"/>
  </cols>
  <sheetData>
    <row r="1">
      <c r="A1" s="1" t="s">
        <v>1</v>
      </c>
      <c r="B1" s="1" t="s">
        <v>2</v>
      </c>
      <c r="C1" s="1" t="s">
        <v>4</v>
      </c>
      <c r="D1" s="1" t="s">
        <v>6</v>
      </c>
    </row>
    <row r="2">
      <c r="A2" s="1" t="s">
        <v>9</v>
      </c>
      <c r="B2" s="1" t="s">
        <v>11</v>
      </c>
      <c r="C2" s="1" t="s">
        <v>12</v>
      </c>
      <c r="D2" s="1">
        <v>2.7617492E7</v>
      </c>
    </row>
    <row r="3">
      <c r="A3" s="1" t="s">
        <v>17</v>
      </c>
      <c r="B3" s="1" t="s">
        <v>19</v>
      </c>
      <c r="C3" s="1" t="s">
        <v>12</v>
      </c>
      <c r="D3" s="1">
        <v>5051455.0</v>
      </c>
    </row>
    <row r="4">
      <c r="A4" s="1" t="s">
        <v>23</v>
      </c>
      <c r="B4" s="1" t="s">
        <v>25</v>
      </c>
      <c r="C4" s="1" t="s">
        <v>12</v>
      </c>
      <c r="D4" s="1">
        <v>5564287.0</v>
      </c>
    </row>
    <row r="5">
      <c r="A5" s="1" t="s">
        <v>29</v>
      </c>
      <c r="B5" s="1" t="s">
        <v>31</v>
      </c>
      <c r="C5" s="1" t="s">
        <v>12</v>
      </c>
      <c r="D5" s="1">
        <v>6045415.0</v>
      </c>
    </row>
    <row r="6">
      <c r="A6" s="1" t="s">
        <v>34</v>
      </c>
      <c r="B6" s="1" t="s">
        <v>37</v>
      </c>
      <c r="C6" s="1" t="s">
        <v>12</v>
      </c>
      <c r="D6" s="1">
        <v>9434889.0</v>
      </c>
    </row>
    <row r="7">
      <c r="A7" s="1" t="s">
        <v>41</v>
      </c>
      <c r="B7" s="1" t="s">
        <v>43</v>
      </c>
      <c r="C7" s="1" t="s">
        <v>12</v>
      </c>
      <c r="D7" s="1">
        <v>6242254.0</v>
      </c>
    </row>
    <row r="8">
      <c r="A8" s="1" t="s">
        <v>47</v>
      </c>
      <c r="B8" s="1" t="s">
        <v>49</v>
      </c>
      <c r="C8" s="1" t="s">
        <v>12</v>
      </c>
      <c r="D8" s="1">
        <v>9386578.0</v>
      </c>
    </row>
    <row r="9">
      <c r="A9" s="1" t="s">
        <v>53</v>
      </c>
      <c r="B9" s="1" t="s">
        <v>54</v>
      </c>
      <c r="C9" s="1" t="s">
        <v>56</v>
      </c>
      <c r="D9" s="1">
        <v>4.4218087E7</v>
      </c>
    </row>
    <row r="10">
      <c r="A10" s="1" t="s">
        <v>53</v>
      </c>
      <c r="B10" s="1" t="s">
        <v>66</v>
      </c>
      <c r="C10" s="1" t="s">
        <v>56</v>
      </c>
      <c r="D10" s="1">
        <v>3.8899273E7</v>
      </c>
    </row>
    <row r="11">
      <c r="A11" s="1" t="s">
        <v>53</v>
      </c>
      <c r="B11" s="1" t="s">
        <v>69</v>
      </c>
      <c r="C11" s="1" t="s">
        <v>56</v>
      </c>
      <c r="D11" s="1">
        <v>2.3796583E7</v>
      </c>
    </row>
    <row r="12">
      <c r="A12" s="1" t="s">
        <v>53</v>
      </c>
      <c r="B12" s="1" t="s">
        <v>72</v>
      </c>
      <c r="C12" s="1" t="s">
        <v>56</v>
      </c>
      <c r="D12" s="1">
        <v>1.4965812E7</v>
      </c>
    </row>
    <row r="13">
      <c r="A13" s="1" t="s">
        <v>53</v>
      </c>
      <c r="B13" s="1" t="s">
        <v>76</v>
      </c>
      <c r="C13" s="1" t="s">
        <v>56</v>
      </c>
      <c r="D13" s="1">
        <v>2.8995535E7</v>
      </c>
    </row>
    <row r="14">
      <c r="A14" s="1" t="s">
        <v>53</v>
      </c>
      <c r="B14" s="1" t="s">
        <v>80</v>
      </c>
      <c r="C14" s="1" t="s">
        <v>56</v>
      </c>
      <c r="D14" s="1">
        <v>3.3573043E7</v>
      </c>
    </row>
    <row r="15">
      <c r="A15" s="1" t="s">
        <v>53</v>
      </c>
      <c r="B15" s="1" t="s">
        <v>83</v>
      </c>
      <c r="C15" s="1" t="s">
        <v>56</v>
      </c>
      <c r="D15" s="1">
        <v>3.0248274E7</v>
      </c>
    </row>
    <row r="16">
      <c r="A16" s="1" t="s">
        <v>53</v>
      </c>
      <c r="B16" s="1" t="s">
        <v>90</v>
      </c>
      <c r="C16" s="1" t="s">
        <v>56</v>
      </c>
      <c r="D16" s="1">
        <v>1.9595885E7</v>
      </c>
    </row>
    <row r="17">
      <c r="A17" s="1" t="s">
        <v>53</v>
      </c>
      <c r="B17" s="1" t="s">
        <v>91</v>
      </c>
      <c r="C17" s="1" t="s">
        <v>56</v>
      </c>
      <c r="D17" s="1">
        <v>2.5063986E7</v>
      </c>
    </row>
    <row r="18">
      <c r="A18" s="1" t="s">
        <v>53</v>
      </c>
      <c r="B18" s="1" t="s">
        <v>95</v>
      </c>
      <c r="C18" s="1" t="s">
        <v>56</v>
      </c>
      <c r="D18" s="1">
        <v>3.8835659E7</v>
      </c>
    </row>
    <row r="19">
      <c r="A19" s="1" t="s">
        <v>53</v>
      </c>
      <c r="B19" s="1" t="s">
        <v>97</v>
      </c>
      <c r="C19" s="1" t="s">
        <v>56</v>
      </c>
      <c r="D19" s="1">
        <v>3.2334172E7</v>
      </c>
    </row>
    <row r="20">
      <c r="A20" s="1" t="s">
        <v>53</v>
      </c>
      <c r="B20" s="1" t="s">
        <v>100</v>
      </c>
      <c r="C20" s="1" t="s">
        <v>12</v>
      </c>
      <c r="D20" s="1">
        <v>2.9016991E7</v>
      </c>
    </row>
    <row r="21">
      <c r="A21" s="1" t="s">
        <v>53</v>
      </c>
      <c r="B21" s="1" t="s">
        <v>103</v>
      </c>
      <c r="C21" s="1" t="s">
        <v>12</v>
      </c>
      <c r="D21" s="1">
        <v>3.4858529E7</v>
      </c>
    </row>
    <row r="22">
      <c r="A22" s="1" t="s">
        <v>53</v>
      </c>
      <c r="B22" s="1" t="s">
        <v>105</v>
      </c>
      <c r="C22" s="1" t="s">
        <v>12</v>
      </c>
      <c r="D22" s="1">
        <v>3.4671499E7</v>
      </c>
    </row>
    <row r="23">
      <c r="A23" s="1" t="s">
        <v>53</v>
      </c>
      <c r="B23" s="1" t="s">
        <v>108</v>
      </c>
      <c r="C23" s="1" t="s">
        <v>12</v>
      </c>
      <c r="D23" s="1">
        <v>1.2832943E7</v>
      </c>
    </row>
    <row r="24">
      <c r="A24" s="1" t="s">
        <v>53</v>
      </c>
      <c r="B24" s="1" t="s">
        <v>110</v>
      </c>
      <c r="C24" s="1" t="s">
        <v>12</v>
      </c>
      <c r="D24" s="1">
        <v>4.9405878E7</v>
      </c>
    </row>
    <row r="25">
      <c r="A25" s="1" t="s">
        <v>53</v>
      </c>
      <c r="B25" s="1" t="s">
        <v>114</v>
      </c>
      <c r="C25" s="1" t="s">
        <v>12</v>
      </c>
      <c r="D25" s="1">
        <v>3.2468711E7</v>
      </c>
    </row>
    <row r="26">
      <c r="A26" s="1" t="s">
        <v>53</v>
      </c>
      <c r="B26" s="1" t="s">
        <v>116</v>
      </c>
      <c r="C26" s="1" t="s">
        <v>12</v>
      </c>
      <c r="D26" s="1">
        <v>3.4110486E7</v>
      </c>
    </row>
    <row r="27">
      <c r="A27" s="1" t="s">
        <v>53</v>
      </c>
      <c r="B27" s="1" t="s">
        <v>118</v>
      </c>
      <c r="C27" s="1" t="s">
        <v>12</v>
      </c>
      <c r="D27" s="1">
        <v>5.1074574E7</v>
      </c>
    </row>
    <row r="28">
      <c r="A28" s="1" t="s">
        <v>53</v>
      </c>
      <c r="B28" s="1" t="s">
        <v>123</v>
      </c>
      <c r="C28" s="1" t="s">
        <v>12</v>
      </c>
      <c r="D28" s="1">
        <v>2.6342044E7</v>
      </c>
    </row>
    <row r="29">
      <c r="A29" s="1" t="s">
        <v>53</v>
      </c>
      <c r="B29" s="1" t="s">
        <v>127</v>
      </c>
      <c r="C29" s="1" t="s">
        <v>12</v>
      </c>
      <c r="D29" s="1">
        <v>4.8518848E7</v>
      </c>
    </row>
    <row r="30">
      <c r="A30" s="1" t="s">
        <v>53</v>
      </c>
      <c r="B30" s="1" t="s">
        <v>132</v>
      </c>
      <c r="C30" s="1" t="s">
        <v>12</v>
      </c>
      <c r="D30" s="1">
        <v>5.7877887E7</v>
      </c>
    </row>
    <row r="31">
      <c r="A31" s="1" t="s">
        <v>53</v>
      </c>
      <c r="B31" s="1" t="s">
        <v>135</v>
      </c>
      <c r="C31" s="1" t="s">
        <v>12</v>
      </c>
      <c r="D31" s="1">
        <v>2.5779092E7</v>
      </c>
    </row>
    <row r="32">
      <c r="A32" s="1" t="s">
        <v>53</v>
      </c>
      <c r="B32" s="1" t="s">
        <v>137</v>
      </c>
      <c r="C32" s="1" t="s">
        <v>12</v>
      </c>
      <c r="D32" s="1">
        <v>3.1752241E7</v>
      </c>
    </row>
    <row r="33">
      <c r="A33" s="1" t="s">
        <v>53</v>
      </c>
      <c r="B33" s="1" t="s">
        <v>140</v>
      </c>
      <c r="C33" s="1" t="s">
        <v>12</v>
      </c>
      <c r="D33" s="1">
        <v>2.6403749E7</v>
      </c>
    </row>
    <row r="34">
      <c r="A34" s="1" t="s">
        <v>53</v>
      </c>
      <c r="B34" s="1" t="s">
        <v>143</v>
      </c>
      <c r="C34" s="1" t="s">
        <v>12</v>
      </c>
      <c r="D34" s="1">
        <v>4.8511128E7</v>
      </c>
    </row>
    <row r="35">
      <c r="A35" s="1" t="s">
        <v>53</v>
      </c>
      <c r="B35" s="1" t="s">
        <v>147</v>
      </c>
      <c r="C35" s="1" t="s">
        <v>12</v>
      </c>
      <c r="D35" s="1">
        <v>2.881655E7</v>
      </c>
    </row>
    <row r="36">
      <c r="A36" s="1" t="s">
        <v>53</v>
      </c>
      <c r="B36" s="1" t="s">
        <v>148</v>
      </c>
      <c r="C36" s="1" t="s">
        <v>12</v>
      </c>
      <c r="D36" s="1">
        <v>3.2959177E7</v>
      </c>
    </row>
    <row r="37">
      <c r="A37" s="1" t="s">
        <v>53</v>
      </c>
      <c r="B37" s="1" t="s">
        <v>149</v>
      </c>
      <c r="C37" s="1" t="s">
        <v>12</v>
      </c>
      <c r="D37" s="1">
        <v>3.2845765E7</v>
      </c>
    </row>
    <row r="38">
      <c r="A38" s="1" t="s">
        <v>53</v>
      </c>
      <c r="B38" s="1" t="s">
        <v>151</v>
      </c>
      <c r="C38" s="1" t="s">
        <v>12</v>
      </c>
      <c r="D38" s="1">
        <v>9725286.0</v>
      </c>
    </row>
    <row r="39">
      <c r="A39" s="1" t="s">
        <v>53</v>
      </c>
      <c r="B39" s="1" t="s">
        <v>154</v>
      </c>
      <c r="C39" s="1" t="s">
        <v>12</v>
      </c>
      <c r="D39" s="1">
        <v>7236422.0</v>
      </c>
    </row>
    <row r="40">
      <c r="A40" s="1" t="s">
        <v>53</v>
      </c>
      <c r="B40" s="1" t="s">
        <v>159</v>
      </c>
      <c r="C40" s="1" t="s">
        <v>12</v>
      </c>
      <c r="D40" s="1">
        <v>6383103.0</v>
      </c>
    </row>
    <row r="41">
      <c r="A41" s="1" t="s">
        <v>53</v>
      </c>
      <c r="B41" s="1" t="s">
        <v>161</v>
      </c>
      <c r="C41" s="1" t="s">
        <v>12</v>
      </c>
      <c r="D41" s="1">
        <v>5601593.0</v>
      </c>
    </row>
    <row r="42">
      <c r="A42" s="1" t="s">
        <v>53</v>
      </c>
      <c r="B42" s="1" t="s">
        <v>162</v>
      </c>
      <c r="C42" s="1" t="s">
        <v>12</v>
      </c>
      <c r="D42" s="1">
        <v>9686055.0</v>
      </c>
    </row>
    <row r="43">
      <c r="A43" s="1" t="s">
        <v>53</v>
      </c>
      <c r="B43" s="1" t="s">
        <v>164</v>
      </c>
      <c r="C43" s="1" t="s">
        <v>12</v>
      </c>
      <c r="D43" s="1">
        <v>8534968.0</v>
      </c>
    </row>
    <row r="44">
      <c r="A44" s="1" t="s">
        <v>53</v>
      </c>
      <c r="B44" s="1" t="s">
        <v>169</v>
      </c>
      <c r="C44" s="1" t="s">
        <v>12</v>
      </c>
      <c r="D44" s="1">
        <v>6583989.0</v>
      </c>
    </row>
    <row r="45">
      <c r="A45" s="1" t="s">
        <v>53</v>
      </c>
      <c r="B45" s="1" t="s">
        <v>171</v>
      </c>
      <c r="C45" s="1" t="s">
        <v>12</v>
      </c>
      <c r="D45" s="1">
        <v>6063306.0</v>
      </c>
    </row>
    <row r="46">
      <c r="A46" s="1" t="s">
        <v>53</v>
      </c>
      <c r="B46" s="1" t="s">
        <v>173</v>
      </c>
      <c r="C46" s="1" t="s">
        <v>12</v>
      </c>
      <c r="D46" s="1">
        <v>5.4677622E7</v>
      </c>
    </row>
    <row r="47">
      <c r="A47" s="1" t="s">
        <v>53</v>
      </c>
      <c r="B47" s="1" t="s">
        <v>174</v>
      </c>
      <c r="C47" s="1" t="s">
        <v>12</v>
      </c>
      <c r="D47" s="1">
        <v>469.0</v>
      </c>
    </row>
    <row r="48">
      <c r="A48" s="1" t="s">
        <v>53</v>
      </c>
      <c r="B48" s="1" t="s">
        <v>178</v>
      </c>
      <c r="C48" s="1" t="s">
        <v>12</v>
      </c>
      <c r="D48" s="1">
        <v>4.0963042E7</v>
      </c>
    </row>
    <row r="49">
      <c r="A49" s="1" t="s">
        <v>53</v>
      </c>
      <c r="B49" s="1" t="s">
        <v>180</v>
      </c>
      <c r="C49" s="1" t="s">
        <v>12</v>
      </c>
      <c r="D49" s="1">
        <v>3.5288915E7</v>
      </c>
    </row>
    <row r="50">
      <c r="A50" s="1" t="s">
        <v>53</v>
      </c>
      <c r="B50" s="1" t="s">
        <v>185</v>
      </c>
      <c r="C50" s="1" t="s">
        <v>12</v>
      </c>
      <c r="D50" s="1">
        <v>4.2253711E7</v>
      </c>
    </row>
    <row r="51">
      <c r="A51" s="1" t="s">
        <v>53</v>
      </c>
      <c r="B51" s="1" t="s">
        <v>187</v>
      </c>
      <c r="C51" s="1" t="s">
        <v>12</v>
      </c>
      <c r="D51" s="1">
        <v>3.5129987E7</v>
      </c>
    </row>
    <row r="52">
      <c r="A52" s="1" t="s">
        <v>53</v>
      </c>
      <c r="B52" s="1" t="s">
        <v>188</v>
      </c>
      <c r="C52" s="1" t="s">
        <v>12</v>
      </c>
      <c r="D52" s="1">
        <v>3.5690042E7</v>
      </c>
    </row>
    <row r="53">
      <c r="A53" s="1" t="s">
        <v>53</v>
      </c>
      <c r="B53" s="1" t="s">
        <v>193</v>
      </c>
      <c r="C53" s="1" t="s">
        <v>12</v>
      </c>
      <c r="D53" s="1">
        <v>3.7888271E7</v>
      </c>
    </row>
    <row r="54">
      <c r="A54" s="1" t="s">
        <v>53</v>
      </c>
      <c r="B54" s="1" t="s">
        <v>199</v>
      </c>
      <c r="C54" s="1" t="s">
        <v>12</v>
      </c>
      <c r="D54" s="1">
        <v>5.4206074E7</v>
      </c>
    </row>
    <row r="55">
      <c r="A55" s="1" t="s">
        <v>53</v>
      </c>
      <c r="B55" s="1" t="s">
        <v>200</v>
      </c>
      <c r="C55" s="1" t="s">
        <v>12</v>
      </c>
      <c r="D55" s="1">
        <v>3.9667519E7</v>
      </c>
    </row>
    <row r="56">
      <c r="A56" s="1" t="s">
        <v>53</v>
      </c>
      <c r="B56" s="1" t="s">
        <v>204</v>
      </c>
      <c r="C56" s="1" t="s">
        <v>12</v>
      </c>
      <c r="D56" s="1">
        <v>3.3544539E7</v>
      </c>
    </row>
    <row r="57">
      <c r="A57" s="1" t="s">
        <v>53</v>
      </c>
      <c r="B57" s="1" t="s">
        <v>205</v>
      </c>
      <c r="C57" s="1" t="s">
        <v>12</v>
      </c>
      <c r="D57" s="1">
        <v>5.4449279E7</v>
      </c>
    </row>
    <row r="58">
      <c r="A58" s="1" t="s">
        <v>53</v>
      </c>
      <c r="B58" s="1" t="s">
        <v>208</v>
      </c>
      <c r="C58" s="1" t="s">
        <v>12</v>
      </c>
      <c r="D58" s="1">
        <v>2.7891865E7</v>
      </c>
    </row>
    <row r="59">
      <c r="A59" s="1" t="s">
        <v>53</v>
      </c>
      <c r="B59" s="1" t="s">
        <v>212</v>
      </c>
      <c r="C59" s="1" t="s">
        <v>12</v>
      </c>
      <c r="D59" s="1">
        <v>3.1913554E7</v>
      </c>
    </row>
    <row r="60">
      <c r="A60" s="1" t="s">
        <v>53</v>
      </c>
      <c r="B60" s="1" t="s">
        <v>214</v>
      </c>
      <c r="C60" s="1" t="s">
        <v>12</v>
      </c>
      <c r="D60" s="1">
        <v>3.1689856E7</v>
      </c>
    </row>
    <row r="61">
      <c r="A61" s="1" t="s">
        <v>53</v>
      </c>
      <c r="B61" s="1" t="s">
        <v>219</v>
      </c>
      <c r="C61" s="1" t="s">
        <v>12</v>
      </c>
      <c r="D61" s="1">
        <v>2.748904E7</v>
      </c>
    </row>
    <row r="62">
      <c r="A62" s="1" t="s">
        <v>53</v>
      </c>
      <c r="B62" s="1" t="s">
        <v>221</v>
      </c>
      <c r="C62" s="1" t="s">
        <v>12</v>
      </c>
      <c r="D62" s="1">
        <v>2.7972078E7</v>
      </c>
    </row>
    <row r="63">
      <c r="A63" s="1" t="s">
        <v>53</v>
      </c>
      <c r="B63" s="1" t="s">
        <v>222</v>
      </c>
      <c r="C63" s="1" t="s">
        <v>12</v>
      </c>
      <c r="D63" s="1">
        <v>2.8539118E7</v>
      </c>
    </row>
    <row r="64">
      <c r="A64" s="1" t="s">
        <v>53</v>
      </c>
      <c r="B64" s="1" t="s">
        <v>228</v>
      </c>
      <c r="C64" s="1" t="s">
        <v>12</v>
      </c>
      <c r="D64" s="1">
        <v>2.5498016E7</v>
      </c>
    </row>
    <row r="65">
      <c r="A65" s="1" t="s">
        <v>53</v>
      </c>
      <c r="B65" s="1" t="s">
        <v>229</v>
      </c>
      <c r="C65" s="1" t="s">
        <v>12</v>
      </c>
      <c r="D65" s="1">
        <v>3.2041645E7</v>
      </c>
    </row>
    <row r="66">
      <c r="A66" s="1" t="s">
        <v>53</v>
      </c>
      <c r="B66" s="1" t="s">
        <v>233</v>
      </c>
      <c r="C66" s="1" t="s">
        <v>12</v>
      </c>
      <c r="D66" s="1">
        <v>2.5372315E7</v>
      </c>
    </row>
    <row r="67">
      <c r="A67" s="1" t="s">
        <v>53</v>
      </c>
      <c r="B67" s="1" t="s">
        <v>235</v>
      </c>
      <c r="C67" s="1" t="s">
        <v>12</v>
      </c>
      <c r="D67" s="1">
        <v>3.029788E7</v>
      </c>
    </row>
    <row r="68">
      <c r="A68" s="1" t="s">
        <v>53</v>
      </c>
      <c r="B68" s="1" t="s">
        <v>240</v>
      </c>
      <c r="C68" s="1" t="s">
        <v>12</v>
      </c>
      <c r="D68" s="1">
        <v>4.3265936E7</v>
      </c>
    </row>
    <row r="69">
      <c r="A69" s="1" t="s">
        <v>53</v>
      </c>
      <c r="B69" s="1" t="s">
        <v>243</v>
      </c>
      <c r="C69" s="1" t="s">
        <v>12</v>
      </c>
      <c r="D69" s="1">
        <v>2.404233E7</v>
      </c>
    </row>
    <row r="70">
      <c r="A70" s="1" t="s">
        <v>53</v>
      </c>
      <c r="B70" s="1" t="s">
        <v>244</v>
      </c>
      <c r="C70" s="1" t="s">
        <v>12</v>
      </c>
      <c r="D70" s="1">
        <v>9319917.0</v>
      </c>
    </row>
    <row r="71">
      <c r="A71" s="1" t="s">
        <v>53</v>
      </c>
      <c r="B71" s="1" t="s">
        <v>247</v>
      </c>
      <c r="C71" s="1" t="s">
        <v>12</v>
      </c>
      <c r="D71" s="1">
        <v>8506342.0</v>
      </c>
    </row>
    <row r="72">
      <c r="A72" s="1" t="s">
        <v>53</v>
      </c>
      <c r="B72" s="1" t="s">
        <v>252</v>
      </c>
      <c r="C72" s="1" t="s">
        <v>12</v>
      </c>
      <c r="D72" s="1">
        <v>1.3717037E7</v>
      </c>
    </row>
    <row r="73">
      <c r="A73" s="1" t="s">
        <v>53</v>
      </c>
      <c r="B73" s="1" t="s">
        <v>255</v>
      </c>
      <c r="C73" s="1" t="s">
        <v>12</v>
      </c>
      <c r="D73" s="1">
        <v>5281230.0</v>
      </c>
    </row>
    <row r="74">
      <c r="A74" s="1" t="s">
        <v>53</v>
      </c>
      <c r="B74" s="1" t="s">
        <v>258</v>
      </c>
      <c r="C74" s="1" t="s">
        <v>12</v>
      </c>
      <c r="D74" s="1">
        <v>8508860.0</v>
      </c>
    </row>
    <row r="75">
      <c r="A75" s="1" t="s">
        <v>53</v>
      </c>
      <c r="B75" s="1" t="s">
        <v>262</v>
      </c>
      <c r="C75" s="1" t="s">
        <v>12</v>
      </c>
      <c r="D75" s="1">
        <v>9253080.0</v>
      </c>
    </row>
    <row r="76">
      <c r="A76" s="1" t="s">
        <v>53</v>
      </c>
      <c r="B76" s="1" t="s">
        <v>265</v>
      </c>
      <c r="C76" s="1" t="s">
        <v>12</v>
      </c>
      <c r="D76" s="1">
        <v>1.5819185E7</v>
      </c>
    </row>
    <row r="77">
      <c r="A77" s="1" t="s">
        <v>53</v>
      </c>
      <c r="B77" s="1" t="s">
        <v>267</v>
      </c>
      <c r="C77" s="1" t="s">
        <v>12</v>
      </c>
      <c r="D77" s="1">
        <v>6851185.0</v>
      </c>
    </row>
    <row r="78">
      <c r="A78" s="1" t="s">
        <v>53</v>
      </c>
      <c r="B78" s="1" t="s">
        <v>272</v>
      </c>
      <c r="C78" s="1" t="s">
        <v>12</v>
      </c>
      <c r="D78" s="1">
        <v>3.7578433E7</v>
      </c>
    </row>
    <row r="79">
      <c r="A79" s="1" t="s">
        <v>53</v>
      </c>
      <c r="B79" s="1" t="s">
        <v>276</v>
      </c>
      <c r="C79" s="1" t="s">
        <v>12</v>
      </c>
      <c r="D79" s="1">
        <v>2.8396836E7</v>
      </c>
    </row>
    <row r="80">
      <c r="A80" s="1" t="s">
        <v>53</v>
      </c>
      <c r="B80" s="1" t="s">
        <v>279</v>
      </c>
      <c r="C80" s="1" t="s">
        <v>12</v>
      </c>
      <c r="D80" s="1">
        <v>2.8476366E7</v>
      </c>
    </row>
    <row r="81">
      <c r="A81" s="1" t="s">
        <v>53</v>
      </c>
      <c r="B81" s="1" t="s">
        <v>286</v>
      </c>
      <c r="C81" s="1" t="s">
        <v>12</v>
      </c>
      <c r="D81" s="1">
        <v>2.545944E7</v>
      </c>
    </row>
    <row r="82">
      <c r="A82" s="1" t="s">
        <v>53</v>
      </c>
      <c r="B82" s="1" t="s">
        <v>288</v>
      </c>
      <c r="C82" s="1" t="s">
        <v>12</v>
      </c>
      <c r="D82" s="1">
        <v>2.9371004E7</v>
      </c>
    </row>
    <row r="83">
      <c r="A83" s="1" t="s">
        <v>53</v>
      </c>
      <c r="B83" s="1" t="s">
        <v>292</v>
      </c>
      <c r="C83" s="1" t="s">
        <v>12</v>
      </c>
      <c r="D83" s="1">
        <v>3.5176336E7</v>
      </c>
    </row>
    <row r="84">
      <c r="A84" s="1" t="s">
        <v>53</v>
      </c>
      <c r="B84" s="1" t="s">
        <v>293</v>
      </c>
      <c r="C84" s="1" t="s">
        <v>12</v>
      </c>
      <c r="D84" s="1">
        <v>3.8957668E7</v>
      </c>
    </row>
    <row r="85">
      <c r="A85" s="1" t="s">
        <v>53</v>
      </c>
      <c r="B85" s="1" t="s">
        <v>297</v>
      </c>
      <c r="C85" s="1" t="s">
        <v>12</v>
      </c>
      <c r="D85" s="1">
        <v>3.9803574E7</v>
      </c>
    </row>
    <row r="86">
      <c r="A86" s="1" t="s">
        <v>53</v>
      </c>
      <c r="B86" s="1" t="s">
        <v>301</v>
      </c>
      <c r="C86" s="1" t="s">
        <v>12</v>
      </c>
      <c r="D86" s="1">
        <v>2.8940698E7</v>
      </c>
    </row>
    <row r="87">
      <c r="A87" s="1" t="s">
        <v>53</v>
      </c>
      <c r="B87" s="1" t="s">
        <v>304</v>
      </c>
      <c r="C87" s="1" t="s">
        <v>12</v>
      </c>
      <c r="D87" s="1">
        <v>5.24332E7</v>
      </c>
    </row>
    <row r="88">
      <c r="A88" s="1" t="s">
        <v>53</v>
      </c>
      <c r="B88" s="1" t="s">
        <v>307</v>
      </c>
      <c r="C88" s="1" t="s">
        <v>12</v>
      </c>
      <c r="D88" s="1">
        <v>4.8010302E7</v>
      </c>
    </row>
    <row r="89">
      <c r="A89" s="1" t="s">
        <v>53</v>
      </c>
      <c r="B89" s="1" t="s">
        <v>311</v>
      </c>
      <c r="C89" s="1" t="s">
        <v>12</v>
      </c>
      <c r="D89" s="1">
        <v>1.973031E7</v>
      </c>
    </row>
    <row r="90">
      <c r="A90" s="1" t="s">
        <v>53</v>
      </c>
      <c r="B90" s="1" t="s">
        <v>316</v>
      </c>
      <c r="C90" s="1" t="s">
        <v>12</v>
      </c>
      <c r="D90" s="1">
        <v>1.2722169E7</v>
      </c>
    </row>
    <row r="91">
      <c r="A91" s="1" t="s">
        <v>53</v>
      </c>
      <c r="B91" s="1" t="s">
        <v>318</v>
      </c>
      <c r="C91" s="1" t="s">
        <v>12</v>
      </c>
      <c r="D91" s="1">
        <v>3.4834848E7</v>
      </c>
    </row>
    <row r="92">
      <c r="A92" s="1" t="s">
        <v>53</v>
      </c>
      <c r="B92" s="1" t="s">
        <v>321</v>
      </c>
      <c r="C92" s="1" t="s">
        <v>12</v>
      </c>
      <c r="D92" s="1">
        <v>4.684991E7</v>
      </c>
    </row>
    <row r="93">
      <c r="A93" s="1" t="s">
        <v>53</v>
      </c>
      <c r="B93" s="1" t="s">
        <v>323</v>
      </c>
      <c r="C93" s="1" t="s">
        <v>12</v>
      </c>
      <c r="D93" s="1">
        <v>4.0031065E7</v>
      </c>
    </row>
    <row r="94">
      <c r="A94" s="1" t="s">
        <v>53</v>
      </c>
      <c r="B94" s="1" t="s">
        <v>328</v>
      </c>
      <c r="C94" s="1" t="s">
        <v>12</v>
      </c>
      <c r="D94" s="1">
        <v>4.4530367E7</v>
      </c>
    </row>
    <row r="95">
      <c r="A95" s="1" t="s">
        <v>53</v>
      </c>
      <c r="B95" s="1" t="s">
        <v>331</v>
      </c>
      <c r="C95" s="1" t="s">
        <v>12</v>
      </c>
      <c r="D95" s="1">
        <v>3.6613869E7</v>
      </c>
    </row>
    <row r="96">
      <c r="A96" s="1" t="s">
        <v>53</v>
      </c>
      <c r="B96" s="1" t="s">
        <v>333</v>
      </c>
      <c r="C96" s="1" t="s">
        <v>12</v>
      </c>
      <c r="D96" s="1">
        <v>3.4048291E7</v>
      </c>
    </row>
    <row r="97">
      <c r="A97" s="1" t="s">
        <v>53</v>
      </c>
      <c r="B97" s="1" t="s">
        <v>338</v>
      </c>
      <c r="C97" s="1" t="s">
        <v>12</v>
      </c>
      <c r="D97" s="1">
        <v>3.5228732E7</v>
      </c>
    </row>
    <row r="98">
      <c r="A98" s="1" t="s">
        <v>53</v>
      </c>
      <c r="B98" s="1" t="s">
        <v>341</v>
      </c>
      <c r="C98" s="1" t="s">
        <v>12</v>
      </c>
      <c r="D98" s="1">
        <v>4.3243517E7</v>
      </c>
    </row>
    <row r="99">
      <c r="A99" s="1" t="s">
        <v>53</v>
      </c>
      <c r="B99" s="1" t="s">
        <v>344</v>
      </c>
      <c r="C99" s="1" t="s">
        <v>12</v>
      </c>
      <c r="D99" s="1">
        <v>4.8772501E7</v>
      </c>
    </row>
    <row r="100">
      <c r="A100" s="1" t="s">
        <v>53</v>
      </c>
      <c r="B100" s="1" t="s">
        <v>345</v>
      </c>
      <c r="C100" s="1" t="s">
        <v>12</v>
      </c>
      <c r="D100" s="1">
        <v>4.1102036E7</v>
      </c>
    </row>
    <row r="101">
      <c r="A101" s="1" t="s">
        <v>53</v>
      </c>
      <c r="B101" s="1" t="s">
        <v>351</v>
      </c>
      <c r="C101" s="1" t="s">
        <v>12</v>
      </c>
      <c r="D101" s="1">
        <v>4.0380144E7</v>
      </c>
    </row>
    <row r="102">
      <c r="A102" s="1" t="s">
        <v>53</v>
      </c>
      <c r="B102" s="1" t="s">
        <v>353</v>
      </c>
      <c r="C102" s="1" t="s">
        <v>12</v>
      </c>
      <c r="D102" s="1">
        <v>4.3558254E7</v>
      </c>
    </row>
    <row r="103">
      <c r="A103" s="1" t="s">
        <v>355</v>
      </c>
      <c r="B103" s="1" t="s">
        <v>356</v>
      </c>
      <c r="C103" s="1" t="s">
        <v>12</v>
      </c>
      <c r="D103" s="1">
        <v>1250019.0</v>
      </c>
    </row>
    <row r="104">
      <c r="A104" s="1" t="s">
        <v>355</v>
      </c>
      <c r="B104" s="1" t="s">
        <v>360</v>
      </c>
      <c r="C104" s="1" t="s">
        <v>56</v>
      </c>
      <c r="D104" s="1">
        <v>2566780.0</v>
      </c>
    </row>
    <row r="105">
      <c r="A105" s="1" t="s">
        <v>362</v>
      </c>
      <c r="B105" s="1" t="s">
        <v>364</v>
      </c>
      <c r="C105" s="1" t="s">
        <v>12</v>
      </c>
      <c r="D105" s="1">
        <v>1335667.0</v>
      </c>
    </row>
    <row r="106">
      <c r="A106" s="1" t="s">
        <v>366</v>
      </c>
      <c r="B106" s="1" t="s">
        <v>367</v>
      </c>
      <c r="C106" s="1" t="s">
        <v>12</v>
      </c>
      <c r="D106" s="1">
        <v>2586231.0</v>
      </c>
    </row>
    <row r="107">
      <c r="A107" s="1" t="s">
        <v>368</v>
      </c>
      <c r="B107" s="1" t="s">
        <v>370</v>
      </c>
      <c r="C107" s="1" t="s">
        <v>12</v>
      </c>
      <c r="D107" s="1">
        <v>3077948.0</v>
      </c>
    </row>
    <row r="108">
      <c r="A108" s="1" t="s">
        <v>374</v>
      </c>
      <c r="B108" s="1" t="s">
        <v>375</v>
      </c>
      <c r="C108" s="1" t="s">
        <v>12</v>
      </c>
      <c r="D108" s="1">
        <v>2872662.0</v>
      </c>
    </row>
    <row r="109">
      <c r="A109" s="1" t="s">
        <v>374</v>
      </c>
      <c r="B109" s="1" t="s">
        <v>379</v>
      </c>
      <c r="C109" s="1" t="s">
        <v>56</v>
      </c>
      <c r="D109" s="1">
        <v>2114235.0</v>
      </c>
    </row>
    <row r="110">
      <c r="A110" s="1" t="s">
        <v>380</v>
      </c>
      <c r="B110" s="1" t="s">
        <v>382</v>
      </c>
      <c r="C110" s="1" t="s">
        <v>12</v>
      </c>
      <c r="D110" s="1">
        <v>2735844.0</v>
      </c>
    </row>
    <row r="111">
      <c r="A111" s="1" t="s">
        <v>387</v>
      </c>
      <c r="B111" s="1" t="s">
        <v>388</v>
      </c>
      <c r="C111" s="1" t="s">
        <v>12</v>
      </c>
      <c r="D111" s="1">
        <v>2651384.0</v>
      </c>
    </row>
    <row r="112">
      <c r="A112" s="1" t="s">
        <v>390</v>
      </c>
      <c r="B112" s="1" t="s">
        <v>391</v>
      </c>
      <c r="C112" s="1" t="s">
        <v>12</v>
      </c>
      <c r="D112" s="1">
        <v>1350141.0</v>
      </c>
    </row>
    <row r="113">
      <c r="A113" s="1" t="s">
        <v>390</v>
      </c>
      <c r="B113" s="1" t="s">
        <v>395</v>
      </c>
      <c r="C113" s="1" t="s">
        <v>56</v>
      </c>
      <c r="D113" s="1">
        <v>3393798.0</v>
      </c>
    </row>
    <row r="114">
      <c r="A114" s="1" t="s">
        <v>398</v>
      </c>
      <c r="B114" s="1" t="s">
        <v>399</v>
      </c>
      <c r="C114" s="1" t="s">
        <v>12</v>
      </c>
      <c r="D114" s="1">
        <v>1434562.0</v>
      </c>
    </row>
    <row r="115">
      <c r="A115" s="1" t="s">
        <v>398</v>
      </c>
      <c r="B115" s="1" t="s">
        <v>401</v>
      </c>
      <c r="C115" s="1" t="s">
        <v>56</v>
      </c>
      <c r="D115" s="1">
        <v>6814363.0</v>
      </c>
    </row>
    <row r="116">
      <c r="A116" s="1" t="s">
        <v>403</v>
      </c>
      <c r="B116" s="1" t="s">
        <v>404</v>
      </c>
      <c r="C116" s="1" t="s">
        <v>12</v>
      </c>
      <c r="D116" s="1">
        <v>1266826.0</v>
      </c>
    </row>
    <row r="117">
      <c r="A117" s="1" t="s">
        <v>403</v>
      </c>
      <c r="B117" s="1" t="s">
        <v>409</v>
      </c>
      <c r="C117" s="1" t="s">
        <v>56</v>
      </c>
      <c r="D117" s="1">
        <v>6726718.0</v>
      </c>
    </row>
    <row r="118">
      <c r="A118" s="1" t="s">
        <v>411</v>
      </c>
      <c r="B118" s="1" t="s">
        <v>413</v>
      </c>
      <c r="C118" s="1" t="s">
        <v>12</v>
      </c>
      <c r="D118" s="1">
        <v>1600911.0</v>
      </c>
    </row>
    <row r="119">
      <c r="A119" s="1" t="s">
        <v>411</v>
      </c>
      <c r="B119" s="1" t="s">
        <v>418</v>
      </c>
      <c r="C119" s="1" t="s">
        <v>56</v>
      </c>
      <c r="D119" s="1">
        <v>1.3001329E7</v>
      </c>
    </row>
    <row r="120">
      <c r="A120" s="1" t="s">
        <v>419</v>
      </c>
      <c r="B120" s="1" t="s">
        <v>421</v>
      </c>
      <c r="C120" s="1" t="s">
        <v>12</v>
      </c>
      <c r="D120" s="1">
        <v>1413809.0</v>
      </c>
    </row>
    <row r="121">
      <c r="A121" s="1" t="s">
        <v>419</v>
      </c>
      <c r="B121" s="1" t="s">
        <v>424</v>
      </c>
      <c r="C121" s="1" t="s">
        <v>56</v>
      </c>
      <c r="D121" s="1">
        <v>3451678.0</v>
      </c>
    </row>
    <row r="122">
      <c r="A122" s="1" t="s">
        <v>426</v>
      </c>
      <c r="B122" s="1" t="s">
        <v>427</v>
      </c>
      <c r="C122" s="1" t="s">
        <v>12</v>
      </c>
      <c r="D122" s="1">
        <v>890855.0</v>
      </c>
    </row>
    <row r="123">
      <c r="A123" s="1" t="s">
        <v>426</v>
      </c>
      <c r="B123" s="1" t="s">
        <v>430</v>
      </c>
      <c r="C123" s="1" t="s">
        <v>56</v>
      </c>
      <c r="D123" s="1">
        <v>2883130.0</v>
      </c>
    </row>
    <row r="124">
      <c r="A124" s="1" t="s">
        <v>433</v>
      </c>
      <c r="B124" s="1" t="s">
        <v>435</v>
      </c>
      <c r="C124" s="1" t="s">
        <v>12</v>
      </c>
      <c r="D124" s="1">
        <v>854318.0</v>
      </c>
    </row>
    <row r="125">
      <c r="A125" s="1" t="s">
        <v>438</v>
      </c>
      <c r="B125" s="1" t="s">
        <v>440</v>
      </c>
      <c r="C125" s="1" t="s">
        <v>12</v>
      </c>
      <c r="D125" s="1">
        <v>2040152.0</v>
      </c>
    </row>
    <row r="126">
      <c r="A126" s="1" t="s">
        <v>438</v>
      </c>
      <c r="B126" s="1" t="s">
        <v>443</v>
      </c>
      <c r="C126" s="1" t="s">
        <v>56</v>
      </c>
      <c r="D126" s="1">
        <v>3405970.0</v>
      </c>
    </row>
    <row r="127">
      <c r="A127" s="1" t="s">
        <v>445</v>
      </c>
      <c r="B127" s="1" t="s">
        <v>446</v>
      </c>
      <c r="C127" s="1" t="s">
        <v>12</v>
      </c>
      <c r="D127" s="1">
        <v>1369137.0</v>
      </c>
    </row>
    <row r="128">
      <c r="A128" s="1" t="s">
        <v>445</v>
      </c>
      <c r="B128" s="1" t="s">
        <v>450</v>
      </c>
      <c r="C128" s="1" t="s">
        <v>56</v>
      </c>
      <c r="D128" s="1">
        <v>4632887.0</v>
      </c>
    </row>
    <row r="129">
      <c r="A129" s="1" t="s">
        <v>452</v>
      </c>
      <c r="B129" s="1" t="s">
        <v>454</v>
      </c>
      <c r="C129" s="1" t="s">
        <v>455</v>
      </c>
      <c r="D129" s="1">
        <v>2653612.0</v>
      </c>
    </row>
    <row r="130">
      <c r="A130" s="1" t="s">
        <v>452</v>
      </c>
      <c r="B130" s="1" t="s">
        <v>457</v>
      </c>
      <c r="C130" s="1" t="s">
        <v>12</v>
      </c>
      <c r="D130" s="1">
        <v>1061114.0</v>
      </c>
    </row>
    <row r="131">
      <c r="A131" s="1" t="s">
        <v>452</v>
      </c>
      <c r="B131" s="1" t="s">
        <v>460</v>
      </c>
      <c r="C131" s="1" t="s">
        <v>56</v>
      </c>
      <c r="D131" s="1">
        <v>1.1190541E7</v>
      </c>
    </row>
    <row r="132">
      <c r="A132" s="1" t="s">
        <v>463</v>
      </c>
      <c r="B132" s="1" t="s">
        <v>464</v>
      </c>
      <c r="C132" s="1" t="s">
        <v>455</v>
      </c>
      <c r="D132" s="1">
        <v>3485344.0</v>
      </c>
    </row>
    <row r="133">
      <c r="A133" s="1" t="s">
        <v>463</v>
      </c>
      <c r="B133" s="1" t="s">
        <v>466</v>
      </c>
      <c r="C133" s="1" t="s">
        <v>12</v>
      </c>
      <c r="D133" s="1">
        <v>1787128.0</v>
      </c>
    </row>
    <row r="134">
      <c r="A134" s="1" t="s">
        <v>467</v>
      </c>
      <c r="B134" s="1" t="s">
        <v>468</v>
      </c>
      <c r="C134" s="1" t="s">
        <v>12</v>
      </c>
      <c r="D134" s="1">
        <v>1507727.0</v>
      </c>
    </row>
    <row r="135">
      <c r="A135" s="1" t="s">
        <v>467</v>
      </c>
      <c r="B135" s="1" t="s">
        <v>471</v>
      </c>
      <c r="C135" s="1" t="s">
        <v>56</v>
      </c>
      <c r="D135" s="1">
        <v>3209641.0</v>
      </c>
    </row>
    <row r="136">
      <c r="A136" s="1" t="s">
        <v>473</v>
      </c>
      <c r="B136" s="1" t="s">
        <v>475</v>
      </c>
      <c r="C136" s="1" t="s">
        <v>12</v>
      </c>
      <c r="D136" s="1">
        <v>1552593.0</v>
      </c>
    </row>
    <row r="137">
      <c r="A137" s="1" t="s">
        <v>473</v>
      </c>
      <c r="B137" s="1" t="s">
        <v>478</v>
      </c>
      <c r="C137" s="1" t="s">
        <v>56</v>
      </c>
      <c r="D137" s="1">
        <v>2358252.0</v>
      </c>
    </row>
    <row r="138">
      <c r="A138" s="1" t="s">
        <v>480</v>
      </c>
      <c r="B138" s="1" t="s">
        <v>481</v>
      </c>
      <c r="C138" s="1" t="s">
        <v>12</v>
      </c>
      <c r="D138" s="1">
        <v>1246190.0</v>
      </c>
    </row>
    <row r="139">
      <c r="A139" s="1" t="s">
        <v>483</v>
      </c>
      <c r="B139" s="1" t="s">
        <v>485</v>
      </c>
      <c r="C139" s="1" t="s">
        <v>12</v>
      </c>
      <c r="D139" s="1">
        <v>1628115.0</v>
      </c>
    </row>
    <row r="140">
      <c r="A140" s="1" t="s">
        <v>483</v>
      </c>
      <c r="B140" s="1" t="s">
        <v>488</v>
      </c>
      <c r="C140" s="1" t="s">
        <v>12</v>
      </c>
      <c r="D140" s="1">
        <v>1688949.0</v>
      </c>
    </row>
    <row r="141">
      <c r="A141" s="1" t="s">
        <v>483</v>
      </c>
      <c r="B141" s="1" t="s">
        <v>492</v>
      </c>
      <c r="C141" s="1" t="s">
        <v>56</v>
      </c>
      <c r="D141" s="1">
        <v>3773318.0</v>
      </c>
    </row>
    <row r="142">
      <c r="A142" s="1" t="s">
        <v>483</v>
      </c>
      <c r="B142" s="1" t="s">
        <v>496</v>
      </c>
      <c r="C142" s="1" t="s">
        <v>56</v>
      </c>
      <c r="D142" s="1">
        <v>1.0304232E7</v>
      </c>
    </row>
    <row r="143">
      <c r="A143" s="1" t="s">
        <v>498</v>
      </c>
      <c r="B143" s="1" t="s">
        <v>500</v>
      </c>
      <c r="C143" s="1" t="s">
        <v>12</v>
      </c>
      <c r="D143" s="1">
        <v>1373376.0</v>
      </c>
    </row>
    <row r="144">
      <c r="A144" s="1" t="s">
        <v>505</v>
      </c>
      <c r="B144" s="1" t="s">
        <v>506</v>
      </c>
      <c r="C144" s="1" t="s">
        <v>12</v>
      </c>
      <c r="D144" s="1">
        <v>1665503.0</v>
      </c>
    </row>
    <row r="145">
      <c r="A145" s="1" t="s">
        <v>507</v>
      </c>
      <c r="B145" s="1" t="s">
        <v>508</v>
      </c>
      <c r="C145" s="1" t="s">
        <v>12</v>
      </c>
      <c r="D145" s="1">
        <v>1985743.0</v>
      </c>
    </row>
    <row r="146">
      <c r="A146" s="1" t="s">
        <v>513</v>
      </c>
      <c r="B146" s="1" t="s">
        <v>514</v>
      </c>
      <c r="C146" s="1" t="s">
        <v>12</v>
      </c>
      <c r="D146" s="1">
        <v>1655817.0</v>
      </c>
    </row>
    <row r="147">
      <c r="A147" s="1" t="s">
        <v>516</v>
      </c>
      <c r="B147" s="1" t="s">
        <v>518</v>
      </c>
      <c r="C147" s="1" t="s">
        <v>12</v>
      </c>
      <c r="D147" s="1">
        <v>1161793.0</v>
      </c>
    </row>
    <row r="148">
      <c r="A148" s="1" t="s">
        <v>523</v>
      </c>
      <c r="B148" s="1" t="s">
        <v>525</v>
      </c>
      <c r="C148" s="1" t="s">
        <v>12</v>
      </c>
      <c r="D148" s="1">
        <v>1425391.0</v>
      </c>
    </row>
    <row r="149">
      <c r="A149" s="1" t="s">
        <v>527</v>
      </c>
      <c r="B149" s="1" t="s">
        <v>528</v>
      </c>
      <c r="C149" s="1" t="s">
        <v>12</v>
      </c>
      <c r="D149" s="1">
        <v>1191046.0</v>
      </c>
    </row>
    <row r="150">
      <c r="A150" s="1" t="s">
        <v>529</v>
      </c>
      <c r="B150" s="1" t="s">
        <v>531</v>
      </c>
      <c r="C150" s="1" t="s">
        <v>12</v>
      </c>
      <c r="D150" s="1">
        <v>6145168.0</v>
      </c>
    </row>
    <row r="151">
      <c r="A151" s="1" t="s">
        <v>533</v>
      </c>
      <c r="B151" s="1" t="s">
        <v>536</v>
      </c>
      <c r="C151" s="1" t="s">
        <v>12</v>
      </c>
      <c r="D151" s="1">
        <v>4884506.0</v>
      </c>
    </row>
    <row r="152">
      <c r="A152" s="1" t="s">
        <v>539</v>
      </c>
      <c r="B152" s="1" t="s">
        <v>540</v>
      </c>
      <c r="C152" s="1" t="s">
        <v>12</v>
      </c>
      <c r="D152" s="1">
        <v>4644646.0</v>
      </c>
    </row>
    <row r="153">
      <c r="A153" s="1" t="s">
        <v>543</v>
      </c>
      <c r="B153" s="1" t="s">
        <v>544</v>
      </c>
      <c r="C153" s="1" t="s">
        <v>12</v>
      </c>
      <c r="D153" s="1">
        <v>2904126.0</v>
      </c>
    </row>
    <row r="154">
      <c r="A154" s="1" t="s">
        <v>545</v>
      </c>
      <c r="B154" s="1" t="s">
        <v>546</v>
      </c>
      <c r="C154" s="1" t="s">
        <v>12</v>
      </c>
      <c r="D154" s="1">
        <v>4699343.0</v>
      </c>
    </row>
    <row r="155">
      <c r="A155" s="1" t="s">
        <v>551</v>
      </c>
      <c r="B155" s="1" t="s">
        <v>552</v>
      </c>
      <c r="C155" s="1" t="s">
        <v>12</v>
      </c>
      <c r="D155" s="1">
        <v>41188.0</v>
      </c>
    </row>
    <row r="156">
      <c r="A156" s="1" t="s">
        <v>554</v>
      </c>
      <c r="B156" s="1" t="s">
        <v>555</v>
      </c>
      <c r="C156" s="1" t="s">
        <v>12</v>
      </c>
      <c r="D156" s="1">
        <v>2807554.0</v>
      </c>
    </row>
    <row r="157">
      <c r="A157" s="1" t="s">
        <v>559</v>
      </c>
      <c r="B157" s="1" t="s">
        <v>561</v>
      </c>
      <c r="C157" s="1" t="s">
        <v>12</v>
      </c>
      <c r="D157" s="1">
        <v>6622994.0</v>
      </c>
    </row>
    <row r="158">
      <c r="A158" s="1" t="s">
        <v>562</v>
      </c>
      <c r="B158" s="1" t="s">
        <v>563</v>
      </c>
      <c r="C158" s="1" t="s">
        <v>12</v>
      </c>
      <c r="D158" s="1">
        <v>1169715.0</v>
      </c>
    </row>
    <row r="159">
      <c r="A159" s="1" t="s">
        <v>568</v>
      </c>
      <c r="B159" s="1" t="s">
        <v>570</v>
      </c>
      <c r="C159" s="1" t="s">
        <v>12</v>
      </c>
      <c r="D159" s="1">
        <v>905148.0</v>
      </c>
    </row>
    <row r="160">
      <c r="A160" s="1" t="s">
        <v>571</v>
      </c>
      <c r="B160" s="1" t="s">
        <v>573</v>
      </c>
      <c r="C160" s="1" t="s">
        <v>12</v>
      </c>
      <c r="D160" s="1">
        <v>4890656.0</v>
      </c>
    </row>
    <row r="161">
      <c r="A161" s="1" t="s">
        <v>577</v>
      </c>
      <c r="B161" s="1" t="s">
        <v>579</v>
      </c>
      <c r="C161" s="1" t="s">
        <v>12</v>
      </c>
      <c r="D161" s="1">
        <v>6097668.0</v>
      </c>
    </row>
    <row r="162">
      <c r="A162" s="1" t="s">
        <v>582</v>
      </c>
      <c r="B162" s="1" t="s">
        <v>583</v>
      </c>
      <c r="C162" s="1" t="s">
        <v>12</v>
      </c>
      <c r="D162" s="1">
        <v>7121101.0</v>
      </c>
    </row>
    <row r="163">
      <c r="A163" s="1" t="s">
        <v>584</v>
      </c>
      <c r="B163" s="1" t="s">
        <v>585</v>
      </c>
      <c r="C163" s="1" t="s">
        <v>12</v>
      </c>
      <c r="D163" s="1">
        <v>945504.0</v>
      </c>
    </row>
    <row r="164">
      <c r="A164" s="1" t="s">
        <v>588</v>
      </c>
      <c r="B164" s="1" t="s">
        <v>589</v>
      </c>
      <c r="C164" s="1" t="s">
        <v>12</v>
      </c>
      <c r="D164" s="1">
        <v>857843.0</v>
      </c>
    </row>
    <row r="165">
      <c r="A165" s="1" t="s">
        <v>53</v>
      </c>
      <c r="B165" s="1" t="s">
        <v>590</v>
      </c>
      <c r="C165" s="1" t="s">
        <v>12</v>
      </c>
      <c r="D165" s="1">
        <v>1313577.0</v>
      </c>
    </row>
    <row r="166">
      <c r="A166" s="1" t="s">
        <v>594</v>
      </c>
      <c r="B166" s="1" t="s">
        <v>595</v>
      </c>
      <c r="C166" s="1" t="s">
        <v>12</v>
      </c>
      <c r="D166" s="1">
        <v>1199641.0</v>
      </c>
    </row>
    <row r="167">
      <c r="A167" s="1" t="s">
        <v>596</v>
      </c>
      <c r="B167" s="1" t="s">
        <v>597</v>
      </c>
      <c r="C167" s="1" t="s">
        <v>12</v>
      </c>
      <c r="D167" s="1">
        <v>4634694.0</v>
      </c>
    </row>
    <row r="168">
      <c r="A168" s="1" t="s">
        <v>598</v>
      </c>
      <c r="B168" s="1" t="s">
        <v>600</v>
      </c>
      <c r="C168" s="1" t="s">
        <v>12</v>
      </c>
      <c r="D168" s="1">
        <v>4820179.0</v>
      </c>
    </row>
    <row r="169">
      <c r="A169" s="1" t="s">
        <v>604</v>
      </c>
      <c r="B169" s="1" t="s">
        <v>605</v>
      </c>
      <c r="C169" s="1" t="s">
        <v>12</v>
      </c>
      <c r="D169" s="1">
        <v>1151446.0</v>
      </c>
    </row>
    <row r="170">
      <c r="A170" s="1" t="s">
        <v>609</v>
      </c>
      <c r="B170" s="1" t="s">
        <v>610</v>
      </c>
      <c r="C170" s="1" t="s">
        <v>12</v>
      </c>
      <c r="D170" s="1">
        <v>5725959.0</v>
      </c>
    </row>
    <row r="171">
      <c r="A171" s="1" t="s">
        <v>613</v>
      </c>
      <c r="B171" s="1" t="s">
        <v>614</v>
      </c>
      <c r="C171" s="1" t="s">
        <v>12</v>
      </c>
      <c r="D171" s="1">
        <v>1752913.0</v>
      </c>
    </row>
    <row r="172">
      <c r="A172" s="1" t="s">
        <v>613</v>
      </c>
      <c r="B172" s="1" t="s">
        <v>616</v>
      </c>
      <c r="C172" s="1" t="s">
        <v>12</v>
      </c>
      <c r="D172" s="1">
        <v>1836413.0</v>
      </c>
    </row>
    <row r="173">
      <c r="A173" s="1" t="s">
        <v>613</v>
      </c>
      <c r="B173" s="1" t="s">
        <v>619</v>
      </c>
      <c r="C173" s="1" t="s">
        <v>12</v>
      </c>
      <c r="D173" s="1">
        <v>823608.0</v>
      </c>
    </row>
    <row r="174">
      <c r="A174" s="1" t="s">
        <v>624</v>
      </c>
      <c r="B174" s="1" t="s">
        <v>625</v>
      </c>
      <c r="C174" s="1" t="s">
        <v>12</v>
      </c>
      <c r="D174" s="1">
        <v>6509953.0</v>
      </c>
    </row>
    <row r="175">
      <c r="A175" s="1" t="s">
        <v>627</v>
      </c>
      <c r="B175" s="1" t="s">
        <v>628</v>
      </c>
      <c r="C175" s="1" t="s">
        <v>12</v>
      </c>
      <c r="D175" s="1">
        <v>1576234.0</v>
      </c>
    </row>
    <row r="176">
      <c r="A176" s="1" t="s">
        <v>630</v>
      </c>
      <c r="B176" s="1" t="s">
        <v>631</v>
      </c>
      <c r="C176" s="1" t="s">
        <v>12</v>
      </c>
      <c r="D176" s="1">
        <v>1130795.0</v>
      </c>
    </row>
    <row r="177">
      <c r="A177" s="1" t="s">
        <v>632</v>
      </c>
      <c r="B177" s="1" t="s">
        <v>635</v>
      </c>
      <c r="C177" s="1" t="s">
        <v>12</v>
      </c>
      <c r="D177" s="1">
        <v>996711.0</v>
      </c>
    </row>
    <row r="178">
      <c r="A178" s="1" t="s">
        <v>639</v>
      </c>
      <c r="B178" s="1" t="s">
        <v>641</v>
      </c>
      <c r="C178" s="1" t="s">
        <v>12</v>
      </c>
      <c r="D178" s="1">
        <v>1242881.0</v>
      </c>
    </row>
    <row r="179">
      <c r="A179" s="1" t="s">
        <v>642</v>
      </c>
      <c r="B179" s="1" t="s">
        <v>644</v>
      </c>
      <c r="C179" s="1" t="s">
        <v>12</v>
      </c>
      <c r="D179" s="1">
        <v>6956205.0</v>
      </c>
    </row>
    <row r="180">
      <c r="A180" s="1" t="s">
        <v>646</v>
      </c>
      <c r="B180" s="1" t="s">
        <v>647</v>
      </c>
      <c r="C180" s="1" t="s">
        <v>12</v>
      </c>
      <c r="D180" s="1">
        <v>1056086.0</v>
      </c>
    </row>
    <row r="181">
      <c r="A181" s="1" t="s">
        <v>648</v>
      </c>
      <c r="B181" s="1" t="s">
        <v>649</v>
      </c>
      <c r="C181" s="1" t="s">
        <v>12</v>
      </c>
      <c r="D181" s="1">
        <v>1194923.0</v>
      </c>
    </row>
    <row r="182">
      <c r="A182" s="1" t="s">
        <v>653</v>
      </c>
      <c r="B182" s="1" t="s">
        <v>656</v>
      </c>
      <c r="C182" s="1" t="s">
        <v>12</v>
      </c>
      <c r="D182" s="1">
        <v>5331882.0</v>
      </c>
    </row>
    <row r="183">
      <c r="A183" s="1" t="s">
        <v>657</v>
      </c>
      <c r="B183" s="1" t="s">
        <v>658</v>
      </c>
      <c r="C183" s="1" t="s">
        <v>12</v>
      </c>
      <c r="D183" s="1">
        <v>452690.0</v>
      </c>
    </row>
    <row r="184">
      <c r="A184" s="1" t="s">
        <v>660</v>
      </c>
      <c r="B184" s="1" t="s">
        <v>661</v>
      </c>
      <c r="C184" s="1" t="s">
        <v>12</v>
      </c>
      <c r="D184" s="1">
        <v>6576056.0</v>
      </c>
    </row>
    <row r="185">
      <c r="A185" s="1" t="s">
        <v>663</v>
      </c>
      <c r="B185" s="1" t="s">
        <v>665</v>
      </c>
      <c r="C185" s="1" t="s">
        <v>12</v>
      </c>
      <c r="D185" s="1">
        <v>467444.0</v>
      </c>
    </row>
    <row r="186">
      <c r="A186" s="1" t="s">
        <v>668</v>
      </c>
      <c r="B186" s="1" t="s">
        <v>669</v>
      </c>
      <c r="C186" s="1" t="s">
        <v>12</v>
      </c>
      <c r="D186" s="1">
        <v>1250396.0</v>
      </c>
    </row>
    <row r="187">
      <c r="A187" s="1" t="s">
        <v>673</v>
      </c>
      <c r="B187" s="1" t="s">
        <v>674</v>
      </c>
      <c r="C187" s="1" t="s">
        <v>12</v>
      </c>
      <c r="D187" s="1">
        <v>1329305.0</v>
      </c>
    </row>
    <row r="188">
      <c r="A188" s="1" t="s">
        <v>675</v>
      </c>
      <c r="B188" s="1" t="s">
        <v>676</v>
      </c>
      <c r="C188" s="1" t="s">
        <v>12</v>
      </c>
      <c r="D188" s="1">
        <v>1698322.0</v>
      </c>
    </row>
    <row r="189">
      <c r="A189" s="1" t="s">
        <v>678</v>
      </c>
      <c r="B189" s="1" t="s">
        <v>680</v>
      </c>
      <c r="C189" s="1" t="s">
        <v>12</v>
      </c>
      <c r="D189" s="1">
        <v>5763633.0</v>
      </c>
    </row>
    <row r="190">
      <c r="A190" s="1" t="s">
        <v>682</v>
      </c>
      <c r="B190" s="1" t="s">
        <v>684</v>
      </c>
      <c r="C190" s="1" t="s">
        <v>12</v>
      </c>
      <c r="D190" s="1">
        <v>578280.0</v>
      </c>
    </row>
    <row r="191">
      <c r="A191" s="1" t="s">
        <v>687</v>
      </c>
      <c r="B191" s="1" t="s">
        <v>689</v>
      </c>
      <c r="C191" s="1" t="s">
        <v>12</v>
      </c>
      <c r="D191" s="1">
        <v>1259741.0</v>
      </c>
    </row>
    <row r="192">
      <c r="A192" s="1" t="s">
        <v>690</v>
      </c>
      <c r="B192" s="1" t="s">
        <v>691</v>
      </c>
      <c r="C192" s="1" t="s">
        <v>12</v>
      </c>
      <c r="D192" s="1">
        <v>1582811.0</v>
      </c>
    </row>
    <row r="193">
      <c r="A193" s="1" t="s">
        <v>693</v>
      </c>
      <c r="B193" s="1" t="s">
        <v>695</v>
      </c>
      <c r="C193" s="1" t="s">
        <v>12</v>
      </c>
      <c r="D193" s="1">
        <v>3341396.0</v>
      </c>
    </row>
    <row r="194">
      <c r="A194" s="1" t="s">
        <v>697</v>
      </c>
      <c r="B194" s="1" t="s">
        <v>698</v>
      </c>
      <c r="C194" s="1" t="s">
        <v>12</v>
      </c>
      <c r="D194" s="1">
        <v>824928.0</v>
      </c>
    </row>
    <row r="195">
      <c r="A195" s="1" t="s">
        <v>702</v>
      </c>
      <c r="B195" s="1" t="s">
        <v>703</v>
      </c>
      <c r="C195" s="1" t="s">
        <v>12</v>
      </c>
      <c r="D195" s="1">
        <v>1929397.0</v>
      </c>
    </row>
    <row r="196">
      <c r="A196" s="1" t="s">
        <v>705</v>
      </c>
      <c r="B196" s="1" t="s">
        <v>706</v>
      </c>
      <c r="C196" s="1" t="s">
        <v>12</v>
      </c>
      <c r="D196" s="1">
        <v>1958166.0</v>
      </c>
    </row>
    <row r="197">
      <c r="A197" s="1" t="s">
        <v>710</v>
      </c>
      <c r="B197" s="1" t="s">
        <v>712</v>
      </c>
      <c r="C197" s="1" t="s">
        <v>12</v>
      </c>
      <c r="D197" s="1">
        <v>8326224.0</v>
      </c>
    </row>
    <row r="198">
      <c r="A198" s="1" t="s">
        <v>714</v>
      </c>
      <c r="B198" s="1" t="s">
        <v>715</v>
      </c>
      <c r="C198" s="1" t="s">
        <v>12</v>
      </c>
      <c r="D198" s="1">
        <v>1633695.0</v>
      </c>
    </row>
    <row r="199">
      <c r="A199" s="1" t="s">
        <v>717</v>
      </c>
      <c r="B199" s="1" t="s">
        <v>719</v>
      </c>
      <c r="C199" s="1" t="s">
        <v>12</v>
      </c>
      <c r="D199" s="1">
        <v>4921031.0</v>
      </c>
    </row>
    <row r="200">
      <c r="A200" s="1" t="s">
        <v>721</v>
      </c>
      <c r="B200" s="1" t="s">
        <v>723</v>
      </c>
      <c r="C200" s="1" t="s">
        <v>12</v>
      </c>
      <c r="D200" s="1">
        <v>1024549.0</v>
      </c>
    </row>
    <row r="201">
      <c r="A201" s="1" t="s">
        <v>726</v>
      </c>
      <c r="B201" s="1" t="s">
        <v>728</v>
      </c>
      <c r="C201" s="1" t="s">
        <v>12</v>
      </c>
      <c r="D201" s="1">
        <v>3023037.0</v>
      </c>
    </row>
    <row r="202">
      <c r="A202" s="1" t="s">
        <v>729</v>
      </c>
      <c r="B202" s="1" t="s">
        <v>730</v>
      </c>
      <c r="C202" s="1" t="s">
        <v>12</v>
      </c>
      <c r="D202" s="1">
        <v>2225919.0</v>
      </c>
    </row>
    <row r="203">
      <c r="A203" s="1" t="s">
        <v>732</v>
      </c>
      <c r="B203" s="1" t="s">
        <v>733</v>
      </c>
      <c r="C203" s="1" t="s">
        <v>12</v>
      </c>
      <c r="D203" s="1">
        <v>957313.0</v>
      </c>
    </row>
    <row r="204">
      <c r="A204" s="1" t="s">
        <v>737</v>
      </c>
      <c r="B204" s="1" t="s">
        <v>738</v>
      </c>
      <c r="C204" s="1" t="s">
        <v>12</v>
      </c>
      <c r="D204" s="1">
        <v>1058696.0</v>
      </c>
    </row>
    <row r="205">
      <c r="A205" s="1" t="s">
        <v>739</v>
      </c>
      <c r="B205" s="1" t="s">
        <v>741</v>
      </c>
      <c r="C205" s="1" t="s">
        <v>12</v>
      </c>
      <c r="D205" s="1">
        <v>1155507.0</v>
      </c>
    </row>
    <row r="206">
      <c r="A206" s="1" t="s">
        <v>745</v>
      </c>
      <c r="B206" s="1" t="s">
        <v>746</v>
      </c>
      <c r="C206" s="1" t="s">
        <v>12</v>
      </c>
      <c r="D206" s="1">
        <v>1111072.0</v>
      </c>
    </row>
    <row r="207">
      <c r="A207" s="1" t="s">
        <v>747</v>
      </c>
      <c r="B207" s="1" t="s">
        <v>749</v>
      </c>
      <c r="C207" s="1" t="s">
        <v>12</v>
      </c>
      <c r="D207" s="1">
        <v>1028650.0</v>
      </c>
    </row>
    <row r="208">
      <c r="A208" s="1" t="s">
        <v>750</v>
      </c>
      <c r="B208" s="1" t="s">
        <v>752</v>
      </c>
      <c r="C208" s="1" t="s">
        <v>12</v>
      </c>
      <c r="D208" s="1">
        <v>1541024.0</v>
      </c>
    </row>
    <row r="209">
      <c r="A209" s="1" t="s">
        <v>755</v>
      </c>
      <c r="B209" s="1" t="s">
        <v>757</v>
      </c>
      <c r="C209" s="1" t="s">
        <v>12</v>
      </c>
      <c r="D209" s="1">
        <v>1449385.0</v>
      </c>
    </row>
    <row r="210">
      <c r="A210" s="1" t="s">
        <v>759</v>
      </c>
      <c r="B210" s="1" t="s">
        <v>760</v>
      </c>
      <c r="C210" s="1" t="s">
        <v>12</v>
      </c>
      <c r="D210" s="1">
        <v>287002.0</v>
      </c>
    </row>
    <row r="211">
      <c r="A211" s="1" t="s">
        <v>529</v>
      </c>
      <c r="B211" s="1" t="s">
        <v>763</v>
      </c>
      <c r="C211" s="1" t="s">
        <v>12</v>
      </c>
      <c r="D211" s="1">
        <v>73069.0</v>
      </c>
    </row>
    <row r="212">
      <c r="A212" s="1" t="s">
        <v>529</v>
      </c>
      <c r="B212" s="1" t="s">
        <v>764</v>
      </c>
      <c r="C212" s="1" t="s">
        <v>12</v>
      </c>
      <c r="D212" s="1">
        <v>46575.0</v>
      </c>
    </row>
    <row r="213">
      <c r="A213" s="1" t="s">
        <v>529</v>
      </c>
      <c r="B213" s="1" t="s">
        <v>769</v>
      </c>
      <c r="C213" s="1" t="s">
        <v>12</v>
      </c>
      <c r="D213" s="1">
        <v>44523.0</v>
      </c>
    </row>
    <row r="214">
      <c r="A214" s="1" t="s">
        <v>539</v>
      </c>
      <c r="B214" s="1" t="s">
        <v>774</v>
      </c>
      <c r="C214" s="1" t="s">
        <v>56</v>
      </c>
      <c r="D214" s="1">
        <v>3.7370061E7</v>
      </c>
    </row>
    <row r="215">
      <c r="A215" s="1" t="s">
        <v>539</v>
      </c>
      <c r="B215" s="1" t="s">
        <v>775</v>
      </c>
      <c r="C215" s="1" t="s">
        <v>12</v>
      </c>
      <c r="D215" s="1">
        <v>70158.0</v>
      </c>
    </row>
    <row r="216">
      <c r="A216" s="1" t="s">
        <v>539</v>
      </c>
      <c r="B216" s="1" t="s">
        <v>779</v>
      </c>
      <c r="C216" s="1" t="s">
        <v>12</v>
      </c>
      <c r="D216" s="1">
        <v>43088.0</v>
      </c>
    </row>
    <row r="217">
      <c r="A217" s="1" t="s">
        <v>543</v>
      </c>
      <c r="B217" s="1" t="s">
        <v>780</v>
      </c>
      <c r="C217" s="1" t="s">
        <v>56</v>
      </c>
      <c r="D217" s="1">
        <v>3.7931569E7</v>
      </c>
    </row>
    <row r="218">
      <c r="A218" s="1" t="s">
        <v>543</v>
      </c>
      <c r="B218" s="1" t="s">
        <v>785</v>
      </c>
      <c r="C218" s="1" t="s">
        <v>12</v>
      </c>
      <c r="D218" s="1">
        <v>74994.0</v>
      </c>
    </row>
    <row r="219">
      <c r="A219" s="1" t="s">
        <v>543</v>
      </c>
      <c r="B219" s="1" t="s">
        <v>787</v>
      </c>
      <c r="C219" s="1" t="s">
        <v>12</v>
      </c>
      <c r="D219" s="1">
        <v>3.5696918E7</v>
      </c>
    </row>
    <row r="220">
      <c r="A220" s="1" t="s">
        <v>543</v>
      </c>
      <c r="B220" s="1" t="s">
        <v>791</v>
      </c>
      <c r="C220" s="1" t="s">
        <v>12</v>
      </c>
      <c r="D220" s="1">
        <v>3.4988912E7</v>
      </c>
    </row>
    <row r="221">
      <c r="A221" s="1" t="s">
        <v>545</v>
      </c>
      <c r="B221" s="1" t="s">
        <v>793</v>
      </c>
      <c r="C221" s="1" t="s">
        <v>56</v>
      </c>
      <c r="D221" s="1">
        <v>1.7597739E7</v>
      </c>
    </row>
    <row r="222">
      <c r="A222" s="1" t="s">
        <v>559</v>
      </c>
      <c r="B222" s="1" t="s">
        <v>795</v>
      </c>
      <c r="C222" s="1" t="s">
        <v>56</v>
      </c>
      <c r="D222" s="1">
        <v>3.1754847E7</v>
      </c>
    </row>
    <row r="223">
      <c r="A223" s="1" t="s">
        <v>559</v>
      </c>
      <c r="B223" s="1" t="s">
        <v>800</v>
      </c>
      <c r="C223" s="1" t="s">
        <v>12</v>
      </c>
      <c r="D223" s="1">
        <v>9.4804769E7</v>
      </c>
    </row>
    <row r="224">
      <c r="A224" s="1" t="s">
        <v>559</v>
      </c>
      <c r="B224" s="1" t="s">
        <v>802</v>
      </c>
      <c r="C224" s="1" t="s">
        <v>12</v>
      </c>
      <c r="D224" s="1">
        <v>8.5067119E7</v>
      </c>
    </row>
    <row r="225">
      <c r="A225" s="1" t="s">
        <v>562</v>
      </c>
      <c r="B225" s="1" t="s">
        <v>806</v>
      </c>
      <c r="C225" s="1" t="s">
        <v>12</v>
      </c>
      <c r="D225" s="1">
        <v>1934081.0</v>
      </c>
    </row>
    <row r="226">
      <c r="A226" s="1" t="s">
        <v>577</v>
      </c>
      <c r="B226" s="1" t="s">
        <v>808</v>
      </c>
      <c r="C226" s="1" t="s">
        <v>12</v>
      </c>
      <c r="D226" s="1">
        <v>7885900.0</v>
      </c>
    </row>
    <row r="227">
      <c r="A227" s="1" t="s">
        <v>53</v>
      </c>
      <c r="B227" s="1" t="s">
        <v>811</v>
      </c>
      <c r="C227" s="1" t="s">
        <v>12</v>
      </c>
      <c r="D227" s="1">
        <v>7541928.0</v>
      </c>
    </row>
    <row r="228">
      <c r="A228" s="1" t="s">
        <v>53</v>
      </c>
      <c r="B228" s="1" t="s">
        <v>813</v>
      </c>
      <c r="C228" s="1" t="s">
        <v>56</v>
      </c>
      <c r="D228" s="1">
        <v>2.9755299E7</v>
      </c>
    </row>
    <row r="229">
      <c r="A229" s="1" t="s">
        <v>609</v>
      </c>
      <c r="B229" s="1" t="s">
        <v>815</v>
      </c>
      <c r="C229" s="1" t="s">
        <v>56</v>
      </c>
      <c r="D229" s="1">
        <v>3.8692643E7</v>
      </c>
    </row>
    <row r="230">
      <c r="A230" s="1" t="s">
        <v>630</v>
      </c>
      <c r="B230" s="1" t="s">
        <v>816</v>
      </c>
      <c r="C230" s="1" t="s">
        <v>56</v>
      </c>
      <c r="D230" s="1">
        <v>2.2833782E7</v>
      </c>
    </row>
    <row r="231">
      <c r="A231" s="1" t="s">
        <v>632</v>
      </c>
      <c r="B231" s="1" t="s">
        <v>820</v>
      </c>
      <c r="C231" s="1" t="s">
        <v>56</v>
      </c>
      <c r="D231" s="1">
        <v>3.1322034E7</v>
      </c>
    </row>
    <row r="232">
      <c r="A232" s="1" t="s">
        <v>646</v>
      </c>
      <c r="B232" s="1" t="s">
        <v>822</v>
      </c>
      <c r="C232" s="1" t="s">
        <v>12</v>
      </c>
      <c r="D232" s="1">
        <v>3437297.0</v>
      </c>
    </row>
    <row r="233">
      <c r="A233" s="1" t="s">
        <v>653</v>
      </c>
      <c r="B233" s="1" t="s">
        <v>823</v>
      </c>
      <c r="C233" s="1" t="s">
        <v>12</v>
      </c>
      <c r="D233" s="1">
        <v>2838335.0</v>
      </c>
    </row>
    <row r="234">
      <c r="A234" s="1" t="s">
        <v>660</v>
      </c>
      <c r="B234" s="1" t="s">
        <v>827</v>
      </c>
      <c r="C234" s="1" t="s">
        <v>56</v>
      </c>
      <c r="D234" s="1">
        <v>3.6764329E7</v>
      </c>
    </row>
    <row r="235">
      <c r="A235" s="1" t="s">
        <v>673</v>
      </c>
      <c r="B235" s="1" t="s">
        <v>830</v>
      </c>
      <c r="C235" s="1" t="s">
        <v>12</v>
      </c>
      <c r="D235" s="1">
        <v>2529870.0</v>
      </c>
    </row>
    <row r="236">
      <c r="A236" s="1" t="s">
        <v>729</v>
      </c>
      <c r="B236" s="1" t="s">
        <v>831</v>
      </c>
      <c r="C236" s="1" t="s">
        <v>56</v>
      </c>
      <c r="D236" s="1">
        <v>3.5230034E7</v>
      </c>
    </row>
    <row r="237">
      <c r="A237" s="1" t="s">
        <v>747</v>
      </c>
      <c r="B237" s="1" t="s">
        <v>833</v>
      </c>
      <c r="C237" s="1" t="s">
        <v>12</v>
      </c>
      <c r="D237" s="1">
        <v>3821962.0</v>
      </c>
    </row>
    <row r="238">
      <c r="A238" s="1" t="s">
        <v>750</v>
      </c>
      <c r="B238" s="1" t="s">
        <v>836</v>
      </c>
      <c r="C238" s="1" t="s">
        <v>12</v>
      </c>
      <c r="D238" s="1">
        <v>5997252.0</v>
      </c>
    </row>
    <row r="239">
      <c r="A239" s="1" t="s">
        <v>529</v>
      </c>
      <c r="B239" s="1" t="s">
        <v>839</v>
      </c>
      <c r="C239" s="1" t="s">
        <v>12</v>
      </c>
      <c r="D239" s="1">
        <v>1.5611917E7</v>
      </c>
    </row>
    <row r="240">
      <c r="A240" s="1" t="s">
        <v>529</v>
      </c>
      <c r="B240" s="1" t="s">
        <v>843</v>
      </c>
      <c r="C240" s="1" t="s">
        <v>12</v>
      </c>
      <c r="D240" s="1">
        <v>1.6302219E7</v>
      </c>
    </row>
    <row r="241">
      <c r="A241" s="1" t="s">
        <v>545</v>
      </c>
      <c r="B241" s="1" t="s">
        <v>846</v>
      </c>
      <c r="C241" s="1" t="s">
        <v>12</v>
      </c>
      <c r="D241" s="1">
        <v>1.6296115E7</v>
      </c>
    </row>
    <row r="242">
      <c r="A242" s="1" t="s">
        <v>545</v>
      </c>
      <c r="B242" s="1" t="s">
        <v>847</v>
      </c>
      <c r="C242" s="1" t="s">
        <v>12</v>
      </c>
      <c r="D242" s="1">
        <v>1.9870746E7</v>
      </c>
    </row>
    <row r="243">
      <c r="A243" s="1" t="s">
        <v>562</v>
      </c>
      <c r="B243" s="1" t="s">
        <v>851</v>
      </c>
      <c r="C243" s="1" t="s">
        <v>12</v>
      </c>
      <c r="D243" s="1">
        <v>4.117468E7</v>
      </c>
    </row>
    <row r="244">
      <c r="A244" s="1" t="s">
        <v>562</v>
      </c>
      <c r="B244" s="1" t="s">
        <v>853</v>
      </c>
      <c r="C244" s="1" t="s">
        <v>12</v>
      </c>
      <c r="D244" s="1">
        <v>3.9899581E7</v>
      </c>
    </row>
    <row r="245">
      <c r="A245" s="1" t="s">
        <v>588</v>
      </c>
      <c r="B245" s="1" t="s">
        <v>854</v>
      </c>
      <c r="C245" s="1" t="s">
        <v>12</v>
      </c>
      <c r="D245" s="1">
        <v>4.704304E7</v>
      </c>
    </row>
    <row r="246">
      <c r="A246" s="1" t="s">
        <v>588</v>
      </c>
      <c r="B246" s="1" t="s">
        <v>858</v>
      </c>
      <c r="C246" s="1" t="s">
        <v>12</v>
      </c>
      <c r="D246" s="1">
        <v>5.2141772E7</v>
      </c>
    </row>
    <row r="247">
      <c r="A247" s="1" t="s">
        <v>53</v>
      </c>
      <c r="B247" s="1" t="s">
        <v>861</v>
      </c>
      <c r="C247" s="1" t="s">
        <v>455</v>
      </c>
      <c r="D247" s="1">
        <v>3.4075E7</v>
      </c>
    </row>
    <row r="248">
      <c r="A248" s="1" t="s">
        <v>53</v>
      </c>
      <c r="B248" s="1" t="s">
        <v>863</v>
      </c>
      <c r="C248" s="1" t="s">
        <v>455</v>
      </c>
      <c r="D248" s="1">
        <v>1.6715906E7</v>
      </c>
    </row>
    <row r="249">
      <c r="A249" s="1" t="s">
        <v>604</v>
      </c>
      <c r="B249" s="1" t="s">
        <v>866</v>
      </c>
      <c r="C249" s="1" t="s">
        <v>12</v>
      </c>
      <c r="D249" s="1">
        <v>3.8176312E7</v>
      </c>
    </row>
    <row r="250">
      <c r="A250" s="1" t="s">
        <v>604</v>
      </c>
      <c r="B250" s="1" t="s">
        <v>867</v>
      </c>
      <c r="C250" s="1" t="s">
        <v>12</v>
      </c>
      <c r="D250" s="1">
        <v>2.6378942E7</v>
      </c>
    </row>
    <row r="251">
      <c r="A251" s="1" t="s">
        <v>604</v>
      </c>
      <c r="B251" s="1" t="s">
        <v>871</v>
      </c>
      <c r="C251" s="1" t="s">
        <v>12</v>
      </c>
      <c r="D251" s="1">
        <v>3.2075882E7</v>
      </c>
    </row>
    <row r="252">
      <c r="A252" s="1" t="s">
        <v>604</v>
      </c>
      <c r="B252" s="1" t="s">
        <v>874</v>
      </c>
      <c r="C252" s="1" t="s">
        <v>12</v>
      </c>
      <c r="D252" s="1">
        <v>3.8784528E7</v>
      </c>
    </row>
    <row r="253">
      <c r="A253" s="1" t="s">
        <v>604</v>
      </c>
      <c r="B253" s="1" t="s">
        <v>876</v>
      </c>
      <c r="C253" s="1" t="s">
        <v>12</v>
      </c>
      <c r="D253" s="1">
        <v>2.393058E7</v>
      </c>
    </row>
    <row r="254">
      <c r="A254" s="1" t="s">
        <v>604</v>
      </c>
      <c r="B254" s="1" t="s">
        <v>879</v>
      </c>
      <c r="C254" s="1" t="s">
        <v>12</v>
      </c>
      <c r="D254" s="1">
        <v>3.3292191E7</v>
      </c>
    </row>
    <row r="255">
      <c r="A255" s="1" t="s">
        <v>673</v>
      </c>
      <c r="B255" s="1" t="s">
        <v>883</v>
      </c>
      <c r="C255" s="1" t="s">
        <v>12</v>
      </c>
      <c r="D255" s="1">
        <v>7059398.0</v>
      </c>
    </row>
    <row r="256">
      <c r="A256" s="1" t="s">
        <v>673</v>
      </c>
      <c r="B256" s="1" t="s">
        <v>887</v>
      </c>
      <c r="C256" s="1" t="s">
        <v>12</v>
      </c>
      <c r="D256" s="1">
        <v>8.1893434E7</v>
      </c>
    </row>
    <row r="257">
      <c r="A257" s="1" t="s">
        <v>673</v>
      </c>
      <c r="B257" s="1" t="s">
        <v>889</v>
      </c>
      <c r="C257" s="1" t="s">
        <v>12</v>
      </c>
      <c r="D257" s="1">
        <v>6.7629039E7</v>
      </c>
    </row>
    <row r="258">
      <c r="A258" s="1" t="s">
        <v>755</v>
      </c>
      <c r="B258" s="1" t="s">
        <v>893</v>
      </c>
      <c r="C258" s="1" t="s">
        <v>12</v>
      </c>
      <c r="D258" s="1">
        <v>2.965472E7</v>
      </c>
    </row>
    <row r="259">
      <c r="A259" s="1" t="s">
        <v>755</v>
      </c>
      <c r="B259" s="1" t="s">
        <v>896</v>
      </c>
      <c r="C259" s="1" t="s">
        <v>12</v>
      </c>
      <c r="D259" s="1">
        <v>3.0878308E7</v>
      </c>
    </row>
    <row r="260">
      <c r="A260" s="1" t="s">
        <v>897</v>
      </c>
      <c r="B260" s="1" t="s">
        <v>899</v>
      </c>
      <c r="C260" s="1" t="s">
        <v>455</v>
      </c>
      <c r="D260" s="1">
        <v>1.9876136E7</v>
      </c>
    </row>
    <row r="261">
      <c r="A261" s="1" t="s">
        <v>897</v>
      </c>
      <c r="B261" s="1" t="s">
        <v>902</v>
      </c>
      <c r="C261" s="1" t="s">
        <v>455</v>
      </c>
      <c r="D261" s="1">
        <v>1.185287E7</v>
      </c>
    </row>
    <row r="262">
      <c r="A262" s="1" t="s">
        <v>906</v>
      </c>
      <c r="B262" s="1" t="s">
        <v>907</v>
      </c>
      <c r="C262" s="1" t="s">
        <v>455</v>
      </c>
      <c r="D262" s="1">
        <v>1.3403308E7</v>
      </c>
    </row>
    <row r="263">
      <c r="A263" s="1" t="s">
        <v>909</v>
      </c>
      <c r="B263" s="1" t="s">
        <v>910</v>
      </c>
      <c r="C263" s="1" t="s">
        <v>455</v>
      </c>
      <c r="D263" s="1">
        <v>1.0411446E7</v>
      </c>
    </row>
    <row r="264">
      <c r="A264" s="1" t="s">
        <v>913</v>
      </c>
      <c r="B264" s="1" t="s">
        <v>914</v>
      </c>
      <c r="C264" s="1" t="s">
        <v>455</v>
      </c>
      <c r="D264" s="1">
        <v>9751245.0</v>
      </c>
    </row>
    <row r="265">
      <c r="A265" s="1" t="s">
        <v>916</v>
      </c>
      <c r="B265" s="1" t="s">
        <v>917</v>
      </c>
      <c r="C265" s="1" t="s">
        <v>455</v>
      </c>
      <c r="D265" s="1">
        <v>2.120085E7</v>
      </c>
    </row>
    <row r="266">
      <c r="A266" s="1" t="s">
        <v>921</v>
      </c>
      <c r="B266" s="1" t="s">
        <v>922</v>
      </c>
      <c r="C266" s="1" t="s">
        <v>455</v>
      </c>
      <c r="D266" s="1">
        <v>1.2705585E7</v>
      </c>
    </row>
    <row r="267">
      <c r="A267" s="1" t="s">
        <v>921</v>
      </c>
      <c r="B267" s="1" t="s">
        <v>924</v>
      </c>
      <c r="C267" s="1" t="s">
        <v>455</v>
      </c>
      <c r="D267" s="1">
        <v>1.206788E7</v>
      </c>
    </row>
    <row r="268">
      <c r="A268" s="1" t="s">
        <v>927</v>
      </c>
      <c r="B268" s="1" t="s">
        <v>928</v>
      </c>
      <c r="C268" s="1" t="s">
        <v>455</v>
      </c>
      <c r="D268" s="1">
        <v>2812387.0</v>
      </c>
    </row>
    <row r="269">
      <c r="A269" s="1" t="s">
        <v>927</v>
      </c>
      <c r="B269" s="1" t="s">
        <v>931</v>
      </c>
      <c r="C269" s="1" t="s">
        <v>455</v>
      </c>
      <c r="D269" s="1">
        <v>1.2548351E7</v>
      </c>
    </row>
    <row r="270">
      <c r="A270" s="1" t="s">
        <v>935</v>
      </c>
      <c r="B270" s="1" t="s">
        <v>936</v>
      </c>
      <c r="C270" s="1" t="s">
        <v>455</v>
      </c>
      <c r="D270" s="1">
        <v>5264970.0</v>
      </c>
    </row>
    <row r="271">
      <c r="A271" s="1" t="s">
        <v>935</v>
      </c>
      <c r="B271" s="1" t="s">
        <v>939</v>
      </c>
      <c r="C271" s="1" t="s">
        <v>455</v>
      </c>
      <c r="D271" s="1">
        <v>5253657.0</v>
      </c>
    </row>
    <row r="272">
      <c r="A272" s="1" t="s">
        <v>940</v>
      </c>
      <c r="B272" s="1" t="s">
        <v>941</v>
      </c>
      <c r="C272" s="1" t="s">
        <v>455</v>
      </c>
      <c r="D272" s="1">
        <v>3487721.0</v>
      </c>
    </row>
    <row r="273">
      <c r="A273" s="1" t="s">
        <v>940</v>
      </c>
      <c r="B273" s="1" t="s">
        <v>946</v>
      </c>
      <c r="C273" s="1" t="s">
        <v>455</v>
      </c>
      <c r="D273" s="1">
        <v>4827306.0</v>
      </c>
    </row>
    <row r="274">
      <c r="A274" s="1" t="s">
        <v>949</v>
      </c>
      <c r="B274" s="1" t="s">
        <v>950</v>
      </c>
      <c r="C274" s="1" t="s">
        <v>455</v>
      </c>
      <c r="D274" s="1">
        <v>4037495.0</v>
      </c>
    </row>
    <row r="275">
      <c r="A275" s="1" t="s">
        <v>949</v>
      </c>
      <c r="B275" s="1" t="s">
        <v>952</v>
      </c>
      <c r="C275" s="1" t="s">
        <v>455</v>
      </c>
      <c r="D275" s="1">
        <v>7339311.0</v>
      </c>
    </row>
    <row r="276">
      <c r="A276" s="1" t="s">
        <v>957</v>
      </c>
      <c r="B276" s="1" t="s">
        <v>958</v>
      </c>
      <c r="C276" s="1" t="s">
        <v>455</v>
      </c>
      <c r="D276" s="1">
        <v>4718403.0</v>
      </c>
    </row>
    <row r="277">
      <c r="A277" s="1" t="s">
        <v>957</v>
      </c>
      <c r="B277" s="1" t="s">
        <v>959</v>
      </c>
      <c r="C277" s="1" t="s">
        <v>455</v>
      </c>
      <c r="D277" s="1">
        <v>4525969.0</v>
      </c>
    </row>
    <row r="278">
      <c r="A278" s="1" t="s">
        <v>960</v>
      </c>
      <c r="B278" s="1" t="s">
        <v>961</v>
      </c>
      <c r="C278" s="1" t="s">
        <v>455</v>
      </c>
      <c r="D278" s="1">
        <v>7284258.0</v>
      </c>
    </row>
    <row r="279">
      <c r="A279" s="1" t="s">
        <v>960</v>
      </c>
      <c r="B279" s="1" t="s">
        <v>966</v>
      </c>
      <c r="C279" s="1" t="s">
        <v>455</v>
      </c>
      <c r="D279" s="1">
        <v>4680734.0</v>
      </c>
    </row>
    <row r="280">
      <c r="A280" s="1" t="s">
        <v>968</v>
      </c>
      <c r="B280" s="1" t="s">
        <v>970</v>
      </c>
      <c r="C280" s="1" t="s">
        <v>455</v>
      </c>
      <c r="D280" s="1">
        <v>6246477.0</v>
      </c>
    </row>
    <row r="281">
      <c r="A281" s="1" t="s">
        <v>968</v>
      </c>
      <c r="B281" s="1" t="s">
        <v>972</v>
      </c>
      <c r="C281" s="1" t="s">
        <v>455</v>
      </c>
      <c r="D281" s="1">
        <v>4253643.0</v>
      </c>
    </row>
    <row r="282">
      <c r="A282" s="1" t="s">
        <v>974</v>
      </c>
      <c r="B282" s="1" t="s">
        <v>975</v>
      </c>
      <c r="C282" s="1" t="s">
        <v>455</v>
      </c>
      <c r="D282" s="1">
        <v>4445727.0</v>
      </c>
    </row>
    <row r="283">
      <c r="A283" s="1" t="s">
        <v>974</v>
      </c>
      <c r="B283" s="1" t="s">
        <v>980</v>
      </c>
      <c r="C283" s="1" t="s">
        <v>455</v>
      </c>
      <c r="D283" s="1">
        <v>9249511.0</v>
      </c>
    </row>
    <row r="284">
      <c r="A284" s="1" t="s">
        <v>983</v>
      </c>
      <c r="B284" s="1" t="s">
        <v>985</v>
      </c>
      <c r="C284" s="1" t="s">
        <v>455</v>
      </c>
      <c r="D284" s="1">
        <v>6185497.0</v>
      </c>
    </row>
    <row r="285">
      <c r="A285" s="1" t="s">
        <v>983</v>
      </c>
      <c r="B285" s="1" t="s">
        <v>986</v>
      </c>
      <c r="C285" s="1" t="s">
        <v>455</v>
      </c>
      <c r="D285" s="1">
        <v>6248130.0</v>
      </c>
    </row>
    <row r="286">
      <c r="A286" s="1" t="s">
        <v>989</v>
      </c>
      <c r="B286" s="1" t="s">
        <v>990</v>
      </c>
      <c r="C286" s="1" t="s">
        <v>455</v>
      </c>
      <c r="D286" s="1">
        <v>1.729769E7</v>
      </c>
    </row>
    <row r="287">
      <c r="A287" s="1" t="s">
        <v>989</v>
      </c>
      <c r="B287" s="1" t="s">
        <v>994</v>
      </c>
      <c r="C287" s="1" t="s">
        <v>455</v>
      </c>
      <c r="D287" s="1">
        <v>6704914.0</v>
      </c>
    </row>
    <row r="288">
      <c r="A288" s="1" t="s">
        <v>998</v>
      </c>
      <c r="B288" s="1" t="s">
        <v>999</v>
      </c>
      <c r="C288" s="1" t="s">
        <v>455</v>
      </c>
      <c r="D288" s="1">
        <v>5246930.0</v>
      </c>
    </row>
    <row r="289">
      <c r="A289" s="1" t="s">
        <v>1002</v>
      </c>
      <c r="B289" s="1" t="s">
        <v>1003</v>
      </c>
      <c r="C289" s="1" t="s">
        <v>455</v>
      </c>
      <c r="D289" s="1">
        <v>4758517.0</v>
      </c>
    </row>
    <row r="290">
      <c r="A290" s="1" t="s">
        <v>1002</v>
      </c>
      <c r="B290" s="1" t="s">
        <v>1006</v>
      </c>
      <c r="C290" s="1" t="s">
        <v>455</v>
      </c>
      <c r="D290" s="1">
        <v>5151380.0</v>
      </c>
    </row>
    <row r="291">
      <c r="A291" s="1" t="s">
        <v>1010</v>
      </c>
      <c r="B291" s="1" t="s">
        <v>1011</v>
      </c>
      <c r="C291" s="1" t="s">
        <v>455</v>
      </c>
      <c r="D291" s="1">
        <v>1.1587942E7</v>
      </c>
    </row>
    <row r="292">
      <c r="A292" s="1" t="s">
        <v>1010</v>
      </c>
      <c r="B292" s="1" t="s">
        <v>1014</v>
      </c>
      <c r="C292" s="1" t="s">
        <v>455</v>
      </c>
      <c r="D292" s="1">
        <v>3252345.0</v>
      </c>
    </row>
    <row r="293">
      <c r="A293" s="1" t="s">
        <v>1017</v>
      </c>
      <c r="B293" s="1" t="s">
        <v>1018</v>
      </c>
      <c r="C293" s="1" t="s">
        <v>455</v>
      </c>
      <c r="D293" s="1">
        <v>5202579.0</v>
      </c>
    </row>
    <row r="294">
      <c r="A294" s="1" t="s">
        <v>1022</v>
      </c>
      <c r="B294" s="1" t="s">
        <v>1023</v>
      </c>
      <c r="C294" s="1" t="s">
        <v>455</v>
      </c>
      <c r="D294" s="1">
        <v>5753039.0</v>
      </c>
    </row>
    <row r="295">
      <c r="A295" s="1" t="s">
        <v>1022</v>
      </c>
      <c r="B295" s="1" t="s">
        <v>1025</v>
      </c>
      <c r="C295" s="1" t="s">
        <v>455</v>
      </c>
      <c r="D295" s="1">
        <v>3148479.0</v>
      </c>
    </row>
    <row r="296">
      <c r="A296" s="1" t="s">
        <v>1026</v>
      </c>
      <c r="B296" s="1" t="s">
        <v>1028</v>
      </c>
      <c r="C296" s="1" t="s">
        <v>455</v>
      </c>
      <c r="D296" s="1">
        <v>4925932.0</v>
      </c>
    </row>
    <row r="297">
      <c r="A297" s="1" t="s">
        <v>1026</v>
      </c>
      <c r="B297" s="1" t="s">
        <v>1029</v>
      </c>
      <c r="C297" s="1" t="s">
        <v>455</v>
      </c>
      <c r="D297" s="1">
        <v>3633639.0</v>
      </c>
    </row>
    <row r="298">
      <c r="A298" s="1" t="s">
        <v>1033</v>
      </c>
      <c r="B298" s="1" t="s">
        <v>1034</v>
      </c>
      <c r="C298" s="1" t="s">
        <v>455</v>
      </c>
      <c r="D298" s="1">
        <v>3297865.0</v>
      </c>
    </row>
    <row r="299">
      <c r="A299" s="1" t="s">
        <v>1033</v>
      </c>
      <c r="B299" s="1" t="s">
        <v>1035</v>
      </c>
      <c r="C299" s="1" t="s">
        <v>455</v>
      </c>
      <c r="D299" s="1">
        <v>2871484.0</v>
      </c>
    </row>
    <row r="300">
      <c r="A300" s="1" t="s">
        <v>1037</v>
      </c>
      <c r="B300" s="1" t="s">
        <v>1038</v>
      </c>
      <c r="C300" s="1" t="s">
        <v>455</v>
      </c>
      <c r="D300" s="1">
        <v>8336296.0</v>
      </c>
    </row>
    <row r="301">
      <c r="A301" s="1" t="s">
        <v>1037</v>
      </c>
      <c r="B301" s="1" t="s">
        <v>1039</v>
      </c>
      <c r="C301" s="1" t="s">
        <v>455</v>
      </c>
      <c r="D301" s="1">
        <v>4319370.0</v>
      </c>
    </row>
    <row r="302">
      <c r="A302" s="1" t="s">
        <v>1045</v>
      </c>
      <c r="B302" s="1" t="s">
        <v>1046</v>
      </c>
      <c r="C302" s="1" t="s">
        <v>455</v>
      </c>
      <c r="D302" s="1">
        <v>6840482.0</v>
      </c>
    </row>
    <row r="303">
      <c r="A303" s="1" t="s">
        <v>1048</v>
      </c>
      <c r="B303" s="1" t="s">
        <v>1049</v>
      </c>
      <c r="C303" s="1" t="s">
        <v>455</v>
      </c>
      <c r="D303" s="1">
        <v>8264474.0</v>
      </c>
    </row>
    <row r="304">
      <c r="A304" s="1" t="s">
        <v>1052</v>
      </c>
      <c r="B304" s="1" t="s">
        <v>1054</v>
      </c>
      <c r="C304" s="1" t="s">
        <v>455</v>
      </c>
      <c r="D304" s="1">
        <v>5760474.0</v>
      </c>
    </row>
    <row r="305">
      <c r="A305" s="1" t="s">
        <v>1055</v>
      </c>
      <c r="B305" s="1" t="s">
        <v>1059</v>
      </c>
      <c r="C305" s="1" t="s">
        <v>455</v>
      </c>
      <c r="D305" s="1">
        <v>4949496.0</v>
      </c>
    </row>
    <row r="306">
      <c r="A306" s="1" t="s">
        <v>1060</v>
      </c>
      <c r="B306" s="1" t="s">
        <v>1061</v>
      </c>
      <c r="C306" s="1" t="s">
        <v>455</v>
      </c>
      <c r="D306" s="1">
        <v>4801631.0</v>
      </c>
    </row>
    <row r="307">
      <c r="A307" s="1" t="s">
        <v>1065</v>
      </c>
      <c r="B307" s="1" t="s">
        <v>1066</v>
      </c>
      <c r="C307" s="1" t="s">
        <v>455</v>
      </c>
      <c r="D307" s="1">
        <v>5218667.0</v>
      </c>
    </row>
    <row r="308">
      <c r="A308" s="1" t="s">
        <v>1068</v>
      </c>
      <c r="B308" s="1" t="s">
        <v>1069</v>
      </c>
      <c r="C308" s="1" t="s">
        <v>455</v>
      </c>
      <c r="D308" s="1">
        <v>6065266.0</v>
      </c>
    </row>
    <row r="309">
      <c r="A309" s="1" t="s">
        <v>1073</v>
      </c>
      <c r="B309" s="1" t="s">
        <v>1074</v>
      </c>
      <c r="C309" s="1" t="s">
        <v>455</v>
      </c>
      <c r="D309" s="1">
        <v>5910531.0</v>
      </c>
    </row>
    <row r="310">
      <c r="A310" s="1" t="s">
        <v>1077</v>
      </c>
      <c r="B310" s="1" t="s">
        <v>1078</v>
      </c>
      <c r="C310" s="1" t="s">
        <v>455</v>
      </c>
      <c r="D310" s="1">
        <v>3973774.0</v>
      </c>
    </row>
    <row r="311">
      <c r="A311" s="1" t="s">
        <v>1080</v>
      </c>
      <c r="B311" s="1" t="s">
        <v>1082</v>
      </c>
      <c r="C311" s="1" t="s">
        <v>455</v>
      </c>
      <c r="D311" s="1">
        <v>5310774.0</v>
      </c>
    </row>
    <row r="312">
      <c r="A312" s="1" t="s">
        <v>1083</v>
      </c>
      <c r="B312" s="1" t="s">
        <v>1084</v>
      </c>
      <c r="C312" s="1" t="s">
        <v>455</v>
      </c>
      <c r="D312" s="1">
        <v>5689716.0</v>
      </c>
    </row>
    <row r="313">
      <c r="A313" s="1" t="s">
        <v>1087</v>
      </c>
      <c r="B313" s="1" t="s">
        <v>1090</v>
      </c>
      <c r="C313" s="1" t="s">
        <v>455</v>
      </c>
      <c r="D313" s="1">
        <v>4834705.0</v>
      </c>
    </row>
    <row r="314">
      <c r="A314" s="1" t="s">
        <v>1097</v>
      </c>
      <c r="B314" s="1" t="s">
        <v>1099</v>
      </c>
      <c r="C314" s="1" t="s">
        <v>455</v>
      </c>
      <c r="D314" s="1">
        <v>5391069.0</v>
      </c>
    </row>
    <row r="315">
      <c r="A315" s="1" t="s">
        <v>1101</v>
      </c>
      <c r="B315" s="1" t="s">
        <v>1103</v>
      </c>
      <c r="C315" s="1" t="s">
        <v>455</v>
      </c>
      <c r="D315" s="1">
        <v>3785213.0</v>
      </c>
    </row>
    <row r="316">
      <c r="A316" s="1" t="s">
        <v>1105</v>
      </c>
      <c r="B316" s="1" t="s">
        <v>1107</v>
      </c>
      <c r="C316" s="1" t="s">
        <v>455</v>
      </c>
      <c r="D316" s="1">
        <v>3564294.0</v>
      </c>
    </row>
    <row r="317">
      <c r="A317" s="1" t="s">
        <v>1108</v>
      </c>
      <c r="B317" s="1" t="s">
        <v>1109</v>
      </c>
      <c r="C317" s="1" t="s">
        <v>455</v>
      </c>
      <c r="D317" s="1">
        <v>5447934.0</v>
      </c>
    </row>
    <row r="318">
      <c r="A318" s="1" t="s">
        <v>1112</v>
      </c>
      <c r="B318" s="1" t="s">
        <v>1113</v>
      </c>
      <c r="C318" s="1" t="s">
        <v>12</v>
      </c>
      <c r="D318" s="1">
        <v>5.7390751E7</v>
      </c>
    </row>
    <row r="319">
      <c r="A319" s="1" t="s">
        <v>1112</v>
      </c>
      <c r="B319" s="1" t="s">
        <v>1118</v>
      </c>
      <c r="C319" s="1" t="s">
        <v>12</v>
      </c>
      <c r="D319" s="1">
        <v>5.8749985E7</v>
      </c>
    </row>
    <row r="320">
      <c r="A320" s="1" t="s">
        <v>1121</v>
      </c>
      <c r="B320" s="1" t="s">
        <v>1122</v>
      </c>
      <c r="C320" s="1" t="s">
        <v>12</v>
      </c>
      <c r="D320" s="1">
        <v>4.5883525E7</v>
      </c>
    </row>
    <row r="321">
      <c r="A321" s="1" t="s">
        <v>1121</v>
      </c>
      <c r="B321" s="1" t="s">
        <v>1126</v>
      </c>
      <c r="C321" s="1" t="s">
        <v>12</v>
      </c>
      <c r="D321" s="1">
        <v>3.1046881E7</v>
      </c>
    </row>
    <row r="322">
      <c r="A322" s="1" t="s">
        <v>1129</v>
      </c>
      <c r="B322" s="1" t="s">
        <v>1130</v>
      </c>
      <c r="C322" s="1" t="s">
        <v>455</v>
      </c>
      <c r="D322" s="1">
        <v>3937316.0</v>
      </c>
    </row>
    <row r="323">
      <c r="A323" s="1" t="s">
        <v>1129</v>
      </c>
      <c r="B323" s="1" t="s">
        <v>1131</v>
      </c>
      <c r="C323" s="1" t="s">
        <v>455</v>
      </c>
      <c r="D323" s="1">
        <v>3658755.0</v>
      </c>
    </row>
    <row r="324">
      <c r="A324" s="1" t="s">
        <v>1132</v>
      </c>
      <c r="B324" s="1" t="s">
        <v>1133</v>
      </c>
      <c r="C324" s="1" t="s">
        <v>455</v>
      </c>
      <c r="D324" s="1">
        <v>4093041.0</v>
      </c>
    </row>
    <row r="325">
      <c r="A325" s="1" t="s">
        <v>1132</v>
      </c>
      <c r="B325" s="1" t="s">
        <v>1137</v>
      </c>
      <c r="C325" s="1" t="s">
        <v>455</v>
      </c>
      <c r="D325" s="1">
        <v>4616823.0</v>
      </c>
    </row>
    <row r="326">
      <c r="A326" s="1" t="s">
        <v>1140</v>
      </c>
      <c r="B326" s="1" t="s">
        <v>1141</v>
      </c>
      <c r="C326" s="1" t="s">
        <v>455</v>
      </c>
      <c r="D326" s="1">
        <v>4771458.0</v>
      </c>
    </row>
    <row r="327">
      <c r="A327" s="1" t="s">
        <v>1140</v>
      </c>
      <c r="B327" s="1" t="s">
        <v>1142</v>
      </c>
      <c r="C327" s="1" t="s">
        <v>455</v>
      </c>
      <c r="D327" s="1">
        <v>4968731.0</v>
      </c>
    </row>
    <row r="328">
      <c r="A328" s="1" t="s">
        <v>1143</v>
      </c>
      <c r="B328" s="1" t="s">
        <v>1144</v>
      </c>
      <c r="C328" s="1" t="s">
        <v>455</v>
      </c>
      <c r="D328" s="1">
        <v>3625579.0</v>
      </c>
    </row>
    <row r="329">
      <c r="A329" s="1" t="s">
        <v>1143</v>
      </c>
      <c r="B329" s="1" t="s">
        <v>1148</v>
      </c>
      <c r="C329" s="1" t="s">
        <v>455</v>
      </c>
      <c r="D329" s="1">
        <v>5168033.0</v>
      </c>
    </row>
    <row r="330">
      <c r="A330" s="1" t="s">
        <v>1150</v>
      </c>
      <c r="B330" s="1" t="s">
        <v>1152</v>
      </c>
      <c r="C330" s="1" t="s">
        <v>455</v>
      </c>
      <c r="D330" s="1">
        <v>3765307.0</v>
      </c>
    </row>
    <row r="331">
      <c r="A331" s="1" t="s">
        <v>1150</v>
      </c>
      <c r="B331" s="1" t="s">
        <v>1154</v>
      </c>
      <c r="C331" s="1" t="s">
        <v>455</v>
      </c>
      <c r="D331" s="1">
        <v>3800656.0</v>
      </c>
    </row>
    <row r="332">
      <c r="A332" s="1" t="s">
        <v>1157</v>
      </c>
      <c r="B332" s="1" t="s">
        <v>1159</v>
      </c>
      <c r="C332" s="1" t="s">
        <v>455</v>
      </c>
      <c r="D332" s="1">
        <v>4403553.0</v>
      </c>
    </row>
    <row r="333">
      <c r="A333" s="1" t="s">
        <v>1157</v>
      </c>
      <c r="B333" s="1" t="s">
        <v>1160</v>
      </c>
      <c r="C333" s="1" t="s">
        <v>455</v>
      </c>
      <c r="D333" s="1">
        <v>4247478.0</v>
      </c>
    </row>
    <row r="334">
      <c r="A334" s="1" t="s">
        <v>1163</v>
      </c>
      <c r="B334" s="1" t="s">
        <v>1164</v>
      </c>
      <c r="C334" s="1" t="s">
        <v>455</v>
      </c>
      <c r="D334" s="1">
        <v>6055390.0</v>
      </c>
    </row>
    <row r="335">
      <c r="A335" s="1" t="s">
        <v>1163</v>
      </c>
      <c r="B335" s="1" t="s">
        <v>1166</v>
      </c>
      <c r="C335" s="1" t="s">
        <v>455</v>
      </c>
      <c r="D335" s="1">
        <v>3922244.0</v>
      </c>
    </row>
    <row r="336">
      <c r="A336" s="1" t="s">
        <v>1169</v>
      </c>
      <c r="B336" s="1" t="s">
        <v>1170</v>
      </c>
      <c r="C336" s="1" t="s">
        <v>455</v>
      </c>
      <c r="D336" s="1">
        <v>4000700.0</v>
      </c>
    </row>
    <row r="337">
      <c r="A337" s="1" t="s">
        <v>1169</v>
      </c>
      <c r="B337" s="1" t="s">
        <v>1171</v>
      </c>
      <c r="C337" s="1" t="s">
        <v>455</v>
      </c>
      <c r="D337" s="1">
        <v>3979814.0</v>
      </c>
    </row>
    <row r="338">
      <c r="A338" s="1" t="s">
        <v>1172</v>
      </c>
      <c r="B338" s="1" t="s">
        <v>1173</v>
      </c>
      <c r="C338" s="1" t="s">
        <v>455</v>
      </c>
      <c r="D338" s="1">
        <v>4921764.0</v>
      </c>
    </row>
    <row r="339">
      <c r="A339" s="1" t="s">
        <v>1172</v>
      </c>
      <c r="B339" s="1" t="s">
        <v>1178</v>
      </c>
      <c r="C339" s="1" t="s">
        <v>455</v>
      </c>
      <c r="D339" s="1">
        <v>6897343.0</v>
      </c>
    </row>
    <row r="340">
      <c r="A340" s="1" t="s">
        <v>1179</v>
      </c>
      <c r="B340" s="1" t="s">
        <v>1181</v>
      </c>
      <c r="C340" s="1" t="s">
        <v>455</v>
      </c>
      <c r="D340" s="1">
        <v>3957020.0</v>
      </c>
    </row>
    <row r="341">
      <c r="A341" s="1" t="s">
        <v>1183</v>
      </c>
      <c r="B341" s="1" t="s">
        <v>1184</v>
      </c>
      <c r="C341" s="1" t="s">
        <v>455</v>
      </c>
      <c r="D341" s="1">
        <v>5446159.0</v>
      </c>
    </row>
    <row r="342">
      <c r="A342" s="1" t="s">
        <v>690</v>
      </c>
      <c r="B342" s="1" t="s">
        <v>1187</v>
      </c>
      <c r="C342" s="1" t="s">
        <v>12</v>
      </c>
      <c r="D342" s="1">
        <v>3.8586831E7</v>
      </c>
    </row>
    <row r="343">
      <c r="A343" s="1" t="s">
        <v>690</v>
      </c>
      <c r="B343" s="1" t="s">
        <v>1188</v>
      </c>
      <c r="C343" s="1" t="s">
        <v>12</v>
      </c>
      <c r="D343" s="1">
        <v>3.2043236E7</v>
      </c>
    </row>
    <row r="344">
      <c r="A344" s="1" t="s">
        <v>732</v>
      </c>
      <c r="B344" s="1" t="s">
        <v>1191</v>
      </c>
      <c r="C344" s="1" t="s">
        <v>12</v>
      </c>
      <c r="D344" s="1">
        <v>1.6897687E7</v>
      </c>
    </row>
    <row r="345">
      <c r="A345" s="1" t="s">
        <v>732</v>
      </c>
      <c r="B345" s="1" t="s">
        <v>1194</v>
      </c>
      <c r="C345" s="1" t="s">
        <v>12</v>
      </c>
      <c r="D345" s="1">
        <v>4.3020774E7</v>
      </c>
    </row>
    <row r="346">
      <c r="A346" s="1" t="s">
        <v>755</v>
      </c>
      <c r="B346" s="1" t="s">
        <v>1197</v>
      </c>
      <c r="C346" s="1" t="s">
        <v>12</v>
      </c>
      <c r="D346" s="1">
        <v>1.3931351E7</v>
      </c>
    </row>
    <row r="347">
      <c r="A347" s="1" t="s">
        <v>755</v>
      </c>
      <c r="B347" s="1" t="s">
        <v>1198</v>
      </c>
      <c r="C347" s="1" t="s">
        <v>12</v>
      </c>
      <c r="D347" s="1">
        <v>6766133.0</v>
      </c>
    </row>
    <row r="348">
      <c r="A348" s="1" t="s">
        <v>1037</v>
      </c>
      <c r="B348" s="1" t="s">
        <v>1201</v>
      </c>
      <c r="C348" s="1" t="s">
        <v>455</v>
      </c>
      <c r="D348" s="1">
        <v>3.7904619E7</v>
      </c>
    </row>
    <row r="349">
      <c r="A349" s="1" t="s">
        <v>1204</v>
      </c>
      <c r="B349" s="1" t="s">
        <v>1205</v>
      </c>
      <c r="C349" s="1" t="s">
        <v>12</v>
      </c>
      <c r="D349" s="1">
        <v>4235885.0</v>
      </c>
    </row>
    <row r="350">
      <c r="A350" s="1" t="s">
        <v>759</v>
      </c>
      <c r="B350" s="1" t="s">
        <v>1210</v>
      </c>
      <c r="C350" s="1" t="s">
        <v>12</v>
      </c>
      <c r="D350" s="1">
        <v>1001559.0</v>
      </c>
    </row>
    <row r="351">
      <c r="A351" s="1" t="s">
        <v>1211</v>
      </c>
      <c r="B351" s="1" t="s">
        <v>1212</v>
      </c>
      <c r="C351" s="1" t="s">
        <v>12</v>
      </c>
      <c r="D351" s="1">
        <v>355508.0</v>
      </c>
    </row>
    <row r="352">
      <c r="A352" s="1" t="s">
        <v>1214</v>
      </c>
      <c r="B352" s="1" t="s">
        <v>1215</v>
      </c>
      <c r="C352" s="1" t="s">
        <v>12</v>
      </c>
      <c r="D352" s="1">
        <v>605330.0</v>
      </c>
    </row>
    <row r="353">
      <c r="A353" s="1" t="s">
        <v>1218</v>
      </c>
      <c r="B353" s="1" t="s">
        <v>1220</v>
      </c>
      <c r="C353" s="1" t="s">
        <v>455</v>
      </c>
      <c r="D353" s="1">
        <v>4440370.0</v>
      </c>
    </row>
    <row r="354">
      <c r="A354" s="1" t="s">
        <v>1222</v>
      </c>
      <c r="B354" s="1" t="s">
        <v>1223</v>
      </c>
      <c r="C354" s="1" t="s">
        <v>455</v>
      </c>
      <c r="D354" s="1">
        <v>5715064.0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5</v>
      </c>
      <c r="D1" s="2" t="s">
        <v>7</v>
      </c>
      <c r="E1" s="2" t="s">
        <v>10</v>
      </c>
      <c r="F1" s="2" t="s">
        <v>13</v>
      </c>
      <c r="G1" s="2" t="s">
        <v>15</v>
      </c>
      <c r="H1" s="2" t="s">
        <v>16</v>
      </c>
      <c r="I1" s="2" t="s">
        <v>18</v>
      </c>
      <c r="J1" s="2" t="s">
        <v>20</v>
      </c>
      <c r="K1" s="2" t="s">
        <v>22</v>
      </c>
      <c r="L1" s="2" t="s">
        <v>24</v>
      </c>
      <c r="M1" s="2" t="s">
        <v>27</v>
      </c>
      <c r="N1" s="2" t="s">
        <v>28</v>
      </c>
      <c r="O1" s="2" t="s">
        <v>32</v>
      </c>
      <c r="P1" s="2" t="s">
        <v>33</v>
      </c>
      <c r="Q1" s="2" t="s">
        <v>35</v>
      </c>
      <c r="R1" s="2" t="s">
        <v>39</v>
      </c>
      <c r="S1" s="2" t="s">
        <v>40</v>
      </c>
      <c r="T1" s="2" t="s">
        <v>42</v>
      </c>
      <c r="U1" s="2" t="s">
        <v>44</v>
      </c>
      <c r="V1" s="2" t="s">
        <v>46</v>
      </c>
      <c r="W1" s="2" t="s">
        <v>50</v>
      </c>
      <c r="X1" s="2" t="s">
        <v>52</v>
      </c>
      <c r="Y1" s="2" t="s">
        <v>55</v>
      </c>
      <c r="Z1" s="2" t="s">
        <v>57</v>
      </c>
      <c r="AA1" s="2" t="s">
        <v>58</v>
      </c>
      <c r="AB1" s="2" t="s">
        <v>60</v>
      </c>
    </row>
    <row r="2">
      <c r="A2" s="2" t="s">
        <v>61</v>
      </c>
      <c r="B2" s="2" t="s">
        <v>63</v>
      </c>
      <c r="C2" s="2"/>
      <c r="D2" s="2" t="s">
        <v>64</v>
      </c>
      <c r="E2" s="7" t="b">
        <v>1</v>
      </c>
      <c r="F2" s="9">
        <v>29.0</v>
      </c>
      <c r="G2" s="9">
        <v>13.85619082474679</v>
      </c>
      <c r="H2" s="9">
        <v>0.0133282758620689</v>
      </c>
      <c r="I2" s="7" t="b">
        <v>1</v>
      </c>
      <c r="J2" s="9">
        <v>0.0</v>
      </c>
      <c r="K2" s="7" t="b">
        <v>0</v>
      </c>
      <c r="L2" s="9">
        <v>357.0</v>
      </c>
      <c r="M2" s="9">
        <v>12.3103</v>
      </c>
      <c r="N2" s="2" t="s">
        <v>75</v>
      </c>
      <c r="O2" s="2" t="s">
        <v>78</v>
      </c>
      <c r="P2" s="9">
        <v>59.39</v>
      </c>
      <c r="Q2" s="9">
        <v>59.0</v>
      </c>
      <c r="R2" s="9">
        <v>0.126126</v>
      </c>
      <c r="S2" s="9">
        <v>0.707</v>
      </c>
      <c r="T2" s="9">
        <v>0.9959</v>
      </c>
      <c r="U2" s="2" t="s">
        <v>81</v>
      </c>
      <c r="V2" s="9">
        <v>0.8644</v>
      </c>
      <c r="W2" s="9">
        <v>0.8582</v>
      </c>
      <c r="X2" s="2" t="s">
        <v>82</v>
      </c>
      <c r="Y2" s="2" t="s">
        <v>84</v>
      </c>
      <c r="Z2" s="2" t="s">
        <v>86</v>
      </c>
      <c r="AA2" s="9">
        <v>0.5527</v>
      </c>
      <c r="AB2" s="9">
        <v>0.707</v>
      </c>
    </row>
    <row r="3">
      <c r="A3" s="2" t="s">
        <v>88</v>
      </c>
      <c r="B3" s="2" t="s">
        <v>63</v>
      </c>
      <c r="C3" s="2"/>
      <c r="D3" s="2" t="s">
        <v>64</v>
      </c>
      <c r="E3" s="7" t="b">
        <v>1</v>
      </c>
      <c r="F3" s="9">
        <v>105.0</v>
      </c>
      <c r="G3" s="9">
        <v>14.80826656565613</v>
      </c>
      <c r="H3" s="9">
        <v>0.053712838095238</v>
      </c>
      <c r="I3" s="7" t="b">
        <v>1</v>
      </c>
      <c r="J3" s="9">
        <v>0.0</v>
      </c>
      <c r="K3" s="7" t="b">
        <v>0</v>
      </c>
      <c r="L3" s="9">
        <v>1404.0</v>
      </c>
      <c r="M3" s="9">
        <v>13.3714</v>
      </c>
      <c r="N3" s="2" t="s">
        <v>92</v>
      </c>
      <c r="O3" s="2" t="s">
        <v>94</v>
      </c>
      <c r="P3" s="9">
        <v>61.57</v>
      </c>
      <c r="Q3" s="9">
        <v>61.0</v>
      </c>
      <c r="R3" s="9">
        <v>0.152455</v>
      </c>
      <c r="S3" s="9">
        <v>0.8514</v>
      </c>
      <c r="T3" s="9">
        <v>1.0016</v>
      </c>
      <c r="U3" s="2" t="s">
        <v>96</v>
      </c>
      <c r="V3" s="9">
        <v>0.8785</v>
      </c>
      <c r="W3" s="9">
        <v>0.873</v>
      </c>
      <c r="X3" s="2" t="s">
        <v>82</v>
      </c>
      <c r="Y3" s="2" t="s">
        <v>99</v>
      </c>
      <c r="Z3" s="2" t="s">
        <v>101</v>
      </c>
      <c r="AA3" s="9">
        <v>0.6783</v>
      </c>
      <c r="AB3" s="9">
        <v>0.8514</v>
      </c>
    </row>
    <row r="4">
      <c r="A4" s="2" t="s">
        <v>102</v>
      </c>
      <c r="B4" s="2" t="s">
        <v>63</v>
      </c>
      <c r="C4" s="2"/>
      <c r="D4" s="2" t="s">
        <v>64</v>
      </c>
      <c r="E4" s="7" t="b">
        <v>1</v>
      </c>
      <c r="F4" s="9">
        <v>376.0</v>
      </c>
      <c r="G4" s="9">
        <v>15.90050594926093</v>
      </c>
      <c r="H4" s="9">
        <v>0.2020968085106382</v>
      </c>
      <c r="I4" s="7" t="b">
        <v>1</v>
      </c>
      <c r="J4" s="9">
        <v>0.0</v>
      </c>
      <c r="K4" s="7" t="b">
        <v>0</v>
      </c>
      <c r="L4" s="9">
        <v>5899.0</v>
      </c>
      <c r="M4" s="9">
        <v>15.6888</v>
      </c>
      <c r="N4" s="2" t="s">
        <v>106</v>
      </c>
      <c r="O4" s="2" t="s">
        <v>107</v>
      </c>
      <c r="P4" s="9">
        <v>62.65</v>
      </c>
      <c r="Q4" s="9">
        <v>62.0</v>
      </c>
      <c r="R4" s="9">
        <v>0.168532</v>
      </c>
      <c r="S4" s="9">
        <v>0.9591</v>
      </c>
      <c r="T4" s="9">
        <v>1.0047</v>
      </c>
      <c r="U4" s="2" t="s">
        <v>109</v>
      </c>
      <c r="V4" s="9">
        <v>0.871</v>
      </c>
      <c r="W4" s="9">
        <v>0.8756</v>
      </c>
      <c r="X4" s="2" t="s">
        <v>82</v>
      </c>
      <c r="Y4" s="2" t="s">
        <v>99</v>
      </c>
      <c r="Z4" s="2" t="s">
        <v>101</v>
      </c>
      <c r="AA4" s="9">
        <v>0.8168</v>
      </c>
      <c r="AB4" s="9">
        <v>0.9591</v>
      </c>
    </row>
    <row r="5">
      <c r="A5" s="2" t="s">
        <v>102</v>
      </c>
      <c r="B5" s="2" t="s">
        <v>120</v>
      </c>
      <c r="C5" s="2"/>
      <c r="D5" s="2" t="s">
        <v>64</v>
      </c>
      <c r="E5" s="7" t="b">
        <v>1</v>
      </c>
      <c r="F5" s="9">
        <v>26.0</v>
      </c>
      <c r="G5" s="9">
        <v>5.893289606630854</v>
      </c>
      <c r="H5" s="9">
        <v>0.0018354115384615</v>
      </c>
      <c r="I5" s="7" t="b">
        <v>1</v>
      </c>
      <c r="J5" s="9">
        <v>0.0</v>
      </c>
      <c r="K5" s="7" t="b">
        <v>0</v>
      </c>
      <c r="L5" s="9">
        <v>5637.0</v>
      </c>
      <c r="M5" s="9">
        <v>216.8077</v>
      </c>
      <c r="N5" s="2" t="s">
        <v>126</v>
      </c>
      <c r="O5" s="2" t="s">
        <v>129</v>
      </c>
      <c r="P5" s="9">
        <v>62.72</v>
      </c>
      <c r="Q5" s="9">
        <v>62.0</v>
      </c>
      <c r="R5" s="9">
        <v>0.160445</v>
      </c>
      <c r="S5" s="9">
        <v>0.9572</v>
      </c>
      <c r="T5" s="9">
        <v>1.0037</v>
      </c>
      <c r="U5" s="2" t="s">
        <v>133</v>
      </c>
      <c r="V5" s="9">
        <v>0.8638</v>
      </c>
      <c r="W5" s="9">
        <v>0.8581</v>
      </c>
      <c r="X5" s="2" t="s">
        <v>134</v>
      </c>
      <c r="Y5" s="2" t="s">
        <v>84</v>
      </c>
      <c r="Z5" s="2" t="s">
        <v>136</v>
      </c>
      <c r="AA5" s="9">
        <v>0.8131</v>
      </c>
      <c r="AB5" s="9">
        <v>0.9572</v>
      </c>
    </row>
    <row r="6">
      <c r="A6" s="2" t="s">
        <v>138</v>
      </c>
      <c r="B6" s="2" t="s">
        <v>63</v>
      </c>
      <c r="C6" s="2"/>
      <c r="D6" s="2" t="s">
        <v>64</v>
      </c>
      <c r="E6" s="7" t="b">
        <v>1</v>
      </c>
      <c r="F6" s="9">
        <v>1744.0</v>
      </c>
      <c r="G6" s="9">
        <v>16.93841181112143</v>
      </c>
      <c r="H6" s="9">
        <v>0.7187978211009174</v>
      </c>
      <c r="I6" s="7" t="b">
        <v>1</v>
      </c>
      <c r="J6" s="9">
        <v>0.0</v>
      </c>
      <c r="K6" s="7" t="b">
        <v>0</v>
      </c>
      <c r="L6" s="9">
        <v>25237.0</v>
      </c>
      <c r="M6" s="9">
        <v>14.4708</v>
      </c>
      <c r="N6" s="2" t="s">
        <v>142</v>
      </c>
      <c r="O6" s="2" t="s">
        <v>144</v>
      </c>
      <c r="P6" s="9">
        <v>62.84</v>
      </c>
      <c r="Q6" s="9">
        <v>62.0</v>
      </c>
      <c r="R6" s="9">
        <v>0.168855</v>
      </c>
      <c r="S6" s="9">
        <v>0.99</v>
      </c>
      <c r="T6" s="9">
        <v>0.9971</v>
      </c>
      <c r="U6" s="2" t="s">
        <v>109</v>
      </c>
      <c r="V6" s="9">
        <v>0.8724</v>
      </c>
      <c r="W6" s="9">
        <v>0.8763</v>
      </c>
      <c r="X6" s="2" t="s">
        <v>82</v>
      </c>
      <c r="Y6" s="2" t="s">
        <v>99</v>
      </c>
      <c r="Z6" s="2" t="s">
        <v>101</v>
      </c>
      <c r="AA6" s="9">
        <v>0.9262</v>
      </c>
      <c r="AB6" s="9">
        <v>0.99</v>
      </c>
    </row>
    <row r="7">
      <c r="A7" s="2" t="s">
        <v>138</v>
      </c>
      <c r="B7" s="2" t="s">
        <v>120</v>
      </c>
      <c r="C7" s="2"/>
      <c r="D7" s="2" t="s">
        <v>64</v>
      </c>
      <c r="E7" s="7" t="b">
        <v>1</v>
      </c>
      <c r="F7" s="9">
        <v>79.0</v>
      </c>
      <c r="G7" s="9">
        <v>4.980786361220953</v>
      </c>
      <c r="H7" s="9">
        <v>0.0039651544303797</v>
      </c>
      <c r="I7" s="7" t="b">
        <v>1</v>
      </c>
      <c r="J7" s="9">
        <v>0.0</v>
      </c>
      <c r="K7" s="7" t="b">
        <v>0</v>
      </c>
      <c r="L7" s="9">
        <v>24155.0</v>
      </c>
      <c r="M7" s="9">
        <v>305.7595</v>
      </c>
      <c r="N7" s="2" t="s">
        <v>152</v>
      </c>
      <c r="O7" s="2" t="s">
        <v>153</v>
      </c>
      <c r="P7" s="9">
        <v>62.95</v>
      </c>
      <c r="Q7" s="9">
        <v>62.0</v>
      </c>
      <c r="R7" s="9">
        <v>0.160412</v>
      </c>
      <c r="S7" s="9">
        <v>0.9888</v>
      </c>
      <c r="T7" s="9">
        <v>0.9906</v>
      </c>
      <c r="U7" s="2" t="s">
        <v>133</v>
      </c>
      <c r="V7" s="9">
        <v>0.8662</v>
      </c>
      <c r="W7" s="9">
        <v>0.8603</v>
      </c>
      <c r="X7" s="2" t="s">
        <v>157</v>
      </c>
      <c r="Y7" s="2" t="s">
        <v>84</v>
      </c>
      <c r="Z7" s="2" t="s">
        <v>136</v>
      </c>
      <c r="AA7" s="9">
        <v>0.9226</v>
      </c>
      <c r="AB7" s="9">
        <v>0.9888</v>
      </c>
    </row>
    <row r="8">
      <c r="A8" s="2" t="s">
        <v>160</v>
      </c>
      <c r="B8" s="2" t="s">
        <v>63</v>
      </c>
      <c r="C8" s="2"/>
      <c r="D8" s="2" t="s">
        <v>64</v>
      </c>
      <c r="E8" s="7" t="b">
        <v>1</v>
      </c>
      <c r="F8" s="9">
        <v>7430.0</v>
      </c>
      <c r="G8" s="9">
        <v>21.58671693792937</v>
      </c>
      <c r="H8" s="9">
        <v>1.647959084791386</v>
      </c>
      <c r="I8" s="7" t="b">
        <v>1</v>
      </c>
      <c r="J8" s="9">
        <v>0.0</v>
      </c>
      <c r="K8" s="7" t="b">
        <v>0</v>
      </c>
      <c r="L8" s="9">
        <v>108179.0</v>
      </c>
      <c r="M8" s="9">
        <v>14.5598</v>
      </c>
      <c r="N8" s="2" t="s">
        <v>165</v>
      </c>
      <c r="O8" s="2" t="s">
        <v>167</v>
      </c>
      <c r="P8" s="9">
        <v>62.83</v>
      </c>
      <c r="Q8" s="9">
        <v>62.0</v>
      </c>
      <c r="R8" s="9">
        <v>0.164046</v>
      </c>
      <c r="S8" s="9">
        <v>0.9967</v>
      </c>
      <c r="T8" s="9">
        <v>0.9935</v>
      </c>
      <c r="U8" s="2" t="s">
        <v>109</v>
      </c>
      <c r="V8" s="9">
        <v>0.8718</v>
      </c>
      <c r="W8" s="9">
        <v>0.876</v>
      </c>
      <c r="X8" s="2" t="s">
        <v>82</v>
      </c>
      <c r="Y8" s="2" t="s">
        <v>99</v>
      </c>
      <c r="Z8" s="2" t="s">
        <v>101</v>
      </c>
      <c r="AA8" s="9">
        <v>0.9823</v>
      </c>
      <c r="AB8" s="9">
        <v>0.9967</v>
      </c>
    </row>
    <row r="9">
      <c r="A9" s="2" t="s">
        <v>160</v>
      </c>
      <c r="B9" s="2" t="s">
        <v>172</v>
      </c>
      <c r="C9" s="2"/>
      <c r="D9" s="2" t="s">
        <v>64</v>
      </c>
      <c r="E9" s="7" t="b">
        <v>1</v>
      </c>
      <c r="F9" s="9">
        <v>85.0</v>
      </c>
      <c r="G9" s="9">
        <v>6.698919490386977</v>
      </c>
      <c r="H9" s="9">
        <v>0.0183344235294117</v>
      </c>
      <c r="I9" s="7" t="b">
        <v>1</v>
      </c>
      <c r="J9" s="9">
        <v>0.0</v>
      </c>
      <c r="K9" s="7" t="b">
        <v>0</v>
      </c>
      <c r="L9" s="9">
        <v>1.0</v>
      </c>
      <c r="M9" s="9">
        <v>0.0118</v>
      </c>
      <c r="N9" s="2" t="s">
        <v>175</v>
      </c>
      <c r="O9" s="2" t="s">
        <v>177</v>
      </c>
      <c r="P9" s="9">
        <v>35.0</v>
      </c>
      <c r="Q9" s="9">
        <v>35.0</v>
      </c>
      <c r="R9" s="9">
        <v>0.0</v>
      </c>
      <c r="S9" s="9">
        <v>0.0</v>
      </c>
      <c r="T9" s="9">
        <v>1.0</v>
      </c>
      <c r="U9" s="2" t="s">
        <v>179</v>
      </c>
      <c r="V9" s="2"/>
      <c r="W9" s="9">
        <v>0.3</v>
      </c>
      <c r="X9" s="2" t="s">
        <v>181</v>
      </c>
      <c r="Y9" s="2" t="s">
        <v>182</v>
      </c>
      <c r="Z9" s="2" t="s">
        <v>183</v>
      </c>
      <c r="AA9" s="9">
        <v>0.0</v>
      </c>
      <c r="AB9" s="9">
        <v>0.0</v>
      </c>
    </row>
    <row r="10">
      <c r="A10" s="2" t="s">
        <v>160</v>
      </c>
      <c r="B10" s="2" t="s">
        <v>186</v>
      </c>
      <c r="C10" s="2"/>
      <c r="D10" s="2" t="s">
        <v>64</v>
      </c>
      <c r="E10" s="7" t="b">
        <v>1</v>
      </c>
      <c r="F10" s="9">
        <v>91.0</v>
      </c>
      <c r="G10" s="9">
        <v>4.307646290586863</v>
      </c>
      <c r="H10" s="9">
        <v>0.0115504615384615</v>
      </c>
      <c r="I10" s="7" t="b">
        <v>1</v>
      </c>
      <c r="J10" s="9">
        <v>0.0</v>
      </c>
      <c r="K10" s="7" t="b">
        <v>0</v>
      </c>
      <c r="L10" s="9">
        <v>100451.0</v>
      </c>
      <c r="M10" s="9">
        <v>1103.8571</v>
      </c>
      <c r="N10" s="2" t="s">
        <v>190</v>
      </c>
      <c r="O10" s="2" t="s">
        <v>191</v>
      </c>
      <c r="P10" s="9">
        <v>62.87</v>
      </c>
      <c r="Q10" s="9">
        <v>62.0</v>
      </c>
      <c r="R10" s="9">
        <v>0.153975</v>
      </c>
      <c r="S10" s="9">
        <v>0.996</v>
      </c>
      <c r="T10" s="9">
        <v>0.9734</v>
      </c>
      <c r="U10" s="2" t="s">
        <v>194</v>
      </c>
      <c r="V10" s="9">
        <v>0.8646</v>
      </c>
      <c r="W10" s="9">
        <v>0.8571</v>
      </c>
      <c r="X10" s="2" t="s">
        <v>198</v>
      </c>
      <c r="Y10" s="2" t="s">
        <v>84</v>
      </c>
      <c r="Z10" s="2" t="s">
        <v>136</v>
      </c>
      <c r="AA10" s="9">
        <v>0.9798</v>
      </c>
      <c r="AB10" s="9">
        <v>0.996</v>
      </c>
    </row>
    <row r="11">
      <c r="A11" s="2" t="s">
        <v>160</v>
      </c>
      <c r="B11" s="2" t="s">
        <v>120</v>
      </c>
      <c r="C11" s="2"/>
      <c r="D11" s="2" t="s">
        <v>64</v>
      </c>
      <c r="E11" s="7" t="b">
        <v>1</v>
      </c>
      <c r="F11" s="9">
        <v>393.0</v>
      </c>
      <c r="G11" s="9">
        <v>4.092467530321126</v>
      </c>
      <c r="H11" s="9">
        <v>0.0130145954198473</v>
      </c>
      <c r="I11" s="7" t="b">
        <v>1</v>
      </c>
      <c r="J11" s="9">
        <v>0.0</v>
      </c>
      <c r="K11" s="7" t="b">
        <v>0</v>
      </c>
      <c r="L11" s="9">
        <v>103420.0</v>
      </c>
      <c r="M11" s="9">
        <v>263.1552</v>
      </c>
      <c r="N11" s="2" t="s">
        <v>216</v>
      </c>
      <c r="O11" s="2" t="s">
        <v>218</v>
      </c>
      <c r="P11" s="9">
        <v>62.88</v>
      </c>
      <c r="Q11" s="9">
        <v>62.0</v>
      </c>
      <c r="R11" s="9">
        <v>0.155998</v>
      </c>
      <c r="S11" s="9">
        <v>0.9957</v>
      </c>
      <c r="T11" s="9">
        <v>0.979</v>
      </c>
      <c r="U11" s="2" t="s">
        <v>220</v>
      </c>
      <c r="V11" s="9">
        <v>0.8655</v>
      </c>
      <c r="W11" s="9">
        <v>0.8597</v>
      </c>
      <c r="X11" s="2" t="s">
        <v>157</v>
      </c>
      <c r="Y11" s="2" t="s">
        <v>84</v>
      </c>
      <c r="Z11" s="2" t="s">
        <v>136</v>
      </c>
      <c r="AA11" s="9">
        <v>0.9803</v>
      </c>
      <c r="AB11" s="9">
        <v>0.9957</v>
      </c>
    </row>
    <row r="12">
      <c r="A12" s="2" t="s">
        <v>225</v>
      </c>
      <c r="B12" s="2" t="s">
        <v>227</v>
      </c>
      <c r="C12" s="2"/>
      <c r="D12" s="2" t="s">
        <v>64</v>
      </c>
      <c r="E12" s="7" t="b">
        <v>1</v>
      </c>
      <c r="F12" s="9">
        <v>76.0</v>
      </c>
      <c r="G12" s="9">
        <v>31.79179079074959</v>
      </c>
      <c r="H12" s="9">
        <v>0.0282926605263157</v>
      </c>
      <c r="I12" s="7" t="b">
        <v>1</v>
      </c>
      <c r="J12" s="9">
        <v>0.0</v>
      </c>
      <c r="K12" s="7" t="b">
        <v>0</v>
      </c>
      <c r="L12" s="9">
        <v>276.0</v>
      </c>
      <c r="M12" s="9">
        <v>3.6316</v>
      </c>
      <c r="N12" s="2" t="s">
        <v>230</v>
      </c>
      <c r="O12" s="2" t="s">
        <v>231</v>
      </c>
      <c r="P12" s="9">
        <v>48.64</v>
      </c>
      <c r="Q12" s="9">
        <v>42.0</v>
      </c>
      <c r="R12" s="9">
        <v>0.068966</v>
      </c>
      <c r="S12" s="9">
        <v>0.4289</v>
      </c>
      <c r="T12" s="9">
        <v>0.5058</v>
      </c>
      <c r="U12" s="2" t="s">
        <v>234</v>
      </c>
      <c r="V12" s="9">
        <v>0.8875</v>
      </c>
      <c r="W12" s="9">
        <v>0.6996</v>
      </c>
      <c r="X12" s="2" t="s">
        <v>82</v>
      </c>
      <c r="Y12" s="2" t="s">
        <v>237</v>
      </c>
      <c r="Z12" s="2" t="s">
        <v>239</v>
      </c>
      <c r="AA12" s="9">
        <v>0.404</v>
      </c>
      <c r="AB12" s="9">
        <v>0.4289</v>
      </c>
    </row>
    <row r="13">
      <c r="A13" s="2" t="s">
        <v>241</v>
      </c>
      <c r="B13" s="2" t="s">
        <v>227</v>
      </c>
      <c r="C13" s="2"/>
      <c r="D13" s="2" t="s">
        <v>64</v>
      </c>
      <c r="E13" s="7" t="b">
        <v>1</v>
      </c>
      <c r="F13" s="9">
        <v>331.0</v>
      </c>
      <c r="G13" s="9">
        <v>28.7867169003273</v>
      </c>
      <c r="H13" s="9">
        <v>0.0986005619335347</v>
      </c>
      <c r="I13" s="7" t="b">
        <v>1</v>
      </c>
      <c r="J13" s="9">
        <v>0.0</v>
      </c>
      <c r="K13" s="7" t="b">
        <v>0</v>
      </c>
      <c r="L13" s="9">
        <v>522.0</v>
      </c>
      <c r="M13" s="9">
        <v>1.577</v>
      </c>
      <c r="N13" s="2" t="s">
        <v>245</v>
      </c>
      <c r="O13" s="2" t="s">
        <v>246</v>
      </c>
      <c r="P13" s="9">
        <v>55.01</v>
      </c>
      <c r="Q13" s="9">
        <v>52.0</v>
      </c>
      <c r="R13" s="9">
        <v>0.12037</v>
      </c>
      <c r="S13" s="9">
        <v>0.6427</v>
      </c>
      <c r="T13" s="9">
        <v>0.7652</v>
      </c>
      <c r="U13" s="2" t="s">
        <v>249</v>
      </c>
      <c r="V13" s="9">
        <v>0.8809</v>
      </c>
      <c r="W13" s="9">
        <v>0.8466</v>
      </c>
      <c r="X13" s="2" t="s">
        <v>82</v>
      </c>
      <c r="Y13" s="2" t="s">
        <v>237</v>
      </c>
      <c r="Z13" s="2" t="s">
        <v>239</v>
      </c>
      <c r="AA13" s="9">
        <v>0.5436</v>
      </c>
      <c r="AB13" s="9">
        <v>0.6427</v>
      </c>
    </row>
    <row r="14">
      <c r="A14" s="2" t="s">
        <v>253</v>
      </c>
      <c r="B14" s="2" t="s">
        <v>227</v>
      </c>
      <c r="C14" s="2"/>
      <c r="D14" s="2" t="s">
        <v>64</v>
      </c>
      <c r="E14" s="7" t="b">
        <v>1</v>
      </c>
      <c r="F14" s="9">
        <v>1416.0</v>
      </c>
      <c r="G14" s="9">
        <v>30.9104654291473</v>
      </c>
      <c r="H14" s="9">
        <v>0.4356919915254237</v>
      </c>
      <c r="I14" s="7" t="b">
        <v>1</v>
      </c>
      <c r="J14" s="9">
        <v>0.0</v>
      </c>
      <c r="K14" s="7" t="b">
        <v>0</v>
      </c>
      <c r="L14" s="9">
        <v>1588.0</v>
      </c>
      <c r="M14" s="9">
        <v>1.1215</v>
      </c>
      <c r="N14" s="2" t="s">
        <v>256</v>
      </c>
      <c r="O14" s="2" t="s">
        <v>257</v>
      </c>
      <c r="P14" s="9">
        <v>59.78</v>
      </c>
      <c r="Q14" s="9">
        <v>59.0</v>
      </c>
      <c r="R14" s="9">
        <v>0.172414</v>
      </c>
      <c r="S14" s="9">
        <v>0.8651</v>
      </c>
      <c r="T14" s="9">
        <v>0.9346</v>
      </c>
      <c r="U14" s="2" t="s">
        <v>260</v>
      </c>
      <c r="V14" s="9">
        <v>0.8756</v>
      </c>
      <c r="W14" s="9">
        <v>0.8688</v>
      </c>
      <c r="X14" s="2" t="s">
        <v>82</v>
      </c>
      <c r="Y14" s="2" t="s">
        <v>99</v>
      </c>
      <c r="Z14" s="2" t="s">
        <v>264</v>
      </c>
      <c r="AA14" s="9">
        <v>0.711</v>
      </c>
      <c r="AB14" s="9">
        <v>0.8651</v>
      </c>
    </row>
    <row r="15">
      <c r="A15" s="2" t="s">
        <v>266</v>
      </c>
      <c r="B15" s="2" t="s">
        <v>227</v>
      </c>
      <c r="C15" s="2"/>
      <c r="D15" s="2" t="s">
        <v>64</v>
      </c>
      <c r="E15" s="7" t="b">
        <v>1</v>
      </c>
      <c r="F15" s="9">
        <v>6121.0</v>
      </c>
      <c r="G15" s="9">
        <v>39.33795934664583</v>
      </c>
      <c r="H15" s="9">
        <v>1.893289580133965</v>
      </c>
      <c r="I15" s="7" t="b">
        <v>1</v>
      </c>
      <c r="J15" s="9">
        <v>0.0</v>
      </c>
      <c r="K15" s="7" t="b">
        <v>0</v>
      </c>
      <c r="L15" s="9">
        <v>6199.0</v>
      </c>
      <c r="M15" s="9">
        <v>1.0127</v>
      </c>
      <c r="N15" s="2" t="s">
        <v>269</v>
      </c>
      <c r="O15" s="2" t="s">
        <v>270</v>
      </c>
      <c r="P15" s="9">
        <v>61.91</v>
      </c>
      <c r="Q15" s="9">
        <v>61.0</v>
      </c>
      <c r="R15" s="9">
        <v>0.157978</v>
      </c>
      <c r="S15" s="9">
        <v>0.9677</v>
      </c>
      <c r="T15" s="9">
        <v>0.9876</v>
      </c>
      <c r="U15" s="2" t="s">
        <v>274</v>
      </c>
      <c r="V15" s="9">
        <v>0.8774</v>
      </c>
      <c r="W15" s="9">
        <v>0.8777</v>
      </c>
      <c r="X15" s="2" t="s">
        <v>82</v>
      </c>
      <c r="Y15" s="2" t="s">
        <v>99</v>
      </c>
      <c r="Z15" s="2" t="s">
        <v>264</v>
      </c>
      <c r="AA15" s="9">
        <v>0.853</v>
      </c>
      <c r="AB15" s="9">
        <v>0.9677</v>
      </c>
    </row>
    <row r="16">
      <c r="A16" s="2" t="s">
        <v>278</v>
      </c>
      <c r="B16" s="2" t="s">
        <v>227</v>
      </c>
      <c r="C16" s="2"/>
      <c r="D16" s="2" t="s">
        <v>64</v>
      </c>
      <c r="E16" s="7" t="b">
        <v>1</v>
      </c>
      <c r="F16" s="9">
        <v>26338.0</v>
      </c>
      <c r="G16" s="9">
        <v>71.18733490727679</v>
      </c>
      <c r="H16" s="9">
        <v>5.520660323486976</v>
      </c>
      <c r="I16" s="7" t="b">
        <v>1</v>
      </c>
      <c r="J16" s="9">
        <v>0.0</v>
      </c>
      <c r="K16" s="7" t="b">
        <v>0</v>
      </c>
      <c r="L16" s="9">
        <v>25882.0</v>
      </c>
      <c r="M16" s="9">
        <v>0.9827</v>
      </c>
      <c r="N16" s="2" t="s">
        <v>280</v>
      </c>
      <c r="O16" s="2" t="s">
        <v>282</v>
      </c>
      <c r="P16" s="9">
        <v>62.56</v>
      </c>
      <c r="Q16" s="9">
        <v>62.0</v>
      </c>
      <c r="R16" s="9">
        <v>0.169108</v>
      </c>
      <c r="S16" s="9">
        <v>0.9924</v>
      </c>
      <c r="T16" s="9">
        <v>0.9903</v>
      </c>
      <c r="U16" s="2" t="s">
        <v>285</v>
      </c>
      <c r="V16" s="9">
        <v>0.8781</v>
      </c>
      <c r="W16" s="9">
        <v>0.88</v>
      </c>
      <c r="X16" s="2" t="s">
        <v>82</v>
      </c>
      <c r="Y16" s="2" t="s">
        <v>99</v>
      </c>
      <c r="Z16" s="2" t="s">
        <v>264</v>
      </c>
      <c r="AA16" s="9">
        <v>0.9518</v>
      </c>
      <c r="AB16" s="9">
        <v>0.9924</v>
      </c>
    </row>
    <row r="17">
      <c r="A17" s="2" t="s">
        <v>287</v>
      </c>
      <c r="B17" s="2" t="s">
        <v>227</v>
      </c>
      <c r="C17" s="2"/>
      <c r="D17" s="2" t="s">
        <v>64</v>
      </c>
      <c r="E17" s="7" t="b">
        <v>1</v>
      </c>
      <c r="F17" s="9">
        <v>113918.0</v>
      </c>
      <c r="G17" s="9">
        <v>208.1393518472543</v>
      </c>
      <c r="H17" s="9">
        <v>7.870177313506206</v>
      </c>
      <c r="I17" s="7" t="b">
        <v>1</v>
      </c>
      <c r="J17" s="9">
        <v>0.0</v>
      </c>
      <c r="K17" s="7" t="b">
        <v>0</v>
      </c>
      <c r="L17" s="9">
        <v>109725.0</v>
      </c>
      <c r="M17" s="9">
        <v>0.9632</v>
      </c>
      <c r="N17" s="2" t="s">
        <v>298</v>
      </c>
      <c r="O17" s="2" t="s">
        <v>299</v>
      </c>
      <c r="P17" s="9">
        <v>62.71</v>
      </c>
      <c r="Q17" s="9">
        <v>62.0</v>
      </c>
      <c r="R17" s="9">
        <v>0.171034</v>
      </c>
      <c r="S17" s="9">
        <v>0.9973</v>
      </c>
      <c r="T17" s="9">
        <v>0.9847</v>
      </c>
      <c r="U17" s="2" t="s">
        <v>285</v>
      </c>
      <c r="V17" s="9">
        <v>0.8762</v>
      </c>
      <c r="W17" s="9">
        <v>0.8806</v>
      </c>
      <c r="X17" s="2" t="s">
        <v>82</v>
      </c>
      <c r="Y17" s="2" t="s">
        <v>99</v>
      </c>
      <c r="Z17" s="2" t="s">
        <v>264</v>
      </c>
      <c r="AA17" s="9">
        <v>0.9886</v>
      </c>
      <c r="AB17" s="9">
        <v>0.9973</v>
      </c>
    </row>
    <row r="18">
      <c r="A18" s="2" t="s">
        <v>305</v>
      </c>
      <c r="B18" s="2" t="s">
        <v>306</v>
      </c>
      <c r="C18" s="2"/>
      <c r="D18" s="2" t="s">
        <v>64</v>
      </c>
      <c r="E18" s="7" t="b">
        <v>1</v>
      </c>
      <c r="F18" s="9">
        <v>69.0</v>
      </c>
      <c r="G18" s="9">
        <v>30.95614764221769</v>
      </c>
      <c r="H18" s="9">
        <v>0.0244257391304347</v>
      </c>
      <c r="I18" s="7" t="b">
        <v>1</v>
      </c>
      <c r="J18" s="9">
        <v>0.0</v>
      </c>
      <c r="K18" s="7" t="b">
        <v>0</v>
      </c>
      <c r="L18" s="9">
        <v>76.0</v>
      </c>
      <c r="M18" s="9">
        <v>1.1014</v>
      </c>
      <c r="N18" s="2" t="s">
        <v>309</v>
      </c>
      <c r="O18" s="2" t="s">
        <v>310</v>
      </c>
      <c r="P18" s="9">
        <v>64.78</v>
      </c>
      <c r="Q18" s="9">
        <v>62.0</v>
      </c>
      <c r="R18" s="9">
        <v>0.181818</v>
      </c>
      <c r="S18" s="9">
        <v>0.579</v>
      </c>
      <c r="T18" s="9">
        <v>1.0014</v>
      </c>
      <c r="U18" s="2" t="s">
        <v>315</v>
      </c>
      <c r="V18" s="9">
        <v>0.6811</v>
      </c>
      <c r="W18" s="9">
        <v>0.8855</v>
      </c>
      <c r="X18" s="2" t="s">
        <v>82</v>
      </c>
      <c r="Y18" s="2" t="s">
        <v>84</v>
      </c>
      <c r="Z18" s="2" t="s">
        <v>317</v>
      </c>
      <c r="AA18" s="9">
        <v>0.4427</v>
      </c>
      <c r="AB18" s="9">
        <v>0.579</v>
      </c>
    </row>
    <row r="19">
      <c r="A19" s="2" t="s">
        <v>319</v>
      </c>
      <c r="B19" s="2" t="s">
        <v>306</v>
      </c>
      <c r="C19" s="2"/>
      <c r="D19" s="2" t="s">
        <v>64</v>
      </c>
      <c r="E19" s="7" t="b">
        <v>1</v>
      </c>
      <c r="F19" s="9">
        <v>300.0</v>
      </c>
      <c r="G19" s="9">
        <v>30.07253611588189</v>
      </c>
      <c r="H19" s="9">
        <v>0.0978796399999999</v>
      </c>
      <c r="I19" s="7" t="b">
        <v>1</v>
      </c>
      <c r="J19" s="9">
        <v>0.0</v>
      </c>
      <c r="K19" s="7" t="b">
        <v>0</v>
      </c>
      <c r="L19" s="9">
        <v>319.0</v>
      </c>
      <c r="M19" s="9">
        <v>1.0633</v>
      </c>
      <c r="N19" s="2" t="s">
        <v>322</v>
      </c>
      <c r="O19" s="2" t="s">
        <v>326</v>
      </c>
      <c r="P19" s="9">
        <v>62.8</v>
      </c>
      <c r="Q19" s="9">
        <v>61.0</v>
      </c>
      <c r="R19" s="9">
        <v>0.183333</v>
      </c>
      <c r="S19" s="9">
        <v>0.7529</v>
      </c>
      <c r="T19" s="9">
        <v>0.9938</v>
      </c>
      <c r="U19" s="2" t="s">
        <v>329</v>
      </c>
      <c r="V19" s="9">
        <v>0.8919</v>
      </c>
      <c r="W19" s="9">
        <v>0.8862</v>
      </c>
      <c r="X19" s="2" t="s">
        <v>82</v>
      </c>
      <c r="Y19" s="2" t="s">
        <v>84</v>
      </c>
      <c r="Z19" s="2" t="s">
        <v>317</v>
      </c>
      <c r="AA19" s="9">
        <v>0.5872</v>
      </c>
      <c r="AB19" s="9">
        <v>0.7529</v>
      </c>
    </row>
    <row r="20">
      <c r="A20" s="2" t="s">
        <v>332</v>
      </c>
      <c r="B20" s="2" t="s">
        <v>306</v>
      </c>
      <c r="C20" s="2"/>
      <c r="D20" s="2" t="s">
        <v>64</v>
      </c>
      <c r="E20" s="7" t="b">
        <v>1</v>
      </c>
      <c r="F20" s="9">
        <v>1344.0</v>
      </c>
      <c r="G20" s="9">
        <v>29.11525849882556</v>
      </c>
      <c r="H20" s="9">
        <v>0.3726125</v>
      </c>
      <c r="I20" s="7" t="b">
        <v>1</v>
      </c>
      <c r="J20" s="9">
        <v>0.0</v>
      </c>
      <c r="K20" s="7" t="b">
        <v>0</v>
      </c>
      <c r="L20" s="9">
        <v>1401.0</v>
      </c>
      <c r="M20" s="9">
        <v>1.0424</v>
      </c>
      <c r="N20" s="2" t="s">
        <v>337</v>
      </c>
      <c r="O20" s="2" t="s">
        <v>339</v>
      </c>
      <c r="P20" s="9">
        <v>62.2</v>
      </c>
      <c r="Q20" s="9">
        <v>61.0</v>
      </c>
      <c r="R20" s="9">
        <v>0.162879</v>
      </c>
      <c r="S20" s="9">
        <v>0.9011</v>
      </c>
      <c r="T20" s="9">
        <v>0.9991</v>
      </c>
      <c r="U20" s="2" t="s">
        <v>340</v>
      </c>
      <c r="V20" s="9">
        <v>0.8827</v>
      </c>
      <c r="W20" s="9">
        <v>0.8851</v>
      </c>
      <c r="X20" s="2" t="s">
        <v>82</v>
      </c>
      <c r="Y20" s="2" t="s">
        <v>99</v>
      </c>
      <c r="Z20" s="2" t="s">
        <v>264</v>
      </c>
      <c r="AA20" s="9">
        <v>0.7345</v>
      </c>
      <c r="AB20" s="9">
        <v>0.9011</v>
      </c>
    </row>
    <row r="21">
      <c r="A21" s="2" t="s">
        <v>343</v>
      </c>
      <c r="B21" s="2" t="s">
        <v>306</v>
      </c>
      <c r="C21" s="2"/>
      <c r="D21" s="2" t="s">
        <v>64</v>
      </c>
      <c r="E21" s="7" t="b">
        <v>1</v>
      </c>
      <c r="F21" s="9">
        <v>5743.0</v>
      </c>
      <c r="G21" s="9">
        <v>35.9355215817134</v>
      </c>
      <c r="H21" s="9">
        <v>1.591212913111614</v>
      </c>
      <c r="I21" s="7" t="b">
        <v>1</v>
      </c>
      <c r="J21" s="9">
        <v>0.0</v>
      </c>
      <c r="K21" s="7" t="b">
        <v>0</v>
      </c>
      <c r="L21" s="9">
        <v>5968.0</v>
      </c>
      <c r="M21" s="9">
        <v>1.0392</v>
      </c>
      <c r="N21" s="2" t="s">
        <v>348</v>
      </c>
      <c r="O21" s="2" t="s">
        <v>350</v>
      </c>
      <c r="P21" s="9">
        <v>62.66</v>
      </c>
      <c r="Q21" s="9">
        <v>62.0</v>
      </c>
      <c r="R21" s="9">
        <v>0.178538</v>
      </c>
      <c r="S21" s="9">
        <v>0.9749</v>
      </c>
      <c r="T21" s="9">
        <v>1.0004</v>
      </c>
      <c r="U21" s="2" t="s">
        <v>352</v>
      </c>
      <c r="V21" s="9">
        <v>0.8777</v>
      </c>
      <c r="W21" s="9">
        <v>0.8826</v>
      </c>
      <c r="X21" s="2" t="s">
        <v>82</v>
      </c>
      <c r="Y21" s="2" t="s">
        <v>99</v>
      </c>
      <c r="Z21" s="2" t="s">
        <v>264</v>
      </c>
      <c r="AA21" s="9">
        <v>0.8652</v>
      </c>
      <c r="AB21" s="9">
        <v>0.9749</v>
      </c>
    </row>
    <row r="22">
      <c r="A22" s="2" t="s">
        <v>357</v>
      </c>
      <c r="B22" s="2" t="s">
        <v>306</v>
      </c>
      <c r="C22" s="2"/>
      <c r="D22" s="2" t="s">
        <v>64</v>
      </c>
      <c r="E22" s="7" t="b">
        <v>1</v>
      </c>
      <c r="F22" s="9">
        <v>24850.0</v>
      </c>
      <c r="G22" s="9">
        <v>62.80938502264112</v>
      </c>
      <c r="H22" s="9">
        <v>4.892699154929578</v>
      </c>
      <c r="I22" s="7" t="b">
        <v>1</v>
      </c>
      <c r="J22" s="9">
        <v>0.0</v>
      </c>
      <c r="K22" s="7" t="b">
        <v>0</v>
      </c>
      <c r="L22" s="9">
        <v>25687.0</v>
      </c>
      <c r="M22" s="9">
        <v>1.0337</v>
      </c>
      <c r="N22" s="2" t="s">
        <v>363</v>
      </c>
      <c r="O22" s="2" t="s">
        <v>365</v>
      </c>
      <c r="P22" s="9">
        <v>62.73</v>
      </c>
      <c r="Q22" s="9">
        <v>62.0</v>
      </c>
      <c r="R22" s="9">
        <v>0.181694</v>
      </c>
      <c r="S22" s="9">
        <v>0.9919</v>
      </c>
      <c r="T22" s="9">
        <v>0.9898</v>
      </c>
      <c r="U22" s="2" t="s">
        <v>352</v>
      </c>
      <c r="V22" s="9">
        <v>0.8766</v>
      </c>
      <c r="W22" s="9">
        <v>0.8835</v>
      </c>
      <c r="X22" s="2" t="s">
        <v>82</v>
      </c>
      <c r="Y22" s="2" t="s">
        <v>99</v>
      </c>
      <c r="Z22" s="2" t="s">
        <v>264</v>
      </c>
      <c r="AA22" s="9">
        <v>0.9575</v>
      </c>
      <c r="AB22" s="9">
        <v>0.9919</v>
      </c>
    </row>
    <row r="23">
      <c r="A23" s="2" t="s">
        <v>372</v>
      </c>
      <c r="B23" s="2" t="s">
        <v>306</v>
      </c>
      <c r="C23" s="2"/>
      <c r="D23" s="2" t="s">
        <v>64</v>
      </c>
      <c r="E23" s="7" t="b">
        <v>1</v>
      </c>
      <c r="F23" s="9">
        <v>107374.0</v>
      </c>
      <c r="G23" s="9">
        <v>122.6962079849258</v>
      </c>
      <c r="H23" s="9">
        <v>5.969088215024121</v>
      </c>
      <c r="I23" s="7" t="b">
        <v>1</v>
      </c>
      <c r="J23" s="9">
        <v>0.0</v>
      </c>
      <c r="K23" s="7" t="b">
        <v>0</v>
      </c>
      <c r="L23" s="9">
        <v>109585.0</v>
      </c>
      <c r="M23" s="9">
        <v>1.0206</v>
      </c>
      <c r="N23" s="2" t="s">
        <v>377</v>
      </c>
      <c r="O23" s="2" t="s">
        <v>378</v>
      </c>
      <c r="P23" s="9">
        <v>62.69</v>
      </c>
      <c r="Q23" s="9">
        <v>62.0</v>
      </c>
      <c r="R23" s="9">
        <v>0.181979</v>
      </c>
      <c r="S23" s="9">
        <v>0.9954</v>
      </c>
      <c r="T23" s="9">
        <v>0.9745</v>
      </c>
      <c r="U23" s="2" t="s">
        <v>381</v>
      </c>
      <c r="V23" s="9">
        <v>0.8777</v>
      </c>
      <c r="W23" s="9">
        <v>0.883</v>
      </c>
      <c r="X23" s="2" t="s">
        <v>82</v>
      </c>
      <c r="Y23" s="2" t="s">
        <v>99</v>
      </c>
      <c r="Z23" s="2" t="s">
        <v>264</v>
      </c>
      <c r="AA23" s="9">
        <v>0.9889</v>
      </c>
      <c r="AB23" s="9">
        <v>0.9954</v>
      </c>
    </row>
    <row r="24">
      <c r="A24" s="2" t="s">
        <v>394</v>
      </c>
      <c r="B24" s="2" t="s">
        <v>396</v>
      </c>
      <c r="C24" s="2"/>
      <c r="D24" s="2" t="s">
        <v>64</v>
      </c>
      <c r="E24" s="7" t="b">
        <v>1</v>
      </c>
      <c r="F24" s="9">
        <v>73.0</v>
      </c>
      <c r="G24" s="9">
        <v>25.03464516108161</v>
      </c>
      <c r="H24" s="9">
        <v>0.0102268931506849</v>
      </c>
      <c r="I24" s="7" t="b">
        <v>1</v>
      </c>
      <c r="J24" s="9">
        <v>0.0</v>
      </c>
      <c r="K24" s="7" t="b">
        <v>0</v>
      </c>
      <c r="L24" s="9">
        <v>72.0</v>
      </c>
      <c r="M24" s="9">
        <v>0.9863</v>
      </c>
      <c r="N24" s="2" t="s">
        <v>400</v>
      </c>
      <c r="O24" s="2" t="s">
        <v>402</v>
      </c>
      <c r="P24" s="9">
        <v>64.12</v>
      </c>
      <c r="Q24" s="9">
        <v>62.0</v>
      </c>
      <c r="R24" s="9">
        <v>0.214286</v>
      </c>
      <c r="S24" s="9">
        <v>0.5116</v>
      </c>
      <c r="T24" s="9">
        <v>1.0006</v>
      </c>
      <c r="U24" s="2" t="s">
        <v>405</v>
      </c>
      <c r="V24" s="9">
        <v>0.8864</v>
      </c>
      <c r="W24" s="9">
        <v>0.8852</v>
      </c>
      <c r="X24" s="2" t="s">
        <v>82</v>
      </c>
      <c r="Y24" s="2" t="s">
        <v>84</v>
      </c>
      <c r="Z24" s="2" t="s">
        <v>317</v>
      </c>
      <c r="AA24" s="9">
        <v>0.4015</v>
      </c>
      <c r="AB24" s="9">
        <v>0.5116</v>
      </c>
    </row>
    <row r="25">
      <c r="A25" s="2" t="s">
        <v>410</v>
      </c>
      <c r="B25" s="2" t="s">
        <v>396</v>
      </c>
      <c r="C25" s="2"/>
      <c r="D25" s="2" t="s">
        <v>64</v>
      </c>
      <c r="E25" s="7" t="b">
        <v>1</v>
      </c>
      <c r="F25" s="9">
        <v>307.0</v>
      </c>
      <c r="G25" s="9">
        <v>26.07507192692483</v>
      </c>
      <c r="H25" s="9">
        <v>0.0460507426710097</v>
      </c>
      <c r="I25" s="7" t="b">
        <v>1</v>
      </c>
      <c r="J25" s="9">
        <v>0.0</v>
      </c>
      <c r="K25" s="7" t="b">
        <v>0</v>
      </c>
      <c r="L25" s="9">
        <v>306.0</v>
      </c>
      <c r="M25" s="9">
        <v>0.9967</v>
      </c>
      <c r="N25" s="2" t="s">
        <v>414</v>
      </c>
      <c r="O25" s="2" t="s">
        <v>416</v>
      </c>
      <c r="P25" s="9">
        <v>62.65</v>
      </c>
      <c r="Q25" s="9">
        <v>61.0</v>
      </c>
      <c r="R25" s="9">
        <v>0.135593</v>
      </c>
      <c r="S25" s="9">
        <v>0.6817</v>
      </c>
      <c r="T25" s="9">
        <v>1.0023</v>
      </c>
      <c r="U25" s="2" t="s">
        <v>329</v>
      </c>
      <c r="V25" s="9">
        <v>0.8878</v>
      </c>
      <c r="W25" s="9">
        <v>0.8877</v>
      </c>
      <c r="X25" s="2" t="s">
        <v>82</v>
      </c>
      <c r="Y25" s="2" t="s">
        <v>84</v>
      </c>
      <c r="Z25" s="2" t="s">
        <v>317</v>
      </c>
      <c r="AA25" s="9">
        <v>0.5361</v>
      </c>
      <c r="AB25" s="9">
        <v>0.6817</v>
      </c>
    </row>
    <row r="26">
      <c r="A26" s="2" t="s">
        <v>422</v>
      </c>
      <c r="B26" s="2" t="s">
        <v>396</v>
      </c>
      <c r="C26" s="2"/>
      <c r="D26" s="2" t="s">
        <v>64</v>
      </c>
      <c r="E26" s="7" t="b">
        <v>1</v>
      </c>
      <c r="F26" s="9">
        <v>1315.0</v>
      </c>
      <c r="G26" s="9">
        <v>26.23363661474801</v>
      </c>
      <c r="H26" s="9">
        <v>0.1892459110266159</v>
      </c>
      <c r="I26" s="7" t="b">
        <v>1</v>
      </c>
      <c r="J26" s="9">
        <v>0.0</v>
      </c>
      <c r="K26" s="7" t="b">
        <v>0</v>
      </c>
      <c r="L26" s="9">
        <v>1336.0</v>
      </c>
      <c r="M26" s="9">
        <v>1.016</v>
      </c>
      <c r="N26" s="2" t="s">
        <v>431</v>
      </c>
      <c r="O26" s="2" t="s">
        <v>432</v>
      </c>
      <c r="P26" s="9">
        <v>62.34</v>
      </c>
      <c r="Q26" s="9">
        <v>61.0</v>
      </c>
      <c r="R26" s="9">
        <v>0.183594</v>
      </c>
      <c r="S26" s="9">
        <v>0.8399</v>
      </c>
      <c r="T26" s="9">
        <v>0.9992</v>
      </c>
      <c r="U26" s="2" t="s">
        <v>436</v>
      </c>
      <c r="V26" s="9">
        <v>0.8734</v>
      </c>
      <c r="W26" s="9">
        <v>0.8843</v>
      </c>
      <c r="X26" s="2" t="s">
        <v>82</v>
      </c>
      <c r="Y26" s="2" t="s">
        <v>99</v>
      </c>
      <c r="Z26" s="2" t="s">
        <v>264</v>
      </c>
      <c r="AA26" s="9">
        <v>0.6734</v>
      </c>
      <c r="AB26" s="9">
        <v>0.8399</v>
      </c>
    </row>
    <row r="27">
      <c r="A27" s="2" t="s">
        <v>442</v>
      </c>
      <c r="B27" s="2" t="s">
        <v>396</v>
      </c>
      <c r="C27" s="2"/>
      <c r="D27" s="2" t="s">
        <v>64</v>
      </c>
      <c r="E27" s="7" t="b">
        <v>1</v>
      </c>
      <c r="F27" s="9">
        <v>5658.0</v>
      </c>
      <c r="G27" s="9">
        <v>28.0574425226819</v>
      </c>
      <c r="H27" s="9">
        <v>0.7471857900318134</v>
      </c>
      <c r="I27" s="7" t="b">
        <v>1</v>
      </c>
      <c r="J27" s="9">
        <v>0.0</v>
      </c>
      <c r="K27" s="7" t="b">
        <v>0</v>
      </c>
      <c r="L27" s="9">
        <v>5828.0</v>
      </c>
      <c r="M27" s="9">
        <v>1.03</v>
      </c>
      <c r="N27" s="2" t="s">
        <v>448</v>
      </c>
      <c r="O27" s="2" t="s">
        <v>449</v>
      </c>
      <c r="P27" s="9">
        <v>62.71</v>
      </c>
      <c r="Q27" s="9">
        <v>62.0</v>
      </c>
      <c r="R27" s="9">
        <v>0.184372</v>
      </c>
      <c r="S27" s="9">
        <v>0.9485</v>
      </c>
      <c r="T27" s="9">
        <v>0.9971</v>
      </c>
      <c r="U27" s="2" t="s">
        <v>451</v>
      </c>
      <c r="V27" s="9">
        <v>0.8764</v>
      </c>
      <c r="W27" s="9">
        <v>0.8815</v>
      </c>
      <c r="X27" s="2" t="s">
        <v>82</v>
      </c>
      <c r="Y27" s="2" t="s">
        <v>99</v>
      </c>
      <c r="Z27" s="2" t="s">
        <v>264</v>
      </c>
      <c r="AA27" s="9">
        <v>0.8065</v>
      </c>
      <c r="AB27" s="9">
        <v>0.9485</v>
      </c>
    </row>
    <row r="28">
      <c r="A28" s="2" t="s">
        <v>456</v>
      </c>
      <c r="B28" s="2" t="s">
        <v>396</v>
      </c>
      <c r="C28" s="2"/>
      <c r="D28" s="2" t="s">
        <v>64</v>
      </c>
      <c r="E28" s="7" t="b">
        <v>1</v>
      </c>
      <c r="F28" s="9">
        <v>24696.0</v>
      </c>
      <c r="G28" s="9">
        <v>40.43828181479257</v>
      </c>
      <c r="H28" s="9">
        <v>2.796501093294461</v>
      </c>
      <c r="I28" s="7" t="b">
        <v>1</v>
      </c>
      <c r="J28" s="9">
        <v>0.0</v>
      </c>
      <c r="K28" s="7" t="b">
        <v>0</v>
      </c>
      <c r="L28" s="9">
        <v>24914.0</v>
      </c>
      <c r="M28" s="9">
        <v>1.0088</v>
      </c>
      <c r="N28" s="2" t="s">
        <v>461</v>
      </c>
      <c r="O28" s="2" t="s">
        <v>462</v>
      </c>
      <c r="P28" s="9">
        <v>62.67</v>
      </c>
      <c r="Q28" s="9">
        <v>62.0</v>
      </c>
      <c r="R28" s="9">
        <v>0.170406</v>
      </c>
      <c r="S28" s="9">
        <v>0.9852</v>
      </c>
      <c r="T28" s="9">
        <v>0.9914</v>
      </c>
      <c r="U28" s="2" t="s">
        <v>465</v>
      </c>
      <c r="V28" s="9">
        <v>0.8772</v>
      </c>
      <c r="W28" s="9">
        <v>0.8813</v>
      </c>
      <c r="X28" s="2" t="s">
        <v>82</v>
      </c>
      <c r="Y28" s="2" t="s">
        <v>99</v>
      </c>
      <c r="Z28" s="2" t="s">
        <v>264</v>
      </c>
      <c r="AA28" s="9">
        <v>0.9173</v>
      </c>
      <c r="AB28" s="9">
        <v>0.9852</v>
      </c>
    </row>
    <row r="29">
      <c r="A29" s="2" t="s">
        <v>469</v>
      </c>
      <c r="B29" s="2" t="s">
        <v>396</v>
      </c>
      <c r="C29" s="2"/>
      <c r="D29" s="2" t="s">
        <v>64</v>
      </c>
      <c r="E29" s="7" t="b">
        <v>1</v>
      </c>
      <c r="F29" s="9">
        <v>105737.0</v>
      </c>
      <c r="G29" s="9">
        <v>98.65959633418932</v>
      </c>
      <c r="H29" s="9">
        <v>6.18912376935226</v>
      </c>
      <c r="I29" s="7" t="b">
        <v>1</v>
      </c>
      <c r="J29" s="9">
        <v>0.0</v>
      </c>
      <c r="K29" s="7" t="b">
        <v>0</v>
      </c>
      <c r="L29" s="9">
        <v>106921.0</v>
      </c>
      <c r="M29" s="9">
        <v>1.0112</v>
      </c>
      <c r="N29" s="2" t="s">
        <v>476</v>
      </c>
      <c r="O29" s="2" t="s">
        <v>477</v>
      </c>
      <c r="P29" s="9">
        <v>62.67</v>
      </c>
      <c r="Q29" s="9">
        <v>62.0</v>
      </c>
      <c r="R29" s="9">
        <v>0.177161</v>
      </c>
      <c r="S29" s="9">
        <v>0.9929</v>
      </c>
      <c r="T29" s="9">
        <v>0.9728</v>
      </c>
      <c r="U29" s="2" t="s">
        <v>465</v>
      </c>
      <c r="V29" s="9">
        <v>0.8781</v>
      </c>
      <c r="W29" s="9">
        <v>0.8821</v>
      </c>
      <c r="X29" s="2" t="s">
        <v>82</v>
      </c>
      <c r="Y29" s="2" t="s">
        <v>99</v>
      </c>
      <c r="Z29" s="2" t="s">
        <v>264</v>
      </c>
      <c r="AA29" s="9">
        <v>0.9767</v>
      </c>
      <c r="AB29" s="9">
        <v>0.9929</v>
      </c>
    </row>
    <row r="30">
      <c r="A30" s="2" t="s">
        <v>469</v>
      </c>
      <c r="B30" s="2" t="s">
        <v>484</v>
      </c>
      <c r="C30" s="2"/>
      <c r="D30" s="2" t="s">
        <v>64</v>
      </c>
      <c r="E30" s="7" t="b">
        <v>1</v>
      </c>
      <c r="F30" s="9">
        <v>188.0</v>
      </c>
      <c r="G30" s="9">
        <v>7.435096152620511</v>
      </c>
      <c r="H30" s="9">
        <v>0.0031483962765957</v>
      </c>
      <c r="I30" s="7" t="b">
        <v>1</v>
      </c>
      <c r="J30" s="9">
        <v>0.0</v>
      </c>
      <c r="K30" s="7" t="b">
        <v>0</v>
      </c>
      <c r="L30" s="9">
        <v>8326.0</v>
      </c>
      <c r="M30" s="9">
        <v>44.2872</v>
      </c>
      <c r="N30" s="2" t="s">
        <v>490</v>
      </c>
      <c r="O30" s="2" t="s">
        <v>491</v>
      </c>
      <c r="P30" s="9">
        <v>56.05</v>
      </c>
      <c r="Q30" s="9">
        <v>53.0</v>
      </c>
      <c r="R30" s="9">
        <v>0.088418</v>
      </c>
      <c r="S30" s="9">
        <v>0.9064</v>
      </c>
      <c r="T30" s="9">
        <v>0.7626</v>
      </c>
      <c r="U30" s="2" t="s">
        <v>494</v>
      </c>
      <c r="V30" s="9">
        <v>0.8494</v>
      </c>
      <c r="W30" s="9">
        <v>0.182</v>
      </c>
      <c r="X30" s="2" t="s">
        <v>134</v>
      </c>
      <c r="Y30" s="2" t="s">
        <v>495</v>
      </c>
      <c r="Z30" s="2" t="s">
        <v>497</v>
      </c>
      <c r="AA30" s="9">
        <v>0.7952</v>
      </c>
      <c r="AB30" s="9">
        <v>0.9064</v>
      </c>
    </row>
    <row r="31">
      <c r="A31" s="2" t="s">
        <v>499</v>
      </c>
      <c r="B31" s="2" t="s">
        <v>501</v>
      </c>
      <c r="C31" s="2"/>
      <c r="D31" s="2" t="s">
        <v>64</v>
      </c>
      <c r="E31" s="7" t="b">
        <v>1</v>
      </c>
      <c r="F31" s="9">
        <v>94.0</v>
      </c>
      <c r="G31" s="9">
        <v>9.185838483405744</v>
      </c>
      <c r="H31" s="9">
        <v>0.0010557978723404</v>
      </c>
      <c r="I31" s="7" t="b">
        <v>1</v>
      </c>
      <c r="J31" s="9">
        <v>0.0</v>
      </c>
      <c r="K31" s="7" t="b">
        <v>0</v>
      </c>
      <c r="L31" s="9">
        <v>504.0</v>
      </c>
      <c r="M31" s="9">
        <v>5.3617</v>
      </c>
      <c r="N31" s="2" t="s">
        <v>509</v>
      </c>
      <c r="O31" s="2" t="s">
        <v>511</v>
      </c>
      <c r="P31" s="9">
        <v>42.89</v>
      </c>
      <c r="Q31" s="9">
        <v>38.0</v>
      </c>
      <c r="R31" s="9">
        <v>0.011834</v>
      </c>
      <c r="S31" s="9">
        <v>0.5113</v>
      </c>
      <c r="T31" s="9">
        <v>0.5517</v>
      </c>
      <c r="U31" s="2" t="s">
        <v>515</v>
      </c>
      <c r="V31" s="9">
        <v>0.875</v>
      </c>
      <c r="W31" s="9">
        <v>0.1957</v>
      </c>
      <c r="X31" s="2"/>
      <c r="Y31" s="2" t="s">
        <v>517</v>
      </c>
      <c r="Z31" s="2" t="s">
        <v>521</v>
      </c>
      <c r="AA31" s="9">
        <v>0.4676</v>
      </c>
      <c r="AB31" s="9">
        <v>0.5113</v>
      </c>
    </row>
    <row r="32">
      <c r="A32" s="2" t="s">
        <v>524</v>
      </c>
      <c r="B32" s="2" t="s">
        <v>501</v>
      </c>
      <c r="C32" s="2"/>
      <c r="D32" s="2" t="s">
        <v>64</v>
      </c>
      <c r="E32" s="7" t="b">
        <v>1</v>
      </c>
      <c r="F32" s="9">
        <v>165.0</v>
      </c>
      <c r="G32" s="9">
        <v>15.34560077482277</v>
      </c>
      <c r="H32" s="9">
        <v>0.0051601842424242</v>
      </c>
      <c r="I32" s="7" t="b">
        <v>1</v>
      </c>
      <c r="J32" s="9">
        <v>0.0</v>
      </c>
      <c r="K32" s="7" t="b">
        <v>0</v>
      </c>
      <c r="L32" s="9">
        <v>571.0</v>
      </c>
      <c r="M32" s="9">
        <v>3.4606</v>
      </c>
      <c r="N32" s="2" t="s">
        <v>530</v>
      </c>
      <c r="O32" s="2" t="s">
        <v>532</v>
      </c>
      <c r="P32" s="9">
        <v>44.94</v>
      </c>
      <c r="Q32" s="9">
        <v>39.0</v>
      </c>
      <c r="R32" s="9">
        <v>0.011173</v>
      </c>
      <c r="S32" s="9">
        <v>0.5421</v>
      </c>
      <c r="T32" s="9">
        <v>0.6168</v>
      </c>
      <c r="U32" s="2" t="s">
        <v>537</v>
      </c>
      <c r="V32" s="9">
        <v>0.875</v>
      </c>
      <c r="W32" s="9">
        <v>0.2165</v>
      </c>
      <c r="X32" s="2"/>
      <c r="Y32" s="2" t="s">
        <v>517</v>
      </c>
      <c r="Z32" s="2" t="s">
        <v>521</v>
      </c>
      <c r="AA32" s="9">
        <v>0.4902</v>
      </c>
      <c r="AB32" s="9">
        <v>0.5421</v>
      </c>
    </row>
    <row r="33">
      <c r="A33" s="2" t="s">
        <v>541</v>
      </c>
      <c r="B33" s="2" t="s">
        <v>501</v>
      </c>
      <c r="C33" s="2"/>
      <c r="D33" s="2" t="s">
        <v>64</v>
      </c>
      <c r="E33" s="7" t="b">
        <v>1</v>
      </c>
      <c r="F33" s="9">
        <v>464.0</v>
      </c>
      <c r="G33" s="9">
        <v>22.90383837458981</v>
      </c>
      <c r="H33" s="9">
        <v>0.0320122823275862</v>
      </c>
      <c r="I33" s="7" t="b">
        <v>1</v>
      </c>
      <c r="J33" s="9">
        <v>0.0</v>
      </c>
      <c r="K33" s="7" t="b">
        <v>0</v>
      </c>
      <c r="L33" s="9">
        <v>884.0</v>
      </c>
      <c r="M33" s="9">
        <v>1.9052</v>
      </c>
      <c r="N33" s="2" t="s">
        <v>548</v>
      </c>
      <c r="O33" s="2" t="s">
        <v>550</v>
      </c>
      <c r="P33" s="9">
        <v>50.9</v>
      </c>
      <c r="Q33" s="9">
        <v>45.0</v>
      </c>
      <c r="R33" s="9">
        <v>0.040441</v>
      </c>
      <c r="S33" s="9">
        <v>0.5992</v>
      </c>
      <c r="T33" s="9">
        <v>0.7215</v>
      </c>
      <c r="U33" s="2" t="s">
        <v>553</v>
      </c>
      <c r="V33" s="9">
        <v>0.8712</v>
      </c>
      <c r="W33" s="9">
        <v>0.282</v>
      </c>
      <c r="X33" s="2"/>
      <c r="Y33" s="2" t="s">
        <v>517</v>
      </c>
      <c r="Z33" s="2" t="s">
        <v>521</v>
      </c>
      <c r="AA33" s="9">
        <v>0.5525</v>
      </c>
      <c r="AB33" s="9">
        <v>0.5992</v>
      </c>
    </row>
    <row r="34">
      <c r="A34" s="2" t="s">
        <v>560</v>
      </c>
      <c r="B34" s="2" t="s">
        <v>501</v>
      </c>
      <c r="C34" s="2"/>
      <c r="D34" s="2" t="s">
        <v>64</v>
      </c>
      <c r="E34" s="7" t="b">
        <v>1</v>
      </c>
      <c r="F34" s="9">
        <v>1838.0</v>
      </c>
      <c r="G34" s="9">
        <v>20.5505936967861</v>
      </c>
      <c r="H34" s="9">
        <v>0.0987279026115342</v>
      </c>
      <c r="I34" s="7" t="b">
        <v>1</v>
      </c>
      <c r="J34" s="9">
        <v>0.0</v>
      </c>
      <c r="K34" s="7" t="b">
        <v>0</v>
      </c>
      <c r="L34" s="9">
        <v>2212.0</v>
      </c>
      <c r="M34" s="9">
        <v>1.2035</v>
      </c>
      <c r="N34" s="2" t="s">
        <v>567</v>
      </c>
      <c r="O34" s="2" t="s">
        <v>569</v>
      </c>
      <c r="P34" s="9">
        <v>56.2</v>
      </c>
      <c r="Q34" s="9">
        <v>54.0</v>
      </c>
      <c r="R34" s="9">
        <v>0.114659</v>
      </c>
      <c r="S34" s="9">
        <v>0.6308</v>
      </c>
      <c r="T34" s="9">
        <v>0.6411</v>
      </c>
      <c r="U34" s="2" t="s">
        <v>572</v>
      </c>
      <c r="V34" s="9">
        <v>0.8706</v>
      </c>
      <c r="W34" s="9">
        <v>0.7714</v>
      </c>
      <c r="X34" s="2"/>
      <c r="Y34" s="2" t="s">
        <v>495</v>
      </c>
      <c r="Z34" s="2" t="s">
        <v>578</v>
      </c>
      <c r="AA34" s="9">
        <v>0.6301</v>
      </c>
      <c r="AB34" s="9">
        <v>0.6308</v>
      </c>
    </row>
    <row r="35">
      <c r="A35" s="2" t="s">
        <v>580</v>
      </c>
      <c r="B35" s="2" t="s">
        <v>163</v>
      </c>
      <c r="C35" s="2"/>
      <c r="D35" s="2" t="s">
        <v>64</v>
      </c>
      <c r="E35" s="7" t="b">
        <v>1</v>
      </c>
      <c r="F35" s="9">
        <v>41.0</v>
      </c>
      <c r="G35" s="9">
        <v>20.33353257423689</v>
      </c>
      <c r="H35" s="9">
        <v>0.234180487804878</v>
      </c>
      <c r="I35" s="7" t="b">
        <v>1</v>
      </c>
      <c r="J35" s="9">
        <v>0.0</v>
      </c>
      <c r="K35" s="7" t="b">
        <v>0</v>
      </c>
      <c r="L35" s="9">
        <v>79.0</v>
      </c>
      <c r="M35" s="9">
        <v>1.9268</v>
      </c>
      <c r="N35" s="2" t="s">
        <v>586</v>
      </c>
      <c r="O35" s="2" t="s">
        <v>587</v>
      </c>
      <c r="P35" s="9">
        <v>64.27</v>
      </c>
      <c r="Q35" s="9">
        <v>62.0</v>
      </c>
      <c r="R35" s="9">
        <v>0.066667</v>
      </c>
      <c r="S35" s="9">
        <v>0.8204</v>
      </c>
      <c r="T35" s="9">
        <v>1.0108</v>
      </c>
      <c r="U35" s="2" t="s">
        <v>329</v>
      </c>
      <c r="V35" s="9">
        <v>0.0</v>
      </c>
      <c r="W35" s="9">
        <v>0.887</v>
      </c>
      <c r="X35" s="2" t="s">
        <v>82</v>
      </c>
      <c r="Y35" s="2" t="s">
        <v>84</v>
      </c>
      <c r="Z35" s="2" t="s">
        <v>592</v>
      </c>
      <c r="AA35" s="9">
        <v>0.5927</v>
      </c>
      <c r="AB35" s="9">
        <v>0.8204</v>
      </c>
    </row>
    <row r="36">
      <c r="A36" s="2" t="s">
        <v>580</v>
      </c>
      <c r="B36" s="2" t="s">
        <v>170</v>
      </c>
      <c r="C36" s="2"/>
      <c r="D36" s="2" t="s">
        <v>64</v>
      </c>
      <c r="E36" s="7" t="b">
        <v>1</v>
      </c>
      <c r="F36" s="9">
        <v>1.0</v>
      </c>
      <c r="G36" s="9">
        <v>21.02364639395228</v>
      </c>
      <c r="H36" s="9">
        <v>0.0050043</v>
      </c>
      <c r="I36" s="7" t="b">
        <v>1</v>
      </c>
      <c r="J36" s="9">
        <v>0.0</v>
      </c>
      <c r="K36" s="7" t="b">
        <v>0</v>
      </c>
      <c r="L36" s="9">
        <v>44.0</v>
      </c>
      <c r="M36" s="9">
        <v>44.0</v>
      </c>
      <c r="N36" s="2" t="s">
        <v>599</v>
      </c>
      <c r="O36" s="2" t="s">
        <v>601</v>
      </c>
      <c r="P36" s="9">
        <v>63.32</v>
      </c>
      <c r="Q36" s="9">
        <v>62.0</v>
      </c>
      <c r="R36" s="9">
        <v>0.0</v>
      </c>
      <c r="S36" s="9">
        <v>0.7088</v>
      </c>
      <c r="T36" s="9">
        <v>0.9981</v>
      </c>
      <c r="U36" s="2" t="s">
        <v>603</v>
      </c>
      <c r="V36" s="9">
        <v>0.0</v>
      </c>
      <c r="W36" s="9">
        <v>0.1831</v>
      </c>
      <c r="X36" s="2" t="s">
        <v>157</v>
      </c>
      <c r="Y36" s="2" t="s">
        <v>517</v>
      </c>
      <c r="Z36" s="2" t="s">
        <v>608</v>
      </c>
      <c r="AA36" s="9">
        <v>0.5176</v>
      </c>
      <c r="AB36" s="9">
        <v>0.7088</v>
      </c>
    </row>
    <row r="37">
      <c r="A37" s="2" t="s">
        <v>612</v>
      </c>
      <c r="B37" s="2" t="s">
        <v>163</v>
      </c>
      <c r="C37" s="2"/>
      <c r="D37" s="2" t="s">
        <v>64</v>
      </c>
      <c r="E37" s="7" t="b">
        <v>1</v>
      </c>
      <c r="F37" s="9">
        <v>171.0</v>
      </c>
      <c r="G37" s="9">
        <v>22.63189648421381</v>
      </c>
      <c r="H37" s="9">
        <v>0.8641794736842107</v>
      </c>
      <c r="I37" s="7" t="b">
        <v>1</v>
      </c>
      <c r="J37" s="9">
        <v>0.0</v>
      </c>
      <c r="K37" s="7" t="b">
        <v>0</v>
      </c>
      <c r="L37" s="9">
        <v>332.0</v>
      </c>
      <c r="M37" s="9">
        <v>1.9415</v>
      </c>
      <c r="N37" s="2" t="s">
        <v>617</v>
      </c>
      <c r="O37" s="2" t="s">
        <v>618</v>
      </c>
      <c r="P37" s="9">
        <v>62.45</v>
      </c>
      <c r="Q37" s="9">
        <v>61.0</v>
      </c>
      <c r="R37" s="9">
        <v>0.157895</v>
      </c>
      <c r="S37" s="9">
        <v>0.9382</v>
      </c>
      <c r="T37" s="9">
        <v>0.9944</v>
      </c>
      <c r="U37" s="2" t="s">
        <v>620</v>
      </c>
      <c r="V37" s="9">
        <v>0.895</v>
      </c>
      <c r="W37" s="9">
        <v>0.8876</v>
      </c>
      <c r="X37" s="2" t="s">
        <v>82</v>
      </c>
      <c r="Y37" s="2" t="s">
        <v>99</v>
      </c>
      <c r="Z37" s="2" t="s">
        <v>626</v>
      </c>
      <c r="AA37" s="9">
        <v>0.7714</v>
      </c>
      <c r="AB37" s="9">
        <v>0.9382</v>
      </c>
    </row>
    <row r="38">
      <c r="A38" s="2" t="s">
        <v>612</v>
      </c>
      <c r="B38" s="2" t="s">
        <v>170</v>
      </c>
      <c r="C38" s="2"/>
      <c r="D38" s="2" t="s">
        <v>64</v>
      </c>
      <c r="E38" s="7" t="b">
        <v>1</v>
      </c>
      <c r="F38" s="9">
        <v>2.0</v>
      </c>
      <c r="G38" s="9">
        <v>8.507746868282142</v>
      </c>
      <c r="H38" s="9">
        <v>0.00163965</v>
      </c>
      <c r="I38" s="7" t="b">
        <v>1</v>
      </c>
      <c r="J38" s="9">
        <v>0.0</v>
      </c>
      <c r="K38" s="7" t="b">
        <v>0</v>
      </c>
      <c r="L38" s="9">
        <v>200.0</v>
      </c>
      <c r="M38" s="9">
        <v>100.0</v>
      </c>
      <c r="N38" s="2" t="s">
        <v>633</v>
      </c>
      <c r="O38" s="2" t="s">
        <v>636</v>
      </c>
      <c r="P38" s="9">
        <v>61.5</v>
      </c>
      <c r="Q38" s="9">
        <v>60.5</v>
      </c>
      <c r="R38" s="9">
        <v>0.227273</v>
      </c>
      <c r="S38" s="9">
        <v>0.8984</v>
      </c>
      <c r="T38" s="9">
        <v>0.9797</v>
      </c>
      <c r="U38" s="2" t="s">
        <v>640</v>
      </c>
      <c r="V38" s="9">
        <v>0.87</v>
      </c>
      <c r="W38" s="9">
        <v>0.2089</v>
      </c>
      <c r="X38" s="2" t="s">
        <v>134</v>
      </c>
      <c r="Y38" s="2" t="s">
        <v>237</v>
      </c>
      <c r="Z38" s="2" t="s">
        <v>643</v>
      </c>
      <c r="AA38" s="9">
        <v>0.7086</v>
      </c>
      <c r="AB38" s="9">
        <v>0.8984</v>
      </c>
    </row>
    <row r="39">
      <c r="A39" s="2" t="s">
        <v>612</v>
      </c>
      <c r="B39" s="2" t="s">
        <v>176</v>
      </c>
      <c r="C39" s="2"/>
      <c r="D39" s="2" t="s">
        <v>64</v>
      </c>
      <c r="E39" s="7" t="b">
        <v>1</v>
      </c>
      <c r="F39" s="9">
        <v>3.0</v>
      </c>
      <c r="G39" s="9">
        <v>11.36002417612109</v>
      </c>
      <c r="H39" s="9">
        <v>0.0056451333333333</v>
      </c>
      <c r="I39" s="7" t="b">
        <v>1</v>
      </c>
      <c r="J39" s="9">
        <v>0.0</v>
      </c>
      <c r="K39" s="7" t="b">
        <v>0</v>
      </c>
      <c r="L39" s="9">
        <v>220.0</v>
      </c>
      <c r="M39" s="9">
        <v>73.3333</v>
      </c>
      <c r="N39" s="2" t="s">
        <v>651</v>
      </c>
      <c r="O39" s="2" t="s">
        <v>654</v>
      </c>
      <c r="P39" s="9">
        <v>62.56</v>
      </c>
      <c r="Q39" s="9">
        <v>61.0</v>
      </c>
      <c r="R39" s="9">
        <v>0.206897</v>
      </c>
      <c r="S39" s="9">
        <v>0.9126</v>
      </c>
      <c r="T39" s="9">
        <v>0.9873</v>
      </c>
      <c r="U39" s="2" t="s">
        <v>553</v>
      </c>
      <c r="V39" s="9">
        <v>0.832</v>
      </c>
      <c r="W39" s="9">
        <v>0.2637</v>
      </c>
      <c r="X39" s="2" t="s">
        <v>157</v>
      </c>
      <c r="Y39" s="2" t="s">
        <v>237</v>
      </c>
      <c r="Z39" s="2" t="s">
        <v>643</v>
      </c>
      <c r="AA39" s="9">
        <v>0.7198</v>
      </c>
      <c r="AB39" s="9">
        <v>0.9126</v>
      </c>
    </row>
    <row r="40">
      <c r="A40" s="2" t="s">
        <v>662</v>
      </c>
      <c r="B40" s="2" t="s">
        <v>163</v>
      </c>
      <c r="C40" s="2"/>
      <c r="D40" s="2" t="s">
        <v>64</v>
      </c>
      <c r="E40" s="7" t="b">
        <v>1</v>
      </c>
      <c r="F40" s="9">
        <v>734.0</v>
      </c>
      <c r="G40" s="9">
        <v>37.15288316055671</v>
      </c>
      <c r="H40" s="9">
        <v>2.859118801089918</v>
      </c>
      <c r="I40" s="7" t="b">
        <v>1</v>
      </c>
      <c r="J40" s="9">
        <v>0.0</v>
      </c>
      <c r="K40" s="7" t="b">
        <v>0</v>
      </c>
      <c r="L40" s="9">
        <v>1417.0</v>
      </c>
      <c r="M40" s="9">
        <v>1.9305</v>
      </c>
      <c r="N40" s="2" t="s">
        <v>670</v>
      </c>
      <c r="O40" s="2" t="s">
        <v>671</v>
      </c>
      <c r="P40" s="9">
        <v>61.94</v>
      </c>
      <c r="Q40" s="9">
        <v>61.0</v>
      </c>
      <c r="R40" s="9">
        <v>0.14881</v>
      </c>
      <c r="S40" s="9">
        <v>0.9824</v>
      </c>
      <c r="T40" s="9">
        <v>0.9944</v>
      </c>
      <c r="U40" s="2" t="s">
        <v>329</v>
      </c>
      <c r="V40" s="9">
        <v>0.8828</v>
      </c>
      <c r="W40" s="9">
        <v>0.8866</v>
      </c>
      <c r="X40" s="2" t="s">
        <v>82</v>
      </c>
      <c r="Y40" s="2" t="s">
        <v>99</v>
      </c>
      <c r="Z40" s="2" t="s">
        <v>626</v>
      </c>
      <c r="AA40" s="9">
        <v>0.9157</v>
      </c>
      <c r="AB40" s="9">
        <v>0.9824</v>
      </c>
    </row>
    <row r="41">
      <c r="A41" s="2" t="s">
        <v>662</v>
      </c>
      <c r="B41" s="2" t="s">
        <v>170</v>
      </c>
      <c r="C41" s="2"/>
      <c r="D41" s="2" t="s">
        <v>64</v>
      </c>
      <c r="E41" s="7" t="b">
        <v>1</v>
      </c>
      <c r="F41" s="9">
        <v>34.0</v>
      </c>
      <c r="G41" s="9">
        <v>6.457023713898224</v>
      </c>
      <c r="H41" s="9">
        <v>0.0157197352941176</v>
      </c>
      <c r="I41" s="7" t="b">
        <v>1</v>
      </c>
      <c r="J41" s="9">
        <v>0.0</v>
      </c>
      <c r="K41" s="7" t="b">
        <v>0</v>
      </c>
      <c r="L41" s="9">
        <v>805.0</v>
      </c>
      <c r="M41" s="9">
        <v>23.6765</v>
      </c>
      <c r="N41" s="2" t="s">
        <v>683</v>
      </c>
      <c r="O41" s="2" t="s">
        <v>685</v>
      </c>
      <c r="P41" s="9">
        <v>61.81</v>
      </c>
      <c r="Q41" s="9">
        <v>62.0</v>
      </c>
      <c r="R41" s="9">
        <v>0.078652</v>
      </c>
      <c r="S41" s="9">
        <v>0.9645</v>
      </c>
      <c r="T41" s="9">
        <v>0.9336</v>
      </c>
      <c r="U41" s="2" t="s">
        <v>688</v>
      </c>
      <c r="V41" s="9">
        <v>0.6501</v>
      </c>
      <c r="W41" s="9">
        <v>0.2408</v>
      </c>
      <c r="X41" s="2" t="s">
        <v>157</v>
      </c>
      <c r="Y41" s="2" t="s">
        <v>237</v>
      </c>
      <c r="Z41" s="2" t="s">
        <v>643</v>
      </c>
      <c r="AA41" s="9">
        <v>0.8566</v>
      </c>
      <c r="AB41" s="9">
        <v>0.9645</v>
      </c>
    </row>
    <row r="42">
      <c r="A42" s="2" t="s">
        <v>662</v>
      </c>
      <c r="B42" s="2" t="s">
        <v>176</v>
      </c>
      <c r="C42" s="2"/>
      <c r="D42" s="2" t="s">
        <v>64</v>
      </c>
      <c r="E42" s="7" t="b">
        <v>1</v>
      </c>
      <c r="F42" s="9">
        <v>24.0</v>
      </c>
      <c r="G42" s="9">
        <v>7.807619560098605</v>
      </c>
      <c r="H42" s="9">
        <v>0.0208895833333333</v>
      </c>
      <c r="I42" s="7" t="b">
        <v>1</v>
      </c>
      <c r="J42" s="9">
        <v>0.0</v>
      </c>
      <c r="K42" s="7" t="b">
        <v>0</v>
      </c>
      <c r="L42" s="9">
        <v>890.0</v>
      </c>
      <c r="M42" s="9">
        <v>37.0833</v>
      </c>
      <c r="N42" s="2" t="s">
        <v>699</v>
      </c>
      <c r="O42" s="2" t="s">
        <v>701</v>
      </c>
      <c r="P42" s="9">
        <v>62.17</v>
      </c>
      <c r="Q42" s="9">
        <v>61.0</v>
      </c>
      <c r="R42" s="9">
        <v>0.085714</v>
      </c>
      <c r="S42" s="9">
        <v>0.9653</v>
      </c>
      <c r="T42" s="9">
        <v>0.9644</v>
      </c>
      <c r="U42" s="2" t="s">
        <v>704</v>
      </c>
      <c r="V42" s="9">
        <v>0.8245</v>
      </c>
      <c r="W42" s="9">
        <v>0.6907</v>
      </c>
      <c r="X42" s="2" t="s">
        <v>134</v>
      </c>
      <c r="Y42" s="2" t="s">
        <v>84</v>
      </c>
      <c r="Z42" s="2" t="s">
        <v>708</v>
      </c>
      <c r="AA42" s="9">
        <v>0.8693</v>
      </c>
      <c r="AB42" s="9">
        <v>0.9653</v>
      </c>
    </row>
    <row r="43">
      <c r="A43" s="2" t="s">
        <v>713</v>
      </c>
      <c r="B43" s="2" t="s">
        <v>163</v>
      </c>
      <c r="C43" s="2"/>
      <c r="D43" s="2" t="s">
        <v>64</v>
      </c>
      <c r="E43" s="7" t="b">
        <v>1</v>
      </c>
      <c r="F43" s="9">
        <v>3160.0</v>
      </c>
      <c r="G43" s="9">
        <v>110.1205228672109</v>
      </c>
      <c r="H43" s="9">
        <v>5.155467215189874</v>
      </c>
      <c r="I43" s="7" t="b">
        <v>1</v>
      </c>
      <c r="J43" s="9">
        <v>0.0</v>
      </c>
      <c r="K43" s="7" t="b">
        <v>0</v>
      </c>
      <c r="L43" s="9">
        <v>6056.0</v>
      </c>
      <c r="M43" s="9">
        <v>1.9165</v>
      </c>
      <c r="N43" s="2" t="s">
        <v>718</v>
      </c>
      <c r="O43" s="2" t="s">
        <v>720</v>
      </c>
      <c r="P43" s="9">
        <v>62.51</v>
      </c>
      <c r="Q43" s="9">
        <v>61.0</v>
      </c>
      <c r="R43" s="9">
        <v>0.175623</v>
      </c>
      <c r="S43" s="9">
        <v>0.9919</v>
      </c>
      <c r="T43" s="9">
        <v>0.9736</v>
      </c>
      <c r="U43" s="2" t="s">
        <v>722</v>
      </c>
      <c r="V43" s="9">
        <v>0.8838</v>
      </c>
      <c r="W43" s="9">
        <v>0.8872</v>
      </c>
      <c r="X43" s="2" t="s">
        <v>82</v>
      </c>
      <c r="Y43" s="2" t="s">
        <v>99</v>
      </c>
      <c r="Z43" s="2" t="s">
        <v>626</v>
      </c>
      <c r="AA43" s="9">
        <v>0.9783</v>
      </c>
      <c r="AB43" s="9">
        <v>0.9919</v>
      </c>
    </row>
    <row r="44">
      <c r="A44" s="2" t="s">
        <v>713</v>
      </c>
      <c r="B44" s="2" t="s">
        <v>170</v>
      </c>
      <c r="C44" s="2"/>
      <c r="D44" s="2" t="s">
        <v>64</v>
      </c>
      <c r="E44" s="7" t="b">
        <v>1</v>
      </c>
      <c r="F44" s="9">
        <v>76.0</v>
      </c>
      <c r="G44" s="9">
        <v>5.900025525093662</v>
      </c>
      <c r="H44" s="9">
        <v>0.0286428947368421</v>
      </c>
      <c r="I44" s="7" t="b">
        <v>1</v>
      </c>
      <c r="J44" s="9">
        <v>0.0</v>
      </c>
      <c r="K44" s="7" t="b">
        <v>0</v>
      </c>
      <c r="L44" s="9">
        <v>3471.0</v>
      </c>
      <c r="M44" s="9">
        <v>45.6711</v>
      </c>
      <c r="N44" s="2" t="s">
        <v>735</v>
      </c>
      <c r="O44" s="2" t="s">
        <v>736</v>
      </c>
      <c r="P44" s="9">
        <v>62.06</v>
      </c>
      <c r="Q44" s="9">
        <v>61.0</v>
      </c>
      <c r="R44" s="9">
        <v>0.1225</v>
      </c>
      <c r="S44" s="9">
        <v>0.9815</v>
      </c>
      <c r="T44" s="9">
        <v>0.8358</v>
      </c>
      <c r="U44" s="2" t="s">
        <v>740</v>
      </c>
      <c r="V44" s="9">
        <v>0.8487</v>
      </c>
      <c r="W44" s="9">
        <v>0.2459</v>
      </c>
      <c r="X44" s="2" t="s">
        <v>134</v>
      </c>
      <c r="Y44" s="2" t="s">
        <v>237</v>
      </c>
      <c r="Z44" s="2" t="s">
        <v>643</v>
      </c>
      <c r="AA44" s="9">
        <v>0.9428</v>
      </c>
      <c r="AB44" s="9">
        <v>0.9815</v>
      </c>
    </row>
    <row r="45">
      <c r="A45" s="2" t="s">
        <v>713</v>
      </c>
      <c r="B45" s="2" t="s">
        <v>176</v>
      </c>
      <c r="C45" s="2"/>
      <c r="D45" s="2" t="s">
        <v>64</v>
      </c>
      <c r="E45" s="7" t="b">
        <v>1</v>
      </c>
      <c r="F45" s="9">
        <v>98.0</v>
      </c>
      <c r="G45" s="9">
        <v>4.889139378868459</v>
      </c>
      <c r="H45" s="9">
        <v>0.0321817142857142</v>
      </c>
      <c r="I45" s="7" t="b">
        <v>1</v>
      </c>
      <c r="J45" s="9">
        <v>0.0</v>
      </c>
      <c r="K45" s="7" t="b">
        <v>0</v>
      </c>
      <c r="L45" s="9">
        <v>3909.0</v>
      </c>
      <c r="M45" s="9">
        <v>39.8878</v>
      </c>
      <c r="N45" s="2" t="s">
        <v>751</v>
      </c>
      <c r="O45" s="2" t="s">
        <v>753</v>
      </c>
      <c r="P45" s="9">
        <v>62.08</v>
      </c>
      <c r="Q45" s="9">
        <v>61.0</v>
      </c>
      <c r="R45" s="9">
        <v>0.139785</v>
      </c>
      <c r="S45" s="9">
        <v>0.9823</v>
      </c>
      <c r="T45" s="9">
        <v>0.8554</v>
      </c>
      <c r="U45" s="2" t="s">
        <v>758</v>
      </c>
      <c r="V45" s="9">
        <v>0.8473</v>
      </c>
      <c r="W45" s="9">
        <v>0.6306</v>
      </c>
      <c r="X45" s="2" t="s">
        <v>157</v>
      </c>
      <c r="Y45" s="2" t="s">
        <v>84</v>
      </c>
      <c r="Z45" s="2" t="s">
        <v>708</v>
      </c>
      <c r="AA45" s="9">
        <v>0.9482</v>
      </c>
      <c r="AB45" s="9">
        <v>0.9823</v>
      </c>
    </row>
    <row r="46">
      <c r="A46" s="2" t="s">
        <v>761</v>
      </c>
      <c r="B46" s="2" t="s">
        <v>163</v>
      </c>
      <c r="C46" s="2"/>
      <c r="D46" s="2" t="s">
        <v>64</v>
      </c>
      <c r="E46" s="7" t="b">
        <v>1</v>
      </c>
      <c r="F46" s="9">
        <v>13645.0</v>
      </c>
      <c r="G46" s="9">
        <v>77.11289758760105</v>
      </c>
      <c r="H46" s="9">
        <v>2.150710824477831</v>
      </c>
      <c r="I46" s="7" t="b">
        <v>1</v>
      </c>
      <c r="J46" s="9">
        <v>0.0</v>
      </c>
      <c r="K46" s="7" t="b">
        <v>0</v>
      </c>
      <c r="L46" s="9">
        <v>25180.0</v>
      </c>
      <c r="M46" s="9">
        <v>1.8454</v>
      </c>
      <c r="N46" s="2" t="s">
        <v>765</v>
      </c>
      <c r="O46" s="2" t="s">
        <v>767</v>
      </c>
      <c r="P46" s="9">
        <v>62.88</v>
      </c>
      <c r="Q46" s="9">
        <v>62.0</v>
      </c>
      <c r="R46" s="9">
        <v>0.18654</v>
      </c>
      <c r="S46" s="9">
        <v>0.9941</v>
      </c>
      <c r="T46" s="9">
        <v>0.9712</v>
      </c>
      <c r="U46" s="2" t="s">
        <v>770</v>
      </c>
      <c r="V46" s="9">
        <v>0.8837</v>
      </c>
      <c r="W46" s="9">
        <v>0.8877</v>
      </c>
      <c r="X46" s="2" t="s">
        <v>82</v>
      </c>
      <c r="Y46" s="2" t="s">
        <v>99</v>
      </c>
      <c r="Z46" s="2" t="s">
        <v>626</v>
      </c>
      <c r="AA46" s="9">
        <v>0.9923</v>
      </c>
      <c r="AB46" s="9">
        <v>0.9941</v>
      </c>
    </row>
    <row r="47">
      <c r="A47" s="2" t="s">
        <v>761</v>
      </c>
      <c r="B47" s="2" t="s">
        <v>170</v>
      </c>
      <c r="C47" s="2"/>
      <c r="D47" s="2" t="s">
        <v>64</v>
      </c>
      <c r="E47" s="7" t="b">
        <v>1</v>
      </c>
      <c r="F47" s="9">
        <v>385.0</v>
      </c>
      <c r="G47" s="9">
        <v>2.194410348259221</v>
      </c>
      <c r="H47" s="9">
        <v>0.0192920233766233</v>
      </c>
      <c r="I47" s="7" t="b">
        <v>1</v>
      </c>
      <c r="J47" s="9">
        <v>0.0</v>
      </c>
      <c r="K47" s="7" t="b">
        <v>0</v>
      </c>
      <c r="L47" s="9">
        <v>14473.0</v>
      </c>
      <c r="M47" s="9">
        <v>37.5922</v>
      </c>
      <c r="N47" s="2" t="s">
        <v>782</v>
      </c>
      <c r="O47" s="2" t="s">
        <v>784</v>
      </c>
      <c r="P47" s="9">
        <v>62.4</v>
      </c>
      <c r="Q47" s="9">
        <v>62.0</v>
      </c>
      <c r="R47" s="9">
        <v>0.131611</v>
      </c>
      <c r="S47" s="9">
        <v>0.9835</v>
      </c>
      <c r="T47" s="9">
        <v>0.835</v>
      </c>
      <c r="U47" s="2" t="s">
        <v>788</v>
      </c>
      <c r="V47" s="9">
        <v>0.835</v>
      </c>
      <c r="W47" s="9">
        <v>0.2442</v>
      </c>
      <c r="X47" s="2" t="s">
        <v>134</v>
      </c>
      <c r="Y47" s="2" t="s">
        <v>237</v>
      </c>
      <c r="Z47" s="2" t="s">
        <v>643</v>
      </c>
      <c r="AA47" s="9">
        <v>0.9655</v>
      </c>
      <c r="AB47" s="9">
        <v>0.9835</v>
      </c>
    </row>
    <row r="48">
      <c r="A48" s="2" t="s">
        <v>761</v>
      </c>
      <c r="B48" s="2" t="s">
        <v>176</v>
      </c>
      <c r="C48" s="2"/>
      <c r="D48" s="2" t="s">
        <v>64</v>
      </c>
      <c r="E48" s="7" t="b">
        <v>1</v>
      </c>
      <c r="F48" s="9">
        <v>432.0</v>
      </c>
      <c r="G48" s="9">
        <v>2.177911505014444</v>
      </c>
      <c r="H48" s="9">
        <v>0.02655</v>
      </c>
      <c r="I48" s="7" t="b">
        <v>1</v>
      </c>
      <c r="J48" s="9">
        <v>0.0</v>
      </c>
      <c r="K48" s="7" t="b">
        <v>0</v>
      </c>
      <c r="L48" s="9">
        <v>16199.0</v>
      </c>
      <c r="M48" s="9">
        <v>37.4977</v>
      </c>
      <c r="N48" s="2" t="s">
        <v>799</v>
      </c>
      <c r="O48" s="2" t="s">
        <v>801</v>
      </c>
      <c r="P48" s="9">
        <v>62.66</v>
      </c>
      <c r="Q48" s="9">
        <v>62.0</v>
      </c>
      <c r="R48" s="9">
        <v>0.138237</v>
      </c>
      <c r="S48" s="9">
        <v>0.9844</v>
      </c>
      <c r="T48" s="9">
        <v>0.8694</v>
      </c>
      <c r="U48" s="2" t="s">
        <v>825</v>
      </c>
      <c r="V48" s="9">
        <v>0.8484</v>
      </c>
      <c r="W48" s="9">
        <v>0.6299</v>
      </c>
      <c r="X48" s="2" t="s">
        <v>157</v>
      </c>
      <c r="Y48" s="2" t="s">
        <v>84</v>
      </c>
      <c r="Z48" s="2" t="s">
        <v>708</v>
      </c>
      <c r="AA48" s="9">
        <v>0.971</v>
      </c>
      <c r="AB48" s="9">
        <v>0.9844</v>
      </c>
    </row>
    <row r="49">
      <c r="A49" s="2" t="s">
        <v>834</v>
      </c>
      <c r="B49" s="2" t="s">
        <v>163</v>
      </c>
      <c r="C49" s="2"/>
      <c r="D49" s="2" t="s">
        <v>64</v>
      </c>
      <c r="E49" s="7" t="b">
        <v>1</v>
      </c>
      <c r="F49" s="9">
        <v>58816.0</v>
      </c>
      <c r="G49" s="9">
        <v>18.74270059289125</v>
      </c>
      <c r="H49" s="9">
        <v>0.5101601434983678</v>
      </c>
      <c r="I49" s="7" t="b">
        <v>1</v>
      </c>
      <c r="J49" s="9">
        <v>0.0</v>
      </c>
      <c r="K49" s="7" t="b">
        <v>0</v>
      </c>
      <c r="L49" s="9">
        <v>94252.0</v>
      </c>
      <c r="M49" s="9">
        <v>1.6025</v>
      </c>
      <c r="N49" s="2" t="s">
        <v>841</v>
      </c>
      <c r="O49" s="2" t="s">
        <v>842</v>
      </c>
      <c r="P49" s="9">
        <v>64.28</v>
      </c>
      <c r="Q49" s="9">
        <v>64.0</v>
      </c>
      <c r="R49" s="9">
        <v>0.188736</v>
      </c>
      <c r="S49" s="9">
        <v>0.9944</v>
      </c>
      <c r="T49" s="9">
        <v>0.9715</v>
      </c>
      <c r="U49" s="2" t="s">
        <v>722</v>
      </c>
      <c r="V49" s="9">
        <v>0.8824</v>
      </c>
      <c r="W49" s="9">
        <v>0.8867</v>
      </c>
      <c r="X49" s="2" t="s">
        <v>82</v>
      </c>
      <c r="Y49" s="2" t="s">
        <v>99</v>
      </c>
      <c r="Z49" s="2" t="s">
        <v>626</v>
      </c>
      <c r="AA49" s="9">
        <v>0.9952</v>
      </c>
      <c r="AB49" s="9">
        <v>0.9944</v>
      </c>
    </row>
    <row r="50">
      <c r="A50" s="2" t="s">
        <v>834</v>
      </c>
      <c r="B50" s="2" t="s">
        <v>170</v>
      </c>
      <c r="C50" s="2"/>
      <c r="D50" s="2" t="s">
        <v>64</v>
      </c>
      <c r="E50" s="7" t="b">
        <v>1</v>
      </c>
      <c r="F50" s="9">
        <v>1702.0</v>
      </c>
      <c r="G50" s="9">
        <v>1.3196458679342</v>
      </c>
      <c r="H50" s="9">
        <v>0.0271011045828437</v>
      </c>
      <c r="I50" s="7" t="b">
        <v>1</v>
      </c>
      <c r="J50" s="9">
        <v>0.0</v>
      </c>
      <c r="K50" s="7" t="b">
        <v>0</v>
      </c>
      <c r="L50" s="9">
        <v>55236.0</v>
      </c>
      <c r="M50" s="9">
        <v>32.4536</v>
      </c>
      <c r="N50" s="2" t="s">
        <v>855</v>
      </c>
      <c r="O50" s="2" t="s">
        <v>857</v>
      </c>
      <c r="P50" s="9">
        <v>63.41</v>
      </c>
      <c r="Q50" s="9">
        <v>64.0</v>
      </c>
      <c r="R50" s="9">
        <v>0.125712</v>
      </c>
      <c r="S50" s="9">
        <v>0.985</v>
      </c>
      <c r="T50" s="9">
        <v>0.8965</v>
      </c>
      <c r="U50" s="2" t="s">
        <v>788</v>
      </c>
      <c r="V50" s="9">
        <v>0.7952</v>
      </c>
      <c r="W50" s="9">
        <v>0.2449</v>
      </c>
      <c r="X50" s="2" t="s">
        <v>134</v>
      </c>
      <c r="Y50" s="2" t="s">
        <v>237</v>
      </c>
      <c r="Z50" s="2" t="s">
        <v>643</v>
      </c>
      <c r="AA50" s="9">
        <v>0.9715</v>
      </c>
      <c r="AB50" s="9">
        <v>0.985</v>
      </c>
    </row>
    <row r="51">
      <c r="A51" s="2" t="s">
        <v>834</v>
      </c>
      <c r="B51" s="2" t="s">
        <v>176</v>
      </c>
      <c r="C51" s="2"/>
      <c r="D51" s="2" t="s">
        <v>64</v>
      </c>
      <c r="E51" s="7" t="b">
        <v>1</v>
      </c>
      <c r="F51" s="9">
        <v>1935.0</v>
      </c>
      <c r="G51" s="9">
        <v>0.9862527887799788</v>
      </c>
      <c r="H51" s="9">
        <v>0.021802284237726</v>
      </c>
      <c r="I51" s="7" t="b">
        <v>1</v>
      </c>
      <c r="J51" s="9">
        <v>0.0</v>
      </c>
      <c r="K51" s="7" t="b">
        <v>0</v>
      </c>
      <c r="L51" s="9">
        <v>62119.0</v>
      </c>
      <c r="M51" s="9">
        <v>32.1028</v>
      </c>
      <c r="N51" s="2" t="s">
        <v>872</v>
      </c>
      <c r="O51" s="2" t="s">
        <v>873</v>
      </c>
      <c r="P51" s="9">
        <v>63.7</v>
      </c>
      <c r="Q51" s="9">
        <v>64.0</v>
      </c>
      <c r="R51" s="9">
        <v>0.141564</v>
      </c>
      <c r="S51" s="9">
        <v>0.9859</v>
      </c>
      <c r="T51" s="9">
        <v>0.9155</v>
      </c>
      <c r="U51" s="2" t="s">
        <v>553</v>
      </c>
      <c r="V51" s="9">
        <v>0.8458</v>
      </c>
      <c r="W51" s="9">
        <v>0.2729</v>
      </c>
      <c r="X51" s="2" t="s">
        <v>157</v>
      </c>
      <c r="Y51" s="2" t="s">
        <v>237</v>
      </c>
      <c r="Z51" s="2" t="s">
        <v>643</v>
      </c>
      <c r="AA51" s="9">
        <v>0.9763</v>
      </c>
      <c r="AB51" s="9">
        <v>0.9859</v>
      </c>
    </row>
    <row r="52">
      <c r="A52" s="2" t="s">
        <v>878</v>
      </c>
      <c r="B52" s="2" t="s">
        <v>486</v>
      </c>
      <c r="C52" s="2"/>
      <c r="D52" s="2" t="s">
        <v>64</v>
      </c>
      <c r="E52" s="7" t="b">
        <v>1</v>
      </c>
      <c r="F52" s="9">
        <v>131.0</v>
      </c>
      <c r="G52" s="9">
        <v>17.92713762711439</v>
      </c>
      <c r="H52" s="9">
        <v>0.1184215877862595</v>
      </c>
      <c r="I52" s="7" t="b">
        <v>1</v>
      </c>
      <c r="J52" s="9">
        <v>0.0</v>
      </c>
      <c r="K52" s="7" t="b">
        <v>0</v>
      </c>
      <c r="L52" s="9">
        <v>321.0</v>
      </c>
      <c r="M52" s="9">
        <v>2.4504</v>
      </c>
      <c r="N52" s="2" t="s">
        <v>884</v>
      </c>
      <c r="O52" s="2" t="s">
        <v>886</v>
      </c>
      <c r="P52" s="9">
        <v>62.8</v>
      </c>
      <c r="Q52" s="9">
        <v>61.0</v>
      </c>
      <c r="R52" s="9">
        <v>0.17</v>
      </c>
      <c r="S52" s="9">
        <v>0.7926</v>
      </c>
      <c r="T52" s="9">
        <v>1.0032</v>
      </c>
      <c r="U52" s="2" t="s">
        <v>888</v>
      </c>
      <c r="V52" s="9">
        <v>0.8705</v>
      </c>
      <c r="W52" s="9">
        <v>0.8799</v>
      </c>
      <c r="X52" s="2" t="s">
        <v>82</v>
      </c>
      <c r="Y52" s="2" t="s">
        <v>84</v>
      </c>
      <c r="Z52" s="2" t="s">
        <v>317</v>
      </c>
      <c r="AA52" s="9">
        <v>0.6165</v>
      </c>
      <c r="AB52" s="9">
        <v>0.7926</v>
      </c>
    </row>
    <row r="53">
      <c r="A53" s="2" t="s">
        <v>894</v>
      </c>
      <c r="B53" s="2" t="s">
        <v>486</v>
      </c>
      <c r="C53" s="2"/>
      <c r="D53" s="2" t="s">
        <v>64</v>
      </c>
      <c r="E53" s="7" t="b">
        <v>1</v>
      </c>
      <c r="F53" s="9">
        <v>461.0</v>
      </c>
      <c r="G53" s="9">
        <v>18.84866918060986</v>
      </c>
      <c r="H53" s="9">
        <v>0.39416420824295</v>
      </c>
      <c r="I53" s="7" t="b">
        <v>1</v>
      </c>
      <c r="J53" s="9">
        <v>0.0</v>
      </c>
      <c r="K53" s="7" t="b">
        <v>0</v>
      </c>
      <c r="L53" s="9">
        <v>1356.0</v>
      </c>
      <c r="M53" s="9">
        <v>2.9414</v>
      </c>
      <c r="N53" s="2" t="s">
        <v>900</v>
      </c>
      <c r="O53" s="2" t="s">
        <v>901</v>
      </c>
      <c r="P53" s="9">
        <v>62.48</v>
      </c>
      <c r="Q53" s="9">
        <v>62.0</v>
      </c>
      <c r="R53" s="9">
        <v>0.175758</v>
      </c>
      <c r="S53" s="9">
        <v>0.9337</v>
      </c>
      <c r="T53" s="9">
        <v>1.003</v>
      </c>
      <c r="U53" s="2" t="s">
        <v>315</v>
      </c>
      <c r="V53" s="9">
        <v>0.8751</v>
      </c>
      <c r="W53" s="9">
        <v>0.874</v>
      </c>
      <c r="X53" s="2" t="s">
        <v>82</v>
      </c>
      <c r="Y53" s="2" t="s">
        <v>99</v>
      </c>
      <c r="Z53" s="2" t="s">
        <v>264</v>
      </c>
      <c r="AA53" s="9">
        <v>0.7636</v>
      </c>
      <c r="AB53" s="9">
        <v>0.9337</v>
      </c>
    </row>
    <row r="54">
      <c r="A54" s="2" t="s">
        <v>911</v>
      </c>
      <c r="B54" s="2" t="s">
        <v>486</v>
      </c>
      <c r="C54" s="2"/>
      <c r="D54" s="2" t="s">
        <v>64</v>
      </c>
      <c r="E54" s="7" t="b">
        <v>1</v>
      </c>
      <c r="F54" s="9">
        <v>2065.0</v>
      </c>
      <c r="G54" s="9">
        <v>25.92311709991588</v>
      </c>
      <c r="H54" s="9">
        <v>1.617402711864406</v>
      </c>
      <c r="I54" s="7" t="b">
        <v>1</v>
      </c>
      <c r="J54" s="9">
        <v>0.0</v>
      </c>
      <c r="K54" s="7" t="b">
        <v>0</v>
      </c>
      <c r="L54" s="9">
        <v>5805.0</v>
      </c>
      <c r="M54" s="9">
        <v>2.8111</v>
      </c>
      <c r="N54" s="2" t="s">
        <v>923</v>
      </c>
      <c r="O54" s="2" t="s">
        <v>926</v>
      </c>
      <c r="P54" s="9">
        <v>62.79</v>
      </c>
      <c r="Q54" s="9">
        <v>62.0</v>
      </c>
      <c r="R54" s="9">
        <v>0.172147</v>
      </c>
      <c r="S54" s="9">
        <v>0.9843</v>
      </c>
      <c r="T54" s="9">
        <v>1.0036</v>
      </c>
      <c r="U54" s="2" t="s">
        <v>930</v>
      </c>
      <c r="V54" s="9">
        <v>0.8711</v>
      </c>
      <c r="W54" s="9">
        <v>0.8765</v>
      </c>
      <c r="X54" s="2" t="s">
        <v>82</v>
      </c>
      <c r="Y54" s="2" t="s">
        <v>99</v>
      </c>
      <c r="Z54" s="2" t="s">
        <v>264</v>
      </c>
      <c r="AA54" s="9">
        <v>0.8941</v>
      </c>
      <c r="AB54" s="9">
        <v>0.9843</v>
      </c>
    </row>
    <row r="55">
      <c r="A55" s="2" t="s">
        <v>938</v>
      </c>
      <c r="B55" s="2" t="s">
        <v>486</v>
      </c>
      <c r="C55" s="2"/>
      <c r="D55" s="2" t="s">
        <v>64</v>
      </c>
      <c r="E55" s="7" t="b">
        <v>1</v>
      </c>
      <c r="F55" s="9">
        <v>9031.0</v>
      </c>
      <c r="G55" s="9">
        <v>60.99499374010893</v>
      </c>
      <c r="H55" s="9">
        <v>4.186933805780091</v>
      </c>
      <c r="I55" s="7" t="b">
        <v>1</v>
      </c>
      <c r="J55" s="9">
        <v>0.0</v>
      </c>
      <c r="K55" s="7" t="b">
        <v>0</v>
      </c>
      <c r="L55" s="9">
        <v>25135.0</v>
      </c>
      <c r="M55" s="9">
        <v>2.7832</v>
      </c>
      <c r="N55" s="2" t="s">
        <v>945</v>
      </c>
      <c r="O55" s="2" t="s">
        <v>947</v>
      </c>
      <c r="P55" s="9">
        <v>62.86</v>
      </c>
      <c r="Q55" s="9">
        <v>62.0</v>
      </c>
      <c r="R55" s="9">
        <v>0.168408</v>
      </c>
      <c r="S55" s="9">
        <v>0.9945</v>
      </c>
      <c r="T55" s="9">
        <v>0.9884</v>
      </c>
      <c r="U55" s="2" t="s">
        <v>888</v>
      </c>
      <c r="V55" s="9">
        <v>0.8712</v>
      </c>
      <c r="W55" s="9">
        <v>0.8766</v>
      </c>
      <c r="X55" s="2" t="s">
        <v>82</v>
      </c>
      <c r="Y55" s="2" t="s">
        <v>99</v>
      </c>
      <c r="Z55" s="2" t="s">
        <v>264</v>
      </c>
      <c r="AA55" s="9">
        <v>0.9707</v>
      </c>
      <c r="AB55" s="9">
        <v>0.9945</v>
      </c>
    </row>
    <row r="56">
      <c r="A56" s="2" t="s">
        <v>955</v>
      </c>
      <c r="B56" s="2" t="s">
        <v>486</v>
      </c>
      <c r="C56" s="2"/>
      <c r="D56" s="2" t="s">
        <v>64</v>
      </c>
      <c r="E56" s="7" t="b">
        <v>1</v>
      </c>
      <c r="F56" s="9">
        <v>38952.0</v>
      </c>
      <c r="G56" s="9">
        <v>121.822680144142</v>
      </c>
      <c r="H56" s="9">
        <v>3.64558218833436</v>
      </c>
      <c r="I56" s="7" t="b">
        <v>1</v>
      </c>
      <c r="J56" s="9">
        <v>0.0</v>
      </c>
      <c r="K56" s="7" t="b">
        <v>0</v>
      </c>
      <c r="L56" s="9">
        <v>106530.0</v>
      </c>
      <c r="M56" s="9">
        <v>2.7349</v>
      </c>
      <c r="N56" s="2" t="s">
        <v>962</v>
      </c>
      <c r="O56" s="2" t="s">
        <v>964</v>
      </c>
      <c r="P56" s="9">
        <v>62.94</v>
      </c>
      <c r="Q56" s="9">
        <v>62.0</v>
      </c>
      <c r="R56" s="9">
        <v>0.170725</v>
      </c>
      <c r="S56" s="9">
        <v>0.9972</v>
      </c>
      <c r="T56" s="9">
        <v>0.9815</v>
      </c>
      <c r="U56" s="2" t="s">
        <v>888</v>
      </c>
      <c r="V56" s="9">
        <v>0.8743</v>
      </c>
      <c r="W56" s="9">
        <v>0.8775</v>
      </c>
      <c r="X56" s="2" t="s">
        <v>82</v>
      </c>
      <c r="Y56" s="2" t="s">
        <v>99</v>
      </c>
      <c r="Z56" s="2" t="s">
        <v>264</v>
      </c>
      <c r="AA56" s="9">
        <v>0.9925</v>
      </c>
      <c r="AB56" s="9">
        <v>0.9972</v>
      </c>
    </row>
    <row r="57">
      <c r="A57" s="2" t="s">
        <v>971</v>
      </c>
      <c r="B57" s="2" t="s">
        <v>87</v>
      </c>
      <c r="C57" s="2"/>
      <c r="D57" s="2" t="s">
        <v>64</v>
      </c>
      <c r="E57" s="7" t="b">
        <v>1</v>
      </c>
      <c r="F57" s="9">
        <v>38.0</v>
      </c>
      <c r="G57" s="9">
        <v>17.26312468522289</v>
      </c>
      <c r="H57" s="9">
        <v>0.0989067894736842</v>
      </c>
      <c r="I57" s="7" t="b">
        <v>1</v>
      </c>
      <c r="J57" s="9">
        <v>0.0</v>
      </c>
      <c r="K57" s="7" t="b">
        <v>0</v>
      </c>
      <c r="L57" s="9">
        <v>78.0</v>
      </c>
      <c r="M57" s="9">
        <v>2.0526</v>
      </c>
      <c r="N57" s="2" t="s">
        <v>978</v>
      </c>
      <c r="O57" s="2" t="s">
        <v>981</v>
      </c>
      <c r="P57" s="9">
        <v>64.55</v>
      </c>
      <c r="Q57" s="9">
        <v>62.0</v>
      </c>
      <c r="R57" s="9">
        <v>0.1</v>
      </c>
      <c r="S57" s="9">
        <v>0.7733</v>
      </c>
      <c r="T57" s="9">
        <v>1.0136</v>
      </c>
      <c r="U57" s="2" t="s">
        <v>984</v>
      </c>
      <c r="V57" s="9">
        <v>0.875</v>
      </c>
      <c r="W57" s="9">
        <v>0.8854</v>
      </c>
      <c r="X57" s="2" t="s">
        <v>82</v>
      </c>
      <c r="Y57" s="2" t="s">
        <v>99</v>
      </c>
      <c r="Z57" s="2" t="s">
        <v>626</v>
      </c>
      <c r="AA57" s="9">
        <v>0.5742</v>
      </c>
      <c r="AB57" s="9">
        <v>0.7733</v>
      </c>
    </row>
    <row r="58">
      <c r="A58" s="2" t="s">
        <v>988</v>
      </c>
      <c r="B58" s="2" t="s">
        <v>87</v>
      </c>
      <c r="C58" s="2"/>
      <c r="D58" s="2" t="s">
        <v>64</v>
      </c>
      <c r="E58" s="7" t="b">
        <v>1</v>
      </c>
      <c r="F58" s="9">
        <v>156.0</v>
      </c>
      <c r="G58" s="9">
        <v>20.97294101545324</v>
      </c>
      <c r="H58" s="9">
        <v>0.4926692307692308</v>
      </c>
      <c r="I58" s="7" t="b">
        <v>1</v>
      </c>
      <c r="J58" s="9">
        <v>0.0</v>
      </c>
      <c r="K58" s="7" t="b">
        <v>0</v>
      </c>
      <c r="L58" s="9">
        <v>338.0</v>
      </c>
      <c r="M58" s="9">
        <v>2.1667</v>
      </c>
      <c r="N58" s="2" t="s">
        <v>995</v>
      </c>
      <c r="O58" s="2" t="s">
        <v>996</v>
      </c>
      <c r="P58" s="9">
        <v>62.55</v>
      </c>
      <c r="Q58" s="9">
        <v>61.0</v>
      </c>
      <c r="R58" s="9">
        <v>0.155172</v>
      </c>
      <c r="S58" s="9">
        <v>0.9308</v>
      </c>
      <c r="T58" s="9">
        <v>0.9916</v>
      </c>
      <c r="U58" s="2" t="s">
        <v>1000</v>
      </c>
      <c r="V58" s="9">
        <v>0.8824</v>
      </c>
      <c r="W58" s="9">
        <v>0.8828</v>
      </c>
      <c r="X58" s="2" t="s">
        <v>82</v>
      </c>
      <c r="Y58" s="2" t="s">
        <v>99</v>
      </c>
      <c r="Z58" s="2" t="s">
        <v>626</v>
      </c>
      <c r="AA58" s="9">
        <v>0.7553</v>
      </c>
      <c r="AB58" s="9">
        <v>0.9308</v>
      </c>
    </row>
    <row r="59">
      <c r="A59" s="2" t="s">
        <v>1005</v>
      </c>
      <c r="B59" s="2" t="s">
        <v>77</v>
      </c>
      <c r="C59" s="2"/>
      <c r="D59" s="2" t="s">
        <v>64</v>
      </c>
      <c r="E59" s="7" t="b">
        <v>1</v>
      </c>
      <c r="F59" s="9">
        <v>1.0</v>
      </c>
      <c r="G59" s="9">
        <v>6.008574728318517</v>
      </c>
      <c r="H59" s="9">
        <v>0.0018143999999999</v>
      </c>
      <c r="I59" s="7" t="b">
        <v>1</v>
      </c>
      <c r="J59" s="9">
        <v>0.0</v>
      </c>
      <c r="K59" s="7" t="b">
        <v>0</v>
      </c>
      <c r="L59" s="9">
        <v>986.0</v>
      </c>
      <c r="M59" s="9">
        <v>986.0</v>
      </c>
      <c r="N59" s="2" t="s">
        <v>1012</v>
      </c>
      <c r="O59" s="2" t="s">
        <v>1013</v>
      </c>
      <c r="P59" s="9">
        <v>61.74</v>
      </c>
      <c r="Q59" s="9">
        <v>62.0</v>
      </c>
      <c r="R59" s="9">
        <v>0.141892</v>
      </c>
      <c r="S59" s="9">
        <v>0.9532</v>
      </c>
      <c r="T59" s="9">
        <v>0.952</v>
      </c>
      <c r="U59" s="2" t="s">
        <v>1016</v>
      </c>
      <c r="V59" s="9">
        <v>0.8445</v>
      </c>
      <c r="W59" s="9">
        <v>0.7235</v>
      </c>
      <c r="X59" s="2" t="s">
        <v>198</v>
      </c>
      <c r="Y59" s="2" t="s">
        <v>84</v>
      </c>
      <c r="Z59" s="2" t="s">
        <v>708</v>
      </c>
      <c r="AA59" s="9">
        <v>0.8569</v>
      </c>
      <c r="AB59" s="9">
        <v>0.9532</v>
      </c>
    </row>
    <row r="60">
      <c r="A60" s="2" t="s">
        <v>1005</v>
      </c>
      <c r="B60" s="2" t="s">
        <v>87</v>
      </c>
      <c r="C60" s="2"/>
      <c r="D60" s="2" t="s">
        <v>64</v>
      </c>
      <c r="E60" s="7" t="b">
        <v>1</v>
      </c>
      <c r="F60" s="9">
        <v>663.0</v>
      </c>
      <c r="G60" s="9">
        <v>26.86663996098842</v>
      </c>
      <c r="H60" s="9">
        <v>1.690244796380091</v>
      </c>
      <c r="I60" s="7" t="b">
        <v>1</v>
      </c>
      <c r="J60" s="9">
        <v>0.0</v>
      </c>
      <c r="K60" s="7" t="b">
        <v>0</v>
      </c>
      <c r="L60" s="9">
        <v>1429.0</v>
      </c>
      <c r="M60" s="9">
        <v>2.1554</v>
      </c>
      <c r="N60" s="2" t="s">
        <v>1042</v>
      </c>
      <c r="O60" s="2" t="s">
        <v>1044</v>
      </c>
      <c r="P60" s="9">
        <v>62.31</v>
      </c>
      <c r="Q60" s="9">
        <v>61.0</v>
      </c>
      <c r="R60" s="9">
        <v>0.225664</v>
      </c>
      <c r="S60" s="9">
        <v>0.9866</v>
      </c>
      <c r="T60" s="9">
        <v>0.9952</v>
      </c>
      <c r="U60" s="2" t="s">
        <v>352</v>
      </c>
      <c r="V60" s="9">
        <v>0.8788</v>
      </c>
      <c r="W60" s="9">
        <v>0.8842</v>
      </c>
      <c r="X60" s="2" t="s">
        <v>82</v>
      </c>
      <c r="Y60" s="2" t="s">
        <v>99</v>
      </c>
      <c r="Z60" s="2" t="s">
        <v>626</v>
      </c>
      <c r="AA60" s="9">
        <v>0.902</v>
      </c>
      <c r="AB60" s="9">
        <v>0.9866</v>
      </c>
    </row>
    <row r="61">
      <c r="A61" s="2" t="s">
        <v>1005</v>
      </c>
      <c r="B61" s="2" t="s">
        <v>98</v>
      </c>
      <c r="C61" s="2"/>
      <c r="D61" s="2" t="s">
        <v>64</v>
      </c>
      <c r="E61" s="7" t="b">
        <v>1</v>
      </c>
      <c r="F61" s="9">
        <v>11.0</v>
      </c>
      <c r="G61" s="9">
        <v>7.643020189060788</v>
      </c>
      <c r="H61" s="9">
        <v>0.001408909090909</v>
      </c>
      <c r="I61" s="7" t="b">
        <v>1</v>
      </c>
      <c r="J61" s="9">
        <v>0.0</v>
      </c>
      <c r="K61" s="7" t="b">
        <v>0</v>
      </c>
      <c r="L61" s="9">
        <v>557.0</v>
      </c>
      <c r="M61" s="9">
        <v>50.6364</v>
      </c>
      <c r="N61" s="2" t="s">
        <v>1063</v>
      </c>
      <c r="O61" s="2" t="s">
        <v>1064</v>
      </c>
      <c r="P61" s="9">
        <v>60.57</v>
      </c>
      <c r="Q61" s="9">
        <v>60.0</v>
      </c>
      <c r="R61" s="9">
        <v>0.129032</v>
      </c>
      <c r="S61" s="9">
        <v>0.9015</v>
      </c>
      <c r="T61" s="9">
        <v>0.9093</v>
      </c>
      <c r="U61" s="2" t="s">
        <v>1067</v>
      </c>
      <c r="V61" s="9">
        <v>0.8424</v>
      </c>
      <c r="W61" s="9">
        <v>0.2363</v>
      </c>
      <c r="X61" s="2" t="s">
        <v>134</v>
      </c>
      <c r="Y61" s="2" t="s">
        <v>237</v>
      </c>
      <c r="Z61" s="2" t="s">
        <v>1071</v>
      </c>
      <c r="AA61" s="9">
        <v>0.7823</v>
      </c>
      <c r="AB61" s="9">
        <v>0.9015</v>
      </c>
    </row>
    <row r="62">
      <c r="A62" s="2" t="s">
        <v>1075</v>
      </c>
      <c r="B62" s="2" t="s">
        <v>77</v>
      </c>
      <c r="C62" s="2"/>
      <c r="D62" s="2" t="s">
        <v>64</v>
      </c>
      <c r="E62" s="7" t="b">
        <v>1</v>
      </c>
      <c r="F62" s="9">
        <v>6.0</v>
      </c>
      <c r="G62" s="9">
        <v>4.022922605595976</v>
      </c>
      <c r="H62" s="9">
        <v>0.00484</v>
      </c>
      <c r="I62" s="7" t="b">
        <v>1</v>
      </c>
      <c r="J62" s="9">
        <v>0.0</v>
      </c>
      <c r="K62" s="7" t="b">
        <v>0</v>
      </c>
      <c r="L62" s="9">
        <v>4075.0</v>
      </c>
      <c r="M62" s="9">
        <v>679.1667</v>
      </c>
      <c r="N62" s="2" t="s">
        <v>1086</v>
      </c>
      <c r="O62" s="2" t="s">
        <v>1091</v>
      </c>
      <c r="P62" s="9">
        <v>62.54</v>
      </c>
      <c r="Q62" s="9">
        <v>62.0</v>
      </c>
      <c r="R62" s="9">
        <v>0.159933</v>
      </c>
      <c r="S62" s="9">
        <v>0.9697</v>
      </c>
      <c r="T62" s="9">
        <v>0.8548</v>
      </c>
      <c r="U62" s="2" t="s">
        <v>1092</v>
      </c>
      <c r="V62" s="9">
        <v>0.8463</v>
      </c>
      <c r="W62" s="9">
        <v>0.7132</v>
      </c>
      <c r="X62" s="2" t="s">
        <v>1094</v>
      </c>
      <c r="Y62" s="2" t="s">
        <v>84</v>
      </c>
      <c r="Z62" s="2" t="s">
        <v>708</v>
      </c>
      <c r="AA62" s="9">
        <v>0.9394</v>
      </c>
      <c r="AB62" s="9">
        <v>0.9697</v>
      </c>
    </row>
    <row r="63">
      <c r="A63" s="2" t="s">
        <v>1075</v>
      </c>
      <c r="B63" s="2" t="s">
        <v>87</v>
      </c>
      <c r="C63" s="2"/>
      <c r="D63" s="2" t="s">
        <v>64</v>
      </c>
      <c r="E63" s="7" t="b">
        <v>1</v>
      </c>
      <c r="F63" s="9">
        <v>2986.0</v>
      </c>
      <c r="G63" s="9">
        <v>50.77229130667805</v>
      </c>
      <c r="H63" s="9">
        <v>3.610287843268587</v>
      </c>
      <c r="I63" s="7" t="b">
        <v>1</v>
      </c>
      <c r="J63" s="9">
        <v>0.0</v>
      </c>
      <c r="K63" s="7" t="b">
        <v>0</v>
      </c>
      <c r="L63" s="9">
        <v>6135.0</v>
      </c>
      <c r="M63" s="9">
        <v>2.0546</v>
      </c>
      <c r="N63" s="2" t="s">
        <v>1100</v>
      </c>
      <c r="O63" s="2" t="s">
        <v>1102</v>
      </c>
      <c r="P63" s="9">
        <v>62.62</v>
      </c>
      <c r="Q63" s="9">
        <v>62.0</v>
      </c>
      <c r="R63" s="9">
        <v>0.204497</v>
      </c>
      <c r="S63" s="9">
        <v>0.9959</v>
      </c>
      <c r="T63" s="9">
        <v>0.993</v>
      </c>
      <c r="U63" s="2" t="s">
        <v>405</v>
      </c>
      <c r="V63" s="9">
        <v>0.8778</v>
      </c>
      <c r="W63" s="9">
        <v>0.884</v>
      </c>
      <c r="X63" s="2" t="s">
        <v>82</v>
      </c>
      <c r="Y63" s="2" t="s">
        <v>99</v>
      </c>
      <c r="Z63" s="2" t="s">
        <v>626</v>
      </c>
      <c r="AA63" s="9">
        <v>0.9778</v>
      </c>
      <c r="AB63" s="9">
        <v>0.9959</v>
      </c>
    </row>
    <row r="64">
      <c r="A64" s="2" t="s">
        <v>1075</v>
      </c>
      <c r="B64" s="2" t="s">
        <v>93</v>
      </c>
      <c r="C64" s="2"/>
      <c r="D64" s="2" t="s">
        <v>64</v>
      </c>
      <c r="E64" s="7" t="b">
        <v>1</v>
      </c>
      <c r="F64" s="9">
        <v>6.0</v>
      </c>
      <c r="G64" s="9">
        <v>6.51251476509567</v>
      </c>
      <c r="H64" s="9">
        <v>0.00264745</v>
      </c>
      <c r="I64" s="7" t="b">
        <v>1</v>
      </c>
      <c r="J64" s="9">
        <v>0.0</v>
      </c>
      <c r="K64" s="7" t="b">
        <v>0</v>
      </c>
      <c r="L64" s="9">
        <v>2280.0</v>
      </c>
      <c r="M64" s="9">
        <v>380.0</v>
      </c>
      <c r="N64" s="2" t="s">
        <v>1117</v>
      </c>
      <c r="O64" s="2" t="s">
        <v>1119</v>
      </c>
      <c r="P64" s="9">
        <v>61.69</v>
      </c>
      <c r="Q64" s="9">
        <v>61.0</v>
      </c>
      <c r="R64" s="9">
        <v>0.149847</v>
      </c>
      <c r="S64" s="9">
        <v>0.9392</v>
      </c>
      <c r="T64" s="9">
        <v>0.7535</v>
      </c>
      <c r="U64" s="2" t="s">
        <v>1123</v>
      </c>
      <c r="V64" s="9">
        <v>0.7883</v>
      </c>
      <c r="W64" s="9">
        <v>0.2146</v>
      </c>
      <c r="X64" s="2" t="s">
        <v>1124</v>
      </c>
      <c r="Y64" s="2" t="s">
        <v>495</v>
      </c>
      <c r="Z64" s="2" t="s">
        <v>1128</v>
      </c>
      <c r="AA64" s="9">
        <v>0.885</v>
      </c>
      <c r="AB64" s="9">
        <v>0.9392</v>
      </c>
    </row>
    <row r="65">
      <c r="A65" s="2" t="s">
        <v>1075</v>
      </c>
      <c r="B65" s="2" t="s">
        <v>98</v>
      </c>
      <c r="C65" s="2"/>
      <c r="D65" s="2" t="s">
        <v>64</v>
      </c>
      <c r="E65" s="7" t="b">
        <v>1</v>
      </c>
      <c r="F65" s="9">
        <v>54.0</v>
      </c>
      <c r="G65" s="9">
        <v>4.827815869028422</v>
      </c>
      <c r="H65" s="9">
        <v>0.0027492592592592</v>
      </c>
      <c r="I65" s="7" t="b">
        <v>1</v>
      </c>
      <c r="J65" s="9">
        <v>0.0</v>
      </c>
      <c r="K65" s="7" t="b">
        <v>0</v>
      </c>
      <c r="L65" s="9">
        <v>2288.0</v>
      </c>
      <c r="M65" s="9">
        <v>42.3704</v>
      </c>
      <c r="N65" s="2" t="s">
        <v>1134</v>
      </c>
      <c r="O65" s="2" t="s">
        <v>1135</v>
      </c>
      <c r="P65" s="9">
        <v>61.66</v>
      </c>
      <c r="Q65" s="9">
        <v>61.0</v>
      </c>
      <c r="R65" s="9">
        <v>0.121212</v>
      </c>
      <c r="S65" s="9">
        <v>0.9272</v>
      </c>
      <c r="T65" s="9">
        <v>0.726</v>
      </c>
      <c r="U65" s="2" t="s">
        <v>1139</v>
      </c>
      <c r="V65" s="9">
        <v>0.7999</v>
      </c>
      <c r="W65" s="9">
        <v>0.2304</v>
      </c>
      <c r="X65" s="2" t="s">
        <v>157</v>
      </c>
      <c r="Y65" s="2" t="s">
        <v>495</v>
      </c>
      <c r="Z65" s="2" t="s">
        <v>1128</v>
      </c>
      <c r="AA65" s="9">
        <v>0.8736</v>
      </c>
      <c r="AB65" s="9">
        <v>0.9272</v>
      </c>
    </row>
    <row r="66">
      <c r="A66" s="2" t="s">
        <v>1075</v>
      </c>
      <c r="B66" s="2" t="s">
        <v>104</v>
      </c>
      <c r="C66" s="2"/>
      <c r="D66" s="2" t="s">
        <v>64</v>
      </c>
      <c r="E66" s="7" t="b">
        <v>1</v>
      </c>
      <c r="F66" s="9">
        <v>34.0</v>
      </c>
      <c r="G66" s="9">
        <v>6.636290214036204</v>
      </c>
      <c r="H66" s="9">
        <v>0.0039421323529411</v>
      </c>
      <c r="I66" s="7" t="b">
        <v>1</v>
      </c>
      <c r="J66" s="9">
        <v>0.0</v>
      </c>
      <c r="K66" s="7" t="b">
        <v>0</v>
      </c>
      <c r="L66" s="9">
        <v>2742.0</v>
      </c>
      <c r="M66" s="9">
        <v>80.6471</v>
      </c>
      <c r="N66" s="2" t="s">
        <v>1147</v>
      </c>
      <c r="O66" s="2" t="s">
        <v>1149</v>
      </c>
      <c r="P66" s="9">
        <v>62.29</v>
      </c>
      <c r="Q66" s="9">
        <v>62.0</v>
      </c>
      <c r="R66" s="9">
        <v>0.153266</v>
      </c>
      <c r="S66" s="9">
        <v>0.9481</v>
      </c>
      <c r="T66" s="9">
        <v>0.7727</v>
      </c>
      <c r="U66" s="2" t="s">
        <v>1151</v>
      </c>
      <c r="V66" s="9">
        <v>0.8442</v>
      </c>
      <c r="W66" s="9">
        <v>0.2531</v>
      </c>
      <c r="X66" s="2" t="s">
        <v>134</v>
      </c>
      <c r="Y66" s="2" t="s">
        <v>495</v>
      </c>
      <c r="Z66" s="2" t="s">
        <v>1128</v>
      </c>
      <c r="AA66" s="9">
        <v>0.9023</v>
      </c>
      <c r="AB66" s="9">
        <v>0.9481</v>
      </c>
    </row>
    <row r="67">
      <c r="A67" s="2" t="s">
        <v>1155</v>
      </c>
      <c r="B67" s="2" t="s">
        <v>77</v>
      </c>
      <c r="C67" s="2"/>
      <c r="D67" s="2" t="s">
        <v>64</v>
      </c>
      <c r="E67" s="7" t="b">
        <v>1</v>
      </c>
      <c r="F67" s="9">
        <v>38.0</v>
      </c>
      <c r="G67" s="9">
        <v>4.373987549538741</v>
      </c>
      <c r="H67" s="9">
        <v>0.0339578947368421</v>
      </c>
      <c r="I67" s="7" t="b">
        <v>1</v>
      </c>
      <c r="J67" s="9">
        <v>0.0</v>
      </c>
      <c r="K67" s="7" t="b">
        <v>0</v>
      </c>
      <c r="L67" s="9">
        <v>17404.0</v>
      </c>
      <c r="M67" s="9">
        <v>458.0</v>
      </c>
      <c r="N67" s="2" t="s">
        <v>1161</v>
      </c>
      <c r="O67" s="2" t="s">
        <v>1162</v>
      </c>
      <c r="P67" s="9">
        <v>62.78</v>
      </c>
      <c r="Q67" s="9">
        <v>62.0</v>
      </c>
      <c r="R67" s="9">
        <v>0.149923</v>
      </c>
      <c r="S67" s="9">
        <v>0.9721</v>
      </c>
      <c r="T67" s="9">
        <v>0.8224</v>
      </c>
      <c r="U67" s="2" t="s">
        <v>1165</v>
      </c>
      <c r="V67" s="9">
        <v>0.8501</v>
      </c>
      <c r="W67" s="9">
        <v>0.7129</v>
      </c>
      <c r="X67" s="2" t="s">
        <v>1124</v>
      </c>
      <c r="Y67" s="2" t="s">
        <v>84</v>
      </c>
      <c r="Z67" s="2" t="s">
        <v>708</v>
      </c>
      <c r="AA67" s="9">
        <v>0.9654</v>
      </c>
      <c r="AB67" s="9">
        <v>0.9721</v>
      </c>
    </row>
    <row r="68">
      <c r="A68" s="2" t="s">
        <v>1155</v>
      </c>
      <c r="B68" s="2" t="s">
        <v>87</v>
      </c>
      <c r="C68" s="2"/>
      <c r="D68" s="2" t="s">
        <v>64</v>
      </c>
      <c r="E68" s="7" t="b">
        <v>1</v>
      </c>
      <c r="F68" s="9">
        <v>12796.0</v>
      </c>
      <c r="G68" s="9">
        <v>39.41090010264646</v>
      </c>
      <c r="H68" s="9">
        <v>1.95645320412629</v>
      </c>
      <c r="I68" s="7" t="b">
        <v>1</v>
      </c>
      <c r="J68" s="9">
        <v>0.0</v>
      </c>
      <c r="K68" s="7" t="b">
        <v>0</v>
      </c>
      <c r="L68" s="9">
        <v>25763.0</v>
      </c>
      <c r="M68" s="9">
        <v>2.0134</v>
      </c>
      <c r="N68" s="2" t="s">
        <v>1176</v>
      </c>
      <c r="O68" s="2" t="s">
        <v>1177</v>
      </c>
      <c r="P68" s="9">
        <v>62.96</v>
      </c>
      <c r="Q68" s="9">
        <v>62.0</v>
      </c>
      <c r="R68" s="9">
        <v>0.186041</v>
      </c>
      <c r="S68" s="9">
        <v>0.9986</v>
      </c>
      <c r="T68" s="9">
        <v>0.9966</v>
      </c>
      <c r="U68" s="2" t="s">
        <v>1180</v>
      </c>
      <c r="V68" s="9">
        <v>0.8805</v>
      </c>
      <c r="W68" s="9">
        <v>0.8831</v>
      </c>
      <c r="X68" s="2" t="s">
        <v>82</v>
      </c>
      <c r="Y68" s="2" t="s">
        <v>99</v>
      </c>
      <c r="Z68" s="2" t="s">
        <v>626</v>
      </c>
      <c r="AA68" s="9">
        <v>0.995</v>
      </c>
      <c r="AB68" s="9">
        <v>0.9986</v>
      </c>
    </row>
    <row r="69">
      <c r="A69" s="2" t="s">
        <v>1155</v>
      </c>
      <c r="B69" s="2" t="s">
        <v>93</v>
      </c>
      <c r="C69" s="2"/>
      <c r="D69" s="2" t="s">
        <v>64</v>
      </c>
      <c r="E69" s="7" t="b">
        <v>1</v>
      </c>
      <c r="F69" s="9">
        <v>41.0</v>
      </c>
      <c r="G69" s="9">
        <v>6.223215846092725</v>
      </c>
      <c r="H69" s="9">
        <v>0.0161771707317073</v>
      </c>
      <c r="I69" s="7" t="b">
        <v>1</v>
      </c>
      <c r="J69" s="9">
        <v>0.0</v>
      </c>
      <c r="K69" s="7" t="b">
        <v>0</v>
      </c>
      <c r="L69" s="9">
        <v>9885.0</v>
      </c>
      <c r="M69" s="9">
        <v>241.0976</v>
      </c>
      <c r="N69" s="2" t="s">
        <v>1189</v>
      </c>
      <c r="O69" s="2" t="s">
        <v>1190</v>
      </c>
      <c r="P69" s="9">
        <v>61.93</v>
      </c>
      <c r="Q69" s="9">
        <v>62.0</v>
      </c>
      <c r="R69" s="9">
        <v>0.122491</v>
      </c>
      <c r="S69" s="9">
        <v>0.9446</v>
      </c>
      <c r="T69" s="9">
        <v>0.6246</v>
      </c>
      <c r="U69" s="2" t="s">
        <v>1192</v>
      </c>
      <c r="V69" s="9">
        <v>0.8241</v>
      </c>
      <c r="W69" s="9">
        <v>0.2273</v>
      </c>
      <c r="X69" s="2" t="s">
        <v>1193</v>
      </c>
      <c r="Y69" s="2" t="s">
        <v>495</v>
      </c>
      <c r="Z69" s="2" t="s">
        <v>1128</v>
      </c>
      <c r="AA69" s="9">
        <v>0.9245</v>
      </c>
      <c r="AB69" s="9">
        <v>0.9446</v>
      </c>
    </row>
    <row r="70">
      <c r="A70" s="2" t="s">
        <v>1155</v>
      </c>
      <c r="B70" s="2" t="s">
        <v>98</v>
      </c>
      <c r="C70" s="2"/>
      <c r="D70" s="2" t="s">
        <v>64</v>
      </c>
      <c r="E70" s="7" t="b">
        <v>1</v>
      </c>
      <c r="F70" s="9">
        <v>244.0</v>
      </c>
      <c r="G70" s="9">
        <v>4.518005117851475</v>
      </c>
      <c r="H70" s="9">
        <v>0.0106945081967213</v>
      </c>
      <c r="I70" s="7" t="b">
        <v>1</v>
      </c>
      <c r="J70" s="9">
        <v>0.0</v>
      </c>
      <c r="K70" s="7" t="b">
        <v>0</v>
      </c>
      <c r="L70" s="9">
        <v>9985.0</v>
      </c>
      <c r="M70" s="9">
        <v>40.9221</v>
      </c>
      <c r="N70" s="2" t="s">
        <v>1199</v>
      </c>
      <c r="O70" s="2" t="s">
        <v>1202</v>
      </c>
      <c r="P70" s="9">
        <v>61.61</v>
      </c>
      <c r="Q70" s="9">
        <v>61.0</v>
      </c>
      <c r="R70" s="9">
        <v>0.123682</v>
      </c>
      <c r="S70" s="9">
        <v>0.933</v>
      </c>
      <c r="T70" s="9">
        <v>0.578</v>
      </c>
      <c r="U70" s="2" t="s">
        <v>1207</v>
      </c>
      <c r="V70" s="9">
        <v>0.8019</v>
      </c>
      <c r="W70" s="9">
        <v>0.2242</v>
      </c>
      <c r="X70" s="2" t="s">
        <v>157</v>
      </c>
      <c r="Y70" s="2" t="s">
        <v>495</v>
      </c>
      <c r="Z70" s="2" t="s">
        <v>1128</v>
      </c>
      <c r="AA70" s="9">
        <v>0.9133</v>
      </c>
      <c r="AB70" s="9">
        <v>0.933</v>
      </c>
    </row>
    <row r="71">
      <c r="A71" s="2" t="s">
        <v>1155</v>
      </c>
      <c r="B71" s="2" t="s">
        <v>104</v>
      </c>
      <c r="C71" s="2"/>
      <c r="D71" s="2" t="s">
        <v>64</v>
      </c>
      <c r="E71" s="7" t="b">
        <v>1</v>
      </c>
      <c r="F71" s="9">
        <v>165.0</v>
      </c>
      <c r="G71" s="9">
        <v>4.421604865357557</v>
      </c>
      <c r="H71" s="9">
        <v>0.0083868</v>
      </c>
      <c r="I71" s="7" t="b">
        <v>1</v>
      </c>
      <c r="J71" s="9">
        <v>0.0</v>
      </c>
      <c r="K71" s="7" t="b">
        <v>0</v>
      </c>
      <c r="L71" s="9">
        <v>11669.0</v>
      </c>
      <c r="M71" s="9">
        <v>70.7212</v>
      </c>
      <c r="N71" s="2" t="s">
        <v>1216</v>
      </c>
      <c r="O71" s="2" t="s">
        <v>1217</v>
      </c>
      <c r="P71" s="9">
        <v>62.21</v>
      </c>
      <c r="Q71" s="9">
        <v>62.0</v>
      </c>
      <c r="R71" s="9">
        <v>0.128899</v>
      </c>
      <c r="S71" s="9">
        <v>0.9523</v>
      </c>
      <c r="T71" s="9">
        <v>0.6779</v>
      </c>
      <c r="U71" s="2" t="s">
        <v>603</v>
      </c>
      <c r="V71" s="9">
        <v>0.8489</v>
      </c>
      <c r="W71" s="9">
        <v>0.2576</v>
      </c>
      <c r="X71" s="2" t="s">
        <v>134</v>
      </c>
      <c r="Y71" s="2" t="s">
        <v>495</v>
      </c>
      <c r="Z71" s="2" t="s">
        <v>1128</v>
      </c>
      <c r="AA71" s="9">
        <v>0.9363</v>
      </c>
      <c r="AB71" s="9">
        <v>0.9523</v>
      </c>
    </row>
    <row r="72">
      <c r="A72" s="2" t="s">
        <v>1224</v>
      </c>
      <c r="B72" s="2" t="s">
        <v>77</v>
      </c>
      <c r="C72" s="2"/>
      <c r="D72" s="2" t="s">
        <v>64</v>
      </c>
      <c r="E72" s="7" t="b">
        <v>1</v>
      </c>
      <c r="F72" s="9">
        <v>156.0</v>
      </c>
      <c r="G72" s="9">
        <v>3.069230464769621</v>
      </c>
      <c r="H72" s="9">
        <v>0.0603138461538461</v>
      </c>
      <c r="I72" s="7" t="b">
        <v>1</v>
      </c>
      <c r="J72" s="9">
        <v>0.0</v>
      </c>
      <c r="K72" s="7" t="b">
        <v>0</v>
      </c>
      <c r="L72" s="9">
        <v>67025.0</v>
      </c>
      <c r="M72" s="9">
        <v>429.6474</v>
      </c>
      <c r="N72" s="2" t="s">
        <v>1228</v>
      </c>
      <c r="O72" s="2" t="s">
        <v>1229</v>
      </c>
      <c r="P72" s="9">
        <v>63.65</v>
      </c>
      <c r="Q72" s="9">
        <v>64.0</v>
      </c>
      <c r="R72" s="9">
        <v>0.145734</v>
      </c>
      <c r="S72" s="9">
        <v>0.9733</v>
      </c>
      <c r="T72" s="9">
        <v>0.8555</v>
      </c>
      <c r="U72" s="2" t="s">
        <v>1016</v>
      </c>
      <c r="V72" s="9">
        <v>0.8492</v>
      </c>
      <c r="W72" s="9">
        <v>0.7063</v>
      </c>
      <c r="X72" s="2" t="s">
        <v>1124</v>
      </c>
      <c r="Y72" s="2" t="s">
        <v>84</v>
      </c>
      <c r="Z72" s="2" t="s">
        <v>708</v>
      </c>
      <c r="AA72" s="9">
        <v>0.9703</v>
      </c>
      <c r="AB72" s="9">
        <v>0.9733</v>
      </c>
    </row>
    <row r="73">
      <c r="A73" s="2" t="s">
        <v>1224</v>
      </c>
      <c r="B73" s="2" t="s">
        <v>87</v>
      </c>
      <c r="C73" s="2"/>
      <c r="D73" s="2" t="s">
        <v>64</v>
      </c>
      <c r="E73" s="7" t="b">
        <v>1</v>
      </c>
      <c r="F73" s="9">
        <v>55824.0</v>
      </c>
      <c r="G73" s="9">
        <v>10.73842163508545</v>
      </c>
      <c r="H73" s="9">
        <v>0.4975282029234737</v>
      </c>
      <c r="I73" s="7" t="b">
        <v>1</v>
      </c>
      <c r="J73" s="9">
        <v>0.0</v>
      </c>
      <c r="K73" s="7" t="b">
        <v>0</v>
      </c>
      <c r="L73" s="9">
        <v>99158.0</v>
      </c>
      <c r="M73" s="9">
        <v>1.7763</v>
      </c>
      <c r="N73" s="2" t="s">
        <v>1234</v>
      </c>
      <c r="O73" s="2" t="s">
        <v>770</v>
      </c>
      <c r="P73" s="9">
        <v>63.99</v>
      </c>
      <c r="Q73" s="9">
        <v>63.0</v>
      </c>
      <c r="R73" s="9">
        <v>0.180464</v>
      </c>
      <c r="S73" s="9">
        <v>0.9992</v>
      </c>
      <c r="T73" s="9">
        <v>0.9969</v>
      </c>
      <c r="U73" s="2" t="s">
        <v>1180</v>
      </c>
      <c r="V73" s="9">
        <v>0.879</v>
      </c>
      <c r="W73" s="9">
        <v>0.8817</v>
      </c>
      <c r="X73" s="2" t="s">
        <v>82</v>
      </c>
      <c r="Y73" s="2" t="s">
        <v>99</v>
      </c>
      <c r="Z73" s="2" t="s">
        <v>626</v>
      </c>
      <c r="AA73" s="9">
        <v>0.9985</v>
      </c>
      <c r="AB73" s="9">
        <v>0.9992</v>
      </c>
    </row>
    <row r="74">
      <c r="A74" s="2" t="s">
        <v>1224</v>
      </c>
      <c r="B74" s="2" t="s">
        <v>93</v>
      </c>
      <c r="C74" s="2"/>
      <c r="D74" s="2" t="s">
        <v>64</v>
      </c>
      <c r="E74" s="7" t="b">
        <v>1</v>
      </c>
      <c r="F74" s="9">
        <v>155.0</v>
      </c>
      <c r="G74" s="9">
        <v>6.401805517106107</v>
      </c>
      <c r="H74" s="9">
        <v>0.0604247096774193</v>
      </c>
      <c r="I74" s="7" t="b">
        <v>1</v>
      </c>
      <c r="J74" s="9">
        <v>0.0</v>
      </c>
      <c r="K74" s="7" t="b">
        <v>0</v>
      </c>
      <c r="L74" s="9">
        <v>38496.0</v>
      </c>
      <c r="M74" s="9">
        <v>248.3613</v>
      </c>
      <c r="N74" s="2" t="s">
        <v>1242</v>
      </c>
      <c r="O74" s="2" t="s">
        <v>1243</v>
      </c>
      <c r="P74" s="9">
        <v>62.44</v>
      </c>
      <c r="Q74" s="9">
        <v>62.0</v>
      </c>
      <c r="R74" s="9">
        <v>0.126046</v>
      </c>
      <c r="S74" s="9">
        <v>0.9472</v>
      </c>
      <c r="T74" s="9">
        <v>0.685</v>
      </c>
      <c r="U74" s="2" t="s">
        <v>1245</v>
      </c>
      <c r="V74" s="9">
        <v>0.7989</v>
      </c>
      <c r="W74" s="9">
        <v>0.2233</v>
      </c>
      <c r="X74" s="2" t="s">
        <v>1094</v>
      </c>
      <c r="Y74" s="2" t="s">
        <v>495</v>
      </c>
      <c r="Z74" s="2" t="s">
        <v>1128</v>
      </c>
      <c r="AA74" s="9">
        <v>0.9328</v>
      </c>
      <c r="AB74" s="9">
        <v>0.9472</v>
      </c>
    </row>
    <row r="75">
      <c r="A75" s="2" t="s">
        <v>1224</v>
      </c>
      <c r="B75" s="2" t="s">
        <v>98</v>
      </c>
      <c r="C75" s="2"/>
      <c r="D75" s="2" t="s">
        <v>64</v>
      </c>
      <c r="E75" s="7" t="b">
        <v>1</v>
      </c>
      <c r="F75" s="9">
        <v>958.0</v>
      </c>
      <c r="G75" s="9">
        <v>3.858097735689364</v>
      </c>
      <c r="H75" s="9">
        <v>0.0290871878914405</v>
      </c>
      <c r="I75" s="7" t="b">
        <v>1</v>
      </c>
      <c r="J75" s="9">
        <v>0.0</v>
      </c>
      <c r="K75" s="7" t="b">
        <v>0</v>
      </c>
      <c r="L75" s="9">
        <v>39022.0</v>
      </c>
      <c r="M75" s="9">
        <v>40.7328</v>
      </c>
      <c r="N75" s="2" t="s">
        <v>1249</v>
      </c>
      <c r="O75" s="2" t="s">
        <v>1252</v>
      </c>
      <c r="P75" s="9">
        <v>62.13</v>
      </c>
      <c r="Q75" s="9">
        <v>62.0</v>
      </c>
      <c r="R75" s="9">
        <v>0.127702</v>
      </c>
      <c r="S75" s="9">
        <v>0.9361</v>
      </c>
      <c r="T75" s="9">
        <v>0.6292</v>
      </c>
      <c r="U75" s="2" t="s">
        <v>1254</v>
      </c>
      <c r="V75" s="9">
        <v>0.8069</v>
      </c>
      <c r="W75" s="9">
        <v>0.2284</v>
      </c>
      <c r="X75" s="2" t="s">
        <v>157</v>
      </c>
      <c r="Y75" s="2" t="s">
        <v>495</v>
      </c>
      <c r="Z75" s="2" t="s">
        <v>1128</v>
      </c>
      <c r="AA75" s="9">
        <v>0.924</v>
      </c>
      <c r="AB75" s="9">
        <v>0.9361</v>
      </c>
    </row>
    <row r="76">
      <c r="A76" s="2" t="s">
        <v>1224</v>
      </c>
      <c r="B76" s="2" t="s">
        <v>104</v>
      </c>
      <c r="C76" s="2"/>
      <c r="D76" s="2" t="s">
        <v>64</v>
      </c>
      <c r="E76" s="7" t="b">
        <v>1</v>
      </c>
      <c r="F76" s="9">
        <v>821.0</v>
      </c>
      <c r="G76" s="9">
        <v>4.008029821163482</v>
      </c>
      <c r="H76" s="9">
        <v>0.0322618294762484</v>
      </c>
      <c r="I76" s="7" t="b">
        <v>1</v>
      </c>
      <c r="J76" s="9">
        <v>0.0</v>
      </c>
      <c r="K76" s="7" t="b">
        <v>0</v>
      </c>
      <c r="L76" s="9">
        <v>45468.0</v>
      </c>
      <c r="M76" s="9">
        <v>55.3812</v>
      </c>
      <c r="N76" s="2" t="s">
        <v>1260</v>
      </c>
      <c r="O76" s="2" t="s">
        <v>1261</v>
      </c>
      <c r="P76" s="9">
        <v>62.89</v>
      </c>
      <c r="Q76" s="9">
        <v>63.0</v>
      </c>
      <c r="R76" s="9">
        <v>0.134447</v>
      </c>
      <c r="S76" s="9">
        <v>0.9537</v>
      </c>
      <c r="T76" s="9">
        <v>0.7295</v>
      </c>
      <c r="U76" s="2" t="s">
        <v>788</v>
      </c>
      <c r="V76" s="9">
        <v>0.8225</v>
      </c>
      <c r="W76" s="9">
        <v>0.2492</v>
      </c>
      <c r="X76" s="2" t="s">
        <v>134</v>
      </c>
      <c r="Y76" s="2" t="s">
        <v>495</v>
      </c>
      <c r="Z76" s="2" t="s">
        <v>1128</v>
      </c>
      <c r="AA76" s="9">
        <v>0.9434</v>
      </c>
      <c r="AB76" s="9">
        <v>0.9537</v>
      </c>
    </row>
    <row r="77">
      <c r="A77" s="2" t="s">
        <v>1263</v>
      </c>
      <c r="B77" s="2" t="s">
        <v>474</v>
      </c>
      <c r="C77" s="2"/>
      <c r="D77" s="2" t="s">
        <v>64</v>
      </c>
      <c r="E77" s="7" t="b">
        <v>1</v>
      </c>
      <c r="F77" s="9">
        <v>41.0</v>
      </c>
      <c r="G77" s="9">
        <v>18.70491504360342</v>
      </c>
      <c r="H77" s="9">
        <v>0.0200985365853658</v>
      </c>
      <c r="I77" s="7" t="b">
        <v>1</v>
      </c>
      <c r="J77" s="9">
        <v>0.0</v>
      </c>
      <c r="K77" s="7" t="b">
        <v>0</v>
      </c>
      <c r="L77" s="9">
        <v>304.0</v>
      </c>
      <c r="M77" s="9">
        <v>7.4146</v>
      </c>
      <c r="N77" s="2" t="s">
        <v>1266</v>
      </c>
      <c r="O77" s="2" t="s">
        <v>1267</v>
      </c>
      <c r="P77" s="9">
        <v>62.5</v>
      </c>
      <c r="Q77" s="9">
        <v>61.0</v>
      </c>
      <c r="R77" s="9">
        <v>0.125</v>
      </c>
      <c r="S77" s="9">
        <v>0.671</v>
      </c>
      <c r="T77" s="9">
        <v>0.9986</v>
      </c>
      <c r="U77" s="2" t="s">
        <v>285</v>
      </c>
      <c r="V77" s="9">
        <v>0.8904</v>
      </c>
      <c r="W77" s="9">
        <v>0.8784</v>
      </c>
      <c r="X77" s="2" t="s">
        <v>82</v>
      </c>
      <c r="Y77" s="2" t="s">
        <v>84</v>
      </c>
      <c r="Z77" s="2" t="s">
        <v>86</v>
      </c>
      <c r="AA77" s="9">
        <v>0.5291</v>
      </c>
      <c r="AB77" s="9">
        <v>0.671</v>
      </c>
    </row>
    <row r="78">
      <c r="A78" s="2" t="s">
        <v>1271</v>
      </c>
      <c r="B78" s="2" t="s">
        <v>474</v>
      </c>
      <c r="C78" s="2"/>
      <c r="D78" s="2" t="s">
        <v>64</v>
      </c>
      <c r="E78" s="7" t="b">
        <v>1</v>
      </c>
      <c r="F78" s="9">
        <v>135.0</v>
      </c>
      <c r="G78" s="9">
        <v>16.84286072791287</v>
      </c>
      <c r="H78" s="9">
        <v>0.0525985185185185</v>
      </c>
      <c r="I78" s="7" t="b">
        <v>1</v>
      </c>
      <c r="J78" s="9">
        <v>0.0</v>
      </c>
      <c r="K78" s="7" t="b">
        <v>0</v>
      </c>
      <c r="L78" s="9">
        <v>1329.0</v>
      </c>
      <c r="M78" s="9">
        <v>9.8444</v>
      </c>
      <c r="N78" s="2" t="s">
        <v>1274</v>
      </c>
      <c r="O78" s="2" t="s">
        <v>886</v>
      </c>
      <c r="P78" s="9">
        <v>62.24</v>
      </c>
      <c r="Q78" s="9">
        <v>61.0</v>
      </c>
      <c r="R78" s="9">
        <v>0.172078</v>
      </c>
      <c r="S78" s="9">
        <v>0.8273</v>
      </c>
      <c r="T78" s="9">
        <v>0.9989</v>
      </c>
      <c r="U78" s="2" t="s">
        <v>1275</v>
      </c>
      <c r="V78" s="9">
        <v>0.8759</v>
      </c>
      <c r="W78" s="9">
        <v>0.8809</v>
      </c>
      <c r="X78" s="2" t="s">
        <v>82</v>
      </c>
      <c r="Y78" s="2" t="s">
        <v>99</v>
      </c>
      <c r="Z78" s="2" t="s">
        <v>101</v>
      </c>
      <c r="AA78" s="9">
        <v>0.6667</v>
      </c>
      <c r="AB78" s="9">
        <v>0.8273</v>
      </c>
    </row>
    <row r="79">
      <c r="A79" s="2" t="s">
        <v>1276</v>
      </c>
      <c r="B79" s="2" t="s">
        <v>474</v>
      </c>
      <c r="C79" s="2"/>
      <c r="D79" s="2" t="s">
        <v>64</v>
      </c>
      <c r="E79" s="7" t="b">
        <v>1</v>
      </c>
      <c r="F79" s="9">
        <v>615.0</v>
      </c>
      <c r="G79" s="9">
        <v>17.6326197616425</v>
      </c>
      <c r="H79" s="9">
        <v>0.2362952195121951</v>
      </c>
      <c r="I79" s="7" t="b">
        <v>1</v>
      </c>
      <c r="J79" s="9">
        <v>0.0</v>
      </c>
      <c r="K79" s="7" t="b">
        <v>0</v>
      </c>
      <c r="L79" s="9">
        <v>5697.0</v>
      </c>
      <c r="M79" s="9">
        <v>9.2634</v>
      </c>
      <c r="N79" s="2" t="s">
        <v>1284</v>
      </c>
      <c r="O79" s="2" t="s">
        <v>1285</v>
      </c>
      <c r="P79" s="9">
        <v>62.92</v>
      </c>
      <c r="Q79" s="9">
        <v>62.0</v>
      </c>
      <c r="R79" s="9">
        <v>0.166149</v>
      </c>
      <c r="S79" s="9">
        <v>0.9414</v>
      </c>
      <c r="T79" s="9">
        <v>0.9983</v>
      </c>
      <c r="U79" s="2" t="s">
        <v>1286</v>
      </c>
      <c r="V79" s="9">
        <v>0.8731</v>
      </c>
      <c r="W79" s="9">
        <v>0.8792</v>
      </c>
      <c r="X79" s="2" t="s">
        <v>82</v>
      </c>
      <c r="Y79" s="2" t="s">
        <v>99</v>
      </c>
      <c r="Z79" s="2" t="s">
        <v>101</v>
      </c>
      <c r="AA79" s="9">
        <v>0.7962</v>
      </c>
      <c r="AB79" s="9">
        <v>0.9414</v>
      </c>
    </row>
    <row r="80">
      <c r="A80" s="2" t="s">
        <v>1288</v>
      </c>
      <c r="B80" s="2" t="s">
        <v>70</v>
      </c>
      <c r="C80" s="2"/>
      <c r="D80" s="2" t="s">
        <v>64</v>
      </c>
      <c r="E80" s="7" t="b">
        <v>1</v>
      </c>
      <c r="F80" s="9">
        <v>150.0</v>
      </c>
      <c r="G80" s="9">
        <v>5.933861409373927</v>
      </c>
      <c r="H80" s="9">
        <v>0.0015225606666666</v>
      </c>
      <c r="I80" s="7" t="b">
        <v>1</v>
      </c>
      <c r="J80" s="9">
        <v>0.0</v>
      </c>
      <c r="K80" s="7" t="b">
        <v>0</v>
      </c>
      <c r="L80" s="9">
        <v>21925.0</v>
      </c>
      <c r="M80" s="9">
        <v>146.1667</v>
      </c>
      <c r="N80" s="2" t="s">
        <v>1292</v>
      </c>
      <c r="O80" s="2" t="s">
        <v>1294</v>
      </c>
      <c r="P80" s="9">
        <v>62.79</v>
      </c>
      <c r="Q80" s="9">
        <v>62.0</v>
      </c>
      <c r="R80" s="9">
        <v>0.167656</v>
      </c>
      <c r="S80" s="9">
        <v>0.9701</v>
      </c>
      <c r="T80" s="9">
        <v>0.9641</v>
      </c>
      <c r="U80" s="2" t="s">
        <v>81</v>
      </c>
      <c r="V80" s="9">
        <v>0.8642</v>
      </c>
      <c r="W80" s="9">
        <v>0.859</v>
      </c>
      <c r="X80" s="2" t="s">
        <v>157</v>
      </c>
      <c r="Y80" s="2" t="s">
        <v>84</v>
      </c>
      <c r="Z80" s="2" t="s">
        <v>1299</v>
      </c>
      <c r="AA80" s="9">
        <v>0.8945</v>
      </c>
      <c r="AB80" s="9">
        <v>0.9701</v>
      </c>
    </row>
    <row r="81">
      <c r="A81" s="2" t="s">
        <v>1288</v>
      </c>
      <c r="B81" s="2" t="s">
        <v>474</v>
      </c>
      <c r="C81" s="2"/>
      <c r="D81" s="2" t="s">
        <v>64</v>
      </c>
      <c r="E81" s="7" t="b">
        <v>1</v>
      </c>
      <c r="F81" s="9">
        <v>2720.0</v>
      </c>
      <c r="G81" s="9">
        <v>20.74338587121876</v>
      </c>
      <c r="H81" s="9">
        <v>0.9388445294117648</v>
      </c>
      <c r="I81" s="7" t="b">
        <v>1</v>
      </c>
      <c r="J81" s="9">
        <v>0.0</v>
      </c>
      <c r="K81" s="7" t="b">
        <v>0</v>
      </c>
      <c r="L81" s="9">
        <v>24751.0</v>
      </c>
      <c r="M81" s="9">
        <v>9.0996</v>
      </c>
      <c r="N81" s="2" t="s">
        <v>1303</v>
      </c>
      <c r="O81" s="2" t="s">
        <v>1306</v>
      </c>
      <c r="P81" s="9">
        <v>62.73</v>
      </c>
      <c r="Q81" s="9">
        <v>62.0</v>
      </c>
      <c r="R81" s="9">
        <v>0.174182</v>
      </c>
      <c r="S81" s="9">
        <v>0.9848</v>
      </c>
      <c r="T81" s="9">
        <v>0.9935</v>
      </c>
      <c r="U81" s="2" t="s">
        <v>1275</v>
      </c>
      <c r="V81" s="9">
        <v>0.8725</v>
      </c>
      <c r="W81" s="9">
        <v>0.8791</v>
      </c>
      <c r="X81" s="2" t="s">
        <v>82</v>
      </c>
      <c r="Y81" s="2" t="s">
        <v>99</v>
      </c>
      <c r="Z81" s="2" t="s">
        <v>101</v>
      </c>
      <c r="AA81" s="9">
        <v>0.909</v>
      </c>
      <c r="AB81" s="9">
        <v>0.9848</v>
      </c>
    </row>
    <row r="82">
      <c r="A82" s="2" t="s">
        <v>1312</v>
      </c>
      <c r="B82" s="2" t="s">
        <v>70</v>
      </c>
      <c r="C82" s="2"/>
      <c r="D82" s="2" t="s">
        <v>64</v>
      </c>
      <c r="E82" s="7" t="b">
        <v>1</v>
      </c>
      <c r="F82" s="9">
        <v>637.0</v>
      </c>
      <c r="G82" s="9">
        <v>6.042467431536347</v>
      </c>
      <c r="H82" s="9">
        <v>0.0066481538461538</v>
      </c>
      <c r="I82" s="7" t="b">
        <v>1</v>
      </c>
      <c r="J82" s="9">
        <v>0.0</v>
      </c>
      <c r="K82" s="7" t="b">
        <v>0</v>
      </c>
      <c r="L82" s="9">
        <v>93596.0</v>
      </c>
      <c r="M82" s="9">
        <v>146.9325</v>
      </c>
      <c r="N82" s="2" t="s">
        <v>1318</v>
      </c>
      <c r="O82" s="2" t="s">
        <v>1320</v>
      </c>
      <c r="P82" s="9">
        <v>62.7</v>
      </c>
      <c r="Q82" s="9">
        <v>62.0</v>
      </c>
      <c r="R82" s="9">
        <v>0.159968</v>
      </c>
      <c r="S82" s="9">
        <v>0.9808</v>
      </c>
      <c r="T82" s="9">
        <v>0.9235</v>
      </c>
      <c r="U82" s="2" t="s">
        <v>81</v>
      </c>
      <c r="V82" s="9">
        <v>0.8675</v>
      </c>
      <c r="W82" s="9">
        <v>0.8603</v>
      </c>
      <c r="X82" s="2" t="s">
        <v>157</v>
      </c>
      <c r="Y82" s="2" t="s">
        <v>84</v>
      </c>
      <c r="Z82" s="2" t="s">
        <v>1299</v>
      </c>
      <c r="AA82" s="9">
        <v>0.9611</v>
      </c>
      <c r="AB82" s="9">
        <v>0.9808</v>
      </c>
    </row>
    <row r="83">
      <c r="A83" s="2" t="s">
        <v>1312</v>
      </c>
      <c r="B83" s="2" t="s">
        <v>474</v>
      </c>
      <c r="C83" s="2"/>
      <c r="D83" s="2" t="s">
        <v>64</v>
      </c>
      <c r="E83" s="7" t="b">
        <v>1</v>
      </c>
      <c r="F83" s="9">
        <v>11705.0</v>
      </c>
      <c r="G83" s="9">
        <v>31.441076104586</v>
      </c>
      <c r="H83" s="9">
        <v>2.446126057240495</v>
      </c>
      <c r="I83" s="7" t="b">
        <v>1</v>
      </c>
      <c r="J83" s="9">
        <v>0.0</v>
      </c>
      <c r="K83" s="7" t="b">
        <v>0</v>
      </c>
      <c r="L83" s="9">
        <v>105950.0</v>
      </c>
      <c r="M83" s="9">
        <v>9.0517</v>
      </c>
      <c r="N83" s="2" t="s">
        <v>1326</v>
      </c>
      <c r="O83" s="2" t="s">
        <v>1327</v>
      </c>
      <c r="P83" s="9">
        <v>62.71</v>
      </c>
      <c r="Q83" s="9">
        <v>62.0</v>
      </c>
      <c r="R83" s="9">
        <v>0.171088</v>
      </c>
      <c r="S83" s="9">
        <v>0.9935</v>
      </c>
      <c r="T83" s="9">
        <v>0.9738</v>
      </c>
      <c r="U83" s="2" t="s">
        <v>1275</v>
      </c>
      <c r="V83" s="9">
        <v>0.8756</v>
      </c>
      <c r="W83" s="9">
        <v>0.8788</v>
      </c>
      <c r="X83" s="2" t="s">
        <v>82</v>
      </c>
      <c r="Y83" s="2" t="s">
        <v>99</v>
      </c>
      <c r="Z83" s="2" t="s">
        <v>101</v>
      </c>
      <c r="AA83" s="9">
        <v>0.9737</v>
      </c>
      <c r="AB83" s="9">
        <v>0.9935</v>
      </c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13"/>
  </cols>
  <sheetData>
    <row r="1">
      <c r="A1" s="3" t="s">
        <v>14</v>
      </c>
      <c r="B1" s="3" t="s">
        <v>38</v>
      </c>
      <c r="C1" s="4" t="s">
        <v>45</v>
      </c>
      <c r="D1" s="5" t="s">
        <v>51</v>
      </c>
      <c r="E1" s="6" t="s">
        <v>59</v>
      </c>
      <c r="F1" s="6" t="s">
        <v>65</v>
      </c>
      <c r="G1" s="6" t="s">
        <v>67</v>
      </c>
      <c r="H1" s="8" t="s">
        <v>68</v>
      </c>
      <c r="I1" s="8" t="s">
        <v>71</v>
      </c>
      <c r="J1" s="8" t="s">
        <v>73</v>
      </c>
      <c r="K1" s="8" t="s">
        <v>74</v>
      </c>
      <c r="L1" s="10" t="s">
        <v>79</v>
      </c>
      <c r="M1" s="10" t="s">
        <v>85</v>
      </c>
      <c r="N1" s="1" t="s">
        <v>89</v>
      </c>
      <c r="R1" s="11"/>
      <c r="S1" s="11"/>
      <c r="T1" s="11"/>
      <c r="U1" s="11"/>
      <c r="W1" s="11"/>
      <c r="X1" s="11"/>
      <c r="Y1" s="11"/>
      <c r="Z1" s="11"/>
    </row>
    <row r="2">
      <c r="A2" s="12">
        <v>10304.0</v>
      </c>
      <c r="B2" s="12" t="s">
        <v>111</v>
      </c>
      <c r="C2" s="13" t="s">
        <v>113</v>
      </c>
      <c r="D2" s="13" t="s">
        <v>115</v>
      </c>
      <c r="E2" s="13" t="s">
        <v>119</v>
      </c>
      <c r="F2" s="13" t="s">
        <v>121</v>
      </c>
      <c r="G2" s="13" t="s">
        <v>122</v>
      </c>
      <c r="H2" s="4" t="s">
        <v>124</v>
      </c>
      <c r="I2" s="4" t="s">
        <v>125</v>
      </c>
      <c r="J2" s="4" t="s">
        <v>128</v>
      </c>
      <c r="K2" s="4" t="s">
        <v>131</v>
      </c>
      <c r="L2" s="14">
        <v>5177.5</v>
      </c>
      <c r="M2" s="14">
        <v>5300.0</v>
      </c>
      <c r="N2" s="1">
        <v>5055.0</v>
      </c>
      <c r="R2" s="15"/>
      <c r="S2" s="15"/>
      <c r="T2" s="15"/>
      <c r="U2" s="15"/>
    </row>
    <row r="3">
      <c r="A3" s="16" t="s">
        <v>141</v>
      </c>
      <c r="B3" s="16" t="s">
        <v>145</v>
      </c>
      <c r="C3" s="13" t="s">
        <v>113</v>
      </c>
      <c r="D3" s="13" t="s">
        <v>115</v>
      </c>
      <c r="E3" s="13" t="s">
        <v>119</v>
      </c>
      <c r="F3" s="13" t="s">
        <v>121</v>
      </c>
      <c r="G3" s="13" t="s">
        <v>122</v>
      </c>
      <c r="H3" s="4" t="s">
        <v>124</v>
      </c>
      <c r="I3" s="4" t="s">
        <v>125</v>
      </c>
      <c r="J3" s="4" t="s">
        <v>128</v>
      </c>
      <c r="K3" s="4" t="s">
        <v>131</v>
      </c>
      <c r="L3" s="14">
        <v>5177.5</v>
      </c>
      <c r="M3" s="14">
        <v>5300.0</v>
      </c>
      <c r="N3" s="1">
        <v>5055.0</v>
      </c>
      <c r="R3" s="15"/>
      <c r="S3" s="17"/>
      <c r="T3" s="17"/>
      <c r="U3" s="17"/>
    </row>
    <row r="4">
      <c r="A4" s="12" t="s">
        <v>155</v>
      </c>
      <c r="B4" s="12" t="s">
        <v>156</v>
      </c>
      <c r="C4" s="13" t="s">
        <v>113</v>
      </c>
      <c r="D4" s="13" t="s">
        <v>115</v>
      </c>
      <c r="E4" s="13" t="s">
        <v>119</v>
      </c>
      <c r="F4" s="13" t="s">
        <v>121</v>
      </c>
      <c r="G4" s="13" t="s">
        <v>122</v>
      </c>
      <c r="H4" s="4" t="s">
        <v>124</v>
      </c>
      <c r="I4" s="4" t="s">
        <v>125</v>
      </c>
      <c r="J4" s="4" t="s">
        <v>128</v>
      </c>
      <c r="K4" s="4" t="s">
        <v>131</v>
      </c>
      <c r="L4" s="14">
        <v>5177.5</v>
      </c>
      <c r="M4" s="14">
        <v>5300.0</v>
      </c>
      <c r="N4" s="1">
        <v>5055.0</v>
      </c>
      <c r="R4" s="15"/>
      <c r="S4" s="17"/>
      <c r="T4" s="17"/>
      <c r="U4" s="17"/>
    </row>
    <row r="5">
      <c r="A5" s="16" t="s">
        <v>166</v>
      </c>
      <c r="B5" s="16" t="s">
        <v>168</v>
      </c>
      <c r="C5" s="13" t="s">
        <v>113</v>
      </c>
      <c r="D5" s="13" t="s">
        <v>115</v>
      </c>
      <c r="E5" s="13" t="s">
        <v>119</v>
      </c>
      <c r="F5" s="13" t="s">
        <v>121</v>
      </c>
      <c r="G5" s="13" t="s">
        <v>122</v>
      </c>
      <c r="H5" s="4" t="s">
        <v>124</v>
      </c>
      <c r="I5" s="4" t="s">
        <v>125</v>
      </c>
      <c r="J5" s="4" t="s">
        <v>128</v>
      </c>
      <c r="K5" s="4" t="s">
        <v>131</v>
      </c>
      <c r="L5" s="14">
        <v>5177.5</v>
      </c>
      <c r="M5" s="14">
        <v>5300.0</v>
      </c>
      <c r="N5" s="1">
        <v>5055.0</v>
      </c>
      <c r="R5" s="15"/>
      <c r="S5" s="17"/>
      <c r="T5" s="17"/>
      <c r="U5" s="17"/>
    </row>
    <row r="6">
      <c r="A6" s="12" t="s">
        <v>189</v>
      </c>
      <c r="B6" s="12" t="s">
        <v>192</v>
      </c>
      <c r="C6" s="13" t="s">
        <v>195</v>
      </c>
      <c r="D6" s="13" t="s">
        <v>197</v>
      </c>
      <c r="E6" s="13" t="s">
        <v>119</v>
      </c>
      <c r="F6" s="13" t="s">
        <v>121</v>
      </c>
      <c r="G6" s="13" t="s">
        <v>122</v>
      </c>
      <c r="H6" s="14">
        <v>49.7462012</v>
      </c>
      <c r="I6" s="14">
        <v>8.1171135</v>
      </c>
      <c r="J6" s="13" t="s">
        <v>201</v>
      </c>
      <c r="K6" s="13" t="s">
        <v>202</v>
      </c>
      <c r="L6" s="14">
        <v>1700.0</v>
      </c>
      <c r="M6" s="14">
        <v>1900.0</v>
      </c>
      <c r="N6" s="1">
        <v>1500.0</v>
      </c>
      <c r="R6" s="15"/>
      <c r="S6" s="17"/>
      <c r="T6" s="17"/>
      <c r="U6" s="17"/>
    </row>
    <row r="7">
      <c r="A7" s="16" t="s">
        <v>206</v>
      </c>
      <c r="B7" s="16" t="s">
        <v>207</v>
      </c>
      <c r="C7" s="13" t="s">
        <v>209</v>
      </c>
      <c r="D7" s="13" t="s">
        <v>211</v>
      </c>
      <c r="E7" s="13" t="s">
        <v>119</v>
      </c>
      <c r="F7" s="13" t="s">
        <v>121</v>
      </c>
      <c r="G7" s="13" t="s">
        <v>122</v>
      </c>
      <c r="H7" s="14">
        <v>38.34935</v>
      </c>
      <c r="I7" s="14">
        <v>34.230237</v>
      </c>
      <c r="J7" s="13" t="s">
        <v>213</v>
      </c>
      <c r="K7" s="13" t="s">
        <v>215</v>
      </c>
      <c r="L7" s="18">
        <v>9608.0</v>
      </c>
      <c r="M7" s="14">
        <v>9679.0</v>
      </c>
      <c r="N7" s="1">
        <v>9536.0</v>
      </c>
      <c r="R7" s="15"/>
      <c r="S7" s="17"/>
      <c r="T7" s="17"/>
      <c r="U7" s="17"/>
    </row>
    <row r="8">
      <c r="A8" s="12" t="s">
        <v>223</v>
      </c>
      <c r="B8" s="12" t="s">
        <v>226</v>
      </c>
      <c r="C8" s="13" t="s">
        <v>209</v>
      </c>
      <c r="D8" s="13" t="s">
        <v>211</v>
      </c>
      <c r="E8" s="13" t="s">
        <v>119</v>
      </c>
      <c r="F8" s="13" t="s">
        <v>121</v>
      </c>
      <c r="G8" s="13" t="s">
        <v>122</v>
      </c>
      <c r="H8" s="14">
        <v>38.34935</v>
      </c>
      <c r="I8" s="14">
        <v>34.230237</v>
      </c>
      <c r="J8" s="13" t="s">
        <v>213</v>
      </c>
      <c r="K8" s="13" t="s">
        <v>215</v>
      </c>
      <c r="L8" s="14">
        <v>9750.0</v>
      </c>
      <c r="M8" s="14">
        <v>9950.0</v>
      </c>
      <c r="N8" s="1">
        <v>9550.0</v>
      </c>
      <c r="R8" s="15"/>
      <c r="S8" s="17"/>
      <c r="T8" s="17"/>
      <c r="U8" s="17"/>
    </row>
    <row r="9">
      <c r="A9" s="16" t="s">
        <v>236</v>
      </c>
      <c r="B9" s="16" t="s">
        <v>238</v>
      </c>
      <c r="C9" s="13" t="s">
        <v>209</v>
      </c>
      <c r="D9" s="13" t="s">
        <v>211</v>
      </c>
      <c r="E9" s="13" t="s">
        <v>119</v>
      </c>
      <c r="F9" s="13" t="s">
        <v>121</v>
      </c>
      <c r="G9" s="13" t="s">
        <v>122</v>
      </c>
      <c r="H9" s="14">
        <v>38.34935</v>
      </c>
      <c r="I9" s="14">
        <v>34.230237</v>
      </c>
      <c r="J9" s="13" t="s">
        <v>213</v>
      </c>
      <c r="K9" s="13" t="s">
        <v>215</v>
      </c>
      <c r="L9" s="14">
        <v>10200.0</v>
      </c>
      <c r="M9" s="14">
        <v>10400.0</v>
      </c>
      <c r="N9" s="1">
        <v>10000.0</v>
      </c>
      <c r="R9" s="15"/>
      <c r="S9" s="17"/>
      <c r="T9" s="17"/>
      <c r="U9" s="17"/>
    </row>
    <row r="10">
      <c r="A10" s="12" t="s">
        <v>250</v>
      </c>
      <c r="B10" s="12" t="s">
        <v>251</v>
      </c>
      <c r="C10" s="13" t="s">
        <v>209</v>
      </c>
      <c r="D10" s="13" t="s">
        <v>211</v>
      </c>
      <c r="E10" s="13" t="s">
        <v>119</v>
      </c>
      <c r="F10" s="13" t="s">
        <v>121</v>
      </c>
      <c r="G10" s="13" t="s">
        <v>122</v>
      </c>
      <c r="H10" s="14">
        <v>38.34935</v>
      </c>
      <c r="I10" s="14">
        <v>34.230237</v>
      </c>
      <c r="J10" s="13" t="s">
        <v>213</v>
      </c>
      <c r="K10" s="13" t="s">
        <v>215</v>
      </c>
      <c r="L10" s="14">
        <v>10200.0</v>
      </c>
      <c r="M10" s="14">
        <v>10400.0</v>
      </c>
      <c r="N10" s="1">
        <v>10000.0</v>
      </c>
      <c r="R10" s="15"/>
      <c r="S10" s="17"/>
      <c r="T10" s="17"/>
      <c r="U10" s="17"/>
    </row>
    <row r="11">
      <c r="A11" s="16" t="s">
        <v>259</v>
      </c>
      <c r="B11" s="16" t="s">
        <v>261</v>
      </c>
      <c r="C11" s="13" t="s">
        <v>209</v>
      </c>
      <c r="D11" s="13" t="s">
        <v>211</v>
      </c>
      <c r="E11" s="13" t="s">
        <v>119</v>
      </c>
      <c r="F11" s="13" t="s">
        <v>121</v>
      </c>
      <c r="G11" s="13" t="s">
        <v>122</v>
      </c>
      <c r="H11" s="14">
        <v>38.34935</v>
      </c>
      <c r="I11" s="14">
        <v>34.230237</v>
      </c>
      <c r="J11" s="13" t="s">
        <v>213</v>
      </c>
      <c r="K11" s="13" t="s">
        <v>215</v>
      </c>
      <c r="L11" s="18">
        <v>9904.0</v>
      </c>
      <c r="M11" s="14">
        <v>10118.0</v>
      </c>
      <c r="N11" s="1">
        <v>9689.0</v>
      </c>
      <c r="R11" s="15"/>
      <c r="S11" s="17"/>
      <c r="T11" s="17"/>
      <c r="U11" s="17"/>
    </row>
    <row r="12">
      <c r="A12" s="12" t="s">
        <v>271</v>
      </c>
      <c r="B12" s="12" t="s">
        <v>273</v>
      </c>
      <c r="C12" s="13" t="s">
        <v>209</v>
      </c>
      <c r="D12" s="13" t="s">
        <v>275</v>
      </c>
      <c r="E12" s="13" t="s">
        <v>119</v>
      </c>
      <c r="F12" s="13" t="s">
        <v>121</v>
      </c>
      <c r="G12" s="13" t="s">
        <v>122</v>
      </c>
      <c r="H12" s="14">
        <v>38.34935</v>
      </c>
      <c r="I12" s="14">
        <v>34.230237</v>
      </c>
      <c r="J12" s="13" t="s">
        <v>213</v>
      </c>
      <c r="K12" s="13" t="s">
        <v>215</v>
      </c>
      <c r="L12" s="18">
        <v>9724.0</v>
      </c>
      <c r="M12" s="14">
        <v>9891.0</v>
      </c>
      <c r="N12" s="1">
        <v>9557.0</v>
      </c>
      <c r="R12" s="15"/>
      <c r="S12" s="17"/>
      <c r="T12" s="17"/>
      <c r="U12" s="17"/>
    </row>
    <row r="13">
      <c r="A13" s="16" t="s">
        <v>281</v>
      </c>
      <c r="B13" s="16" t="s">
        <v>283</v>
      </c>
      <c r="C13" s="13" t="s">
        <v>195</v>
      </c>
      <c r="D13" s="13" t="s">
        <v>197</v>
      </c>
      <c r="E13" s="13" t="s">
        <v>119</v>
      </c>
      <c r="F13" s="13" t="s">
        <v>121</v>
      </c>
      <c r="G13" s="13" t="s">
        <v>122</v>
      </c>
      <c r="H13" s="14">
        <v>38.34935</v>
      </c>
      <c r="I13" s="14">
        <v>34.230237</v>
      </c>
      <c r="J13" s="13" t="s">
        <v>213</v>
      </c>
      <c r="K13" s="13" t="s">
        <v>215</v>
      </c>
      <c r="L13" s="18">
        <v>9860.0</v>
      </c>
      <c r="M13" s="14">
        <v>10111.0</v>
      </c>
      <c r="N13" s="1">
        <v>9608.0</v>
      </c>
      <c r="R13" s="15"/>
      <c r="S13" s="17"/>
      <c r="T13" s="17"/>
      <c r="U13" s="17"/>
    </row>
    <row r="14">
      <c r="A14" s="12" t="s">
        <v>290</v>
      </c>
      <c r="B14" s="12" t="s">
        <v>291</v>
      </c>
      <c r="C14" s="13" t="s">
        <v>195</v>
      </c>
      <c r="D14" s="13" t="s">
        <v>197</v>
      </c>
      <c r="E14" s="13" t="s">
        <v>119</v>
      </c>
      <c r="F14" s="13" t="s">
        <v>121</v>
      </c>
      <c r="G14" s="13" t="s">
        <v>122</v>
      </c>
      <c r="H14" s="14">
        <v>43.717483</v>
      </c>
      <c r="I14" s="14">
        <v>21.0978982</v>
      </c>
      <c r="J14" s="13" t="s">
        <v>295</v>
      </c>
      <c r="K14" s="13" t="s">
        <v>296</v>
      </c>
      <c r="L14" s="14">
        <v>8225.0</v>
      </c>
      <c r="M14" s="14">
        <v>8425.0</v>
      </c>
      <c r="N14" s="1">
        <v>8025.0</v>
      </c>
      <c r="R14" s="15"/>
      <c r="S14" s="17"/>
      <c r="T14" s="17"/>
      <c r="U14" s="17"/>
    </row>
    <row r="15">
      <c r="A15" s="16" t="s">
        <v>300</v>
      </c>
      <c r="B15" s="16" t="s">
        <v>303</v>
      </c>
      <c r="C15" s="13" t="s">
        <v>195</v>
      </c>
      <c r="D15" s="13" t="s">
        <v>197</v>
      </c>
      <c r="E15" s="13" t="s">
        <v>119</v>
      </c>
      <c r="F15" s="13" t="s">
        <v>121</v>
      </c>
      <c r="G15" s="13" t="s">
        <v>122</v>
      </c>
      <c r="H15" s="14">
        <v>43.717483</v>
      </c>
      <c r="I15" s="14">
        <v>21.0978982</v>
      </c>
      <c r="J15" s="13" t="s">
        <v>295</v>
      </c>
      <c r="K15" s="13" t="s">
        <v>296</v>
      </c>
      <c r="L15" s="14">
        <v>8225.0</v>
      </c>
      <c r="M15" s="14">
        <v>8425.0</v>
      </c>
      <c r="N15" s="1">
        <v>8025.0</v>
      </c>
      <c r="R15" s="15"/>
      <c r="S15" s="17"/>
      <c r="T15" s="17"/>
      <c r="U15" s="17"/>
    </row>
    <row r="16">
      <c r="A16" s="12" t="s">
        <v>312</v>
      </c>
      <c r="B16" s="12" t="s">
        <v>314</v>
      </c>
      <c r="C16" s="13" t="s">
        <v>195</v>
      </c>
      <c r="D16" s="13" t="s">
        <v>197</v>
      </c>
      <c r="E16" s="13" t="s">
        <v>119</v>
      </c>
      <c r="F16" s="13" t="s">
        <v>121</v>
      </c>
      <c r="G16" s="13" t="s">
        <v>122</v>
      </c>
      <c r="H16" s="14">
        <v>43.717483</v>
      </c>
      <c r="I16" s="14">
        <v>21.0978982</v>
      </c>
      <c r="J16" s="13" t="s">
        <v>295</v>
      </c>
      <c r="K16" s="13" t="s">
        <v>296</v>
      </c>
      <c r="L16" s="14">
        <v>8225.0</v>
      </c>
      <c r="M16" s="14">
        <v>8425.0</v>
      </c>
      <c r="N16" s="1">
        <v>8025.0</v>
      </c>
      <c r="R16" s="15"/>
      <c r="S16" s="17"/>
      <c r="T16" s="17"/>
      <c r="U16" s="17"/>
    </row>
    <row r="17">
      <c r="A17" s="16" t="s">
        <v>324</v>
      </c>
      <c r="B17" s="16" t="s">
        <v>327</v>
      </c>
      <c r="C17" s="13" t="s">
        <v>195</v>
      </c>
      <c r="D17" s="13" t="s">
        <v>197</v>
      </c>
      <c r="E17" s="13" t="s">
        <v>119</v>
      </c>
      <c r="F17" s="13" t="s">
        <v>121</v>
      </c>
      <c r="G17" s="13" t="s">
        <v>122</v>
      </c>
      <c r="H17" s="14">
        <v>43.717483</v>
      </c>
      <c r="I17" s="14">
        <v>21.0978982</v>
      </c>
      <c r="J17" s="13" t="s">
        <v>295</v>
      </c>
      <c r="K17" s="13" t="s">
        <v>296</v>
      </c>
      <c r="L17" s="14">
        <v>8225.0</v>
      </c>
      <c r="M17" s="14">
        <v>8425.0</v>
      </c>
      <c r="N17" s="1">
        <v>8025.0</v>
      </c>
      <c r="R17" s="15"/>
      <c r="S17" s="17"/>
      <c r="T17" s="17"/>
      <c r="U17" s="17"/>
    </row>
    <row r="18">
      <c r="A18" s="12" t="s">
        <v>334</v>
      </c>
      <c r="B18" s="12" t="s">
        <v>336</v>
      </c>
      <c r="C18" s="13" t="s">
        <v>195</v>
      </c>
      <c r="D18" s="13" t="s">
        <v>197</v>
      </c>
      <c r="E18" s="13" t="s">
        <v>119</v>
      </c>
      <c r="F18" s="13" t="s">
        <v>121</v>
      </c>
      <c r="G18" s="13" t="s">
        <v>122</v>
      </c>
      <c r="H18" s="14">
        <v>43.717483</v>
      </c>
      <c r="I18" s="14">
        <v>21.0978982</v>
      </c>
      <c r="J18" s="13" t="s">
        <v>295</v>
      </c>
      <c r="K18" s="13" t="s">
        <v>296</v>
      </c>
      <c r="L18" s="14">
        <v>8225.0</v>
      </c>
      <c r="M18" s="14">
        <v>8425.0</v>
      </c>
      <c r="N18" s="1">
        <v>8025.0</v>
      </c>
      <c r="R18" s="15"/>
      <c r="S18" s="17"/>
      <c r="T18" s="17"/>
      <c r="U18" s="17"/>
    </row>
    <row r="19">
      <c r="A19" s="16" t="s">
        <v>346</v>
      </c>
      <c r="B19" s="16" t="s">
        <v>347</v>
      </c>
      <c r="C19" s="13" t="s">
        <v>195</v>
      </c>
      <c r="D19" s="13" t="s">
        <v>197</v>
      </c>
      <c r="E19" s="13" t="s">
        <v>119</v>
      </c>
      <c r="F19" s="13" t="s">
        <v>121</v>
      </c>
      <c r="G19" s="13" t="s">
        <v>122</v>
      </c>
      <c r="H19" s="14">
        <v>43.717483</v>
      </c>
      <c r="I19" s="14">
        <v>21.0978982</v>
      </c>
      <c r="J19" s="13" t="s">
        <v>295</v>
      </c>
      <c r="K19" s="13" t="s">
        <v>296</v>
      </c>
      <c r="L19" s="14">
        <v>8225.0</v>
      </c>
      <c r="M19" s="14">
        <v>8425.0</v>
      </c>
      <c r="N19" s="1">
        <v>8025.0</v>
      </c>
      <c r="R19" s="15"/>
      <c r="S19" s="17"/>
      <c r="T19" s="17"/>
      <c r="U19" s="17"/>
    </row>
    <row r="20">
      <c r="A20" s="12" t="s">
        <v>358</v>
      </c>
      <c r="B20" s="12" t="s">
        <v>359</v>
      </c>
      <c r="C20" s="13" t="s">
        <v>195</v>
      </c>
      <c r="D20" s="13" t="s">
        <v>197</v>
      </c>
      <c r="E20" s="13" t="s">
        <v>119</v>
      </c>
      <c r="F20" s="13" t="s">
        <v>121</v>
      </c>
      <c r="G20" s="13" t="s">
        <v>122</v>
      </c>
      <c r="H20" s="14">
        <v>43.717483</v>
      </c>
      <c r="I20" s="14">
        <v>21.0978982</v>
      </c>
      <c r="J20" s="13" t="s">
        <v>295</v>
      </c>
      <c r="K20" s="13" t="s">
        <v>296</v>
      </c>
      <c r="L20" s="14">
        <v>8225.0</v>
      </c>
      <c r="M20" s="14">
        <v>8425.0</v>
      </c>
      <c r="N20" s="1">
        <v>8025.0</v>
      </c>
      <c r="R20" s="15"/>
      <c r="S20" s="17"/>
      <c r="T20" s="17"/>
      <c r="U20" s="17"/>
    </row>
    <row r="21">
      <c r="A21" s="16" t="s">
        <v>371</v>
      </c>
      <c r="B21" s="16" t="s">
        <v>373</v>
      </c>
      <c r="C21" s="13" t="s">
        <v>195</v>
      </c>
      <c r="D21" s="13" t="s">
        <v>197</v>
      </c>
      <c r="E21" s="13" t="s">
        <v>119</v>
      </c>
      <c r="F21" s="13" t="s">
        <v>121</v>
      </c>
      <c r="G21" s="13" t="s">
        <v>122</v>
      </c>
      <c r="H21" s="14">
        <v>43.717483</v>
      </c>
      <c r="I21" s="14">
        <v>21.0978982</v>
      </c>
      <c r="J21" s="13" t="s">
        <v>295</v>
      </c>
      <c r="K21" s="13" t="s">
        <v>296</v>
      </c>
      <c r="L21" s="14">
        <v>8225.0</v>
      </c>
      <c r="M21" s="14">
        <v>8425.0</v>
      </c>
      <c r="N21" s="1">
        <v>8025.0</v>
      </c>
      <c r="R21" s="15"/>
      <c r="S21" s="17"/>
      <c r="T21" s="17"/>
      <c r="U21" s="17"/>
    </row>
    <row r="22">
      <c r="A22" s="12" t="s">
        <v>384</v>
      </c>
      <c r="B22" s="12" t="s">
        <v>386</v>
      </c>
      <c r="C22" s="13" t="s">
        <v>195</v>
      </c>
      <c r="D22" s="13" t="s">
        <v>197</v>
      </c>
      <c r="E22" s="13" t="s">
        <v>119</v>
      </c>
      <c r="F22" s="13" t="s">
        <v>121</v>
      </c>
      <c r="G22" s="13" t="s">
        <v>122</v>
      </c>
      <c r="H22" s="14">
        <v>43.717483</v>
      </c>
      <c r="I22" s="14">
        <v>21.0978982</v>
      </c>
      <c r="J22" s="13" t="s">
        <v>295</v>
      </c>
      <c r="K22" s="13" t="s">
        <v>296</v>
      </c>
      <c r="L22" s="14">
        <v>8225.0</v>
      </c>
      <c r="M22" s="14">
        <v>8425.0</v>
      </c>
      <c r="N22" s="1">
        <v>8025.0</v>
      </c>
      <c r="R22" s="15"/>
      <c r="S22" s="15"/>
      <c r="T22" s="15"/>
      <c r="U22" s="15"/>
    </row>
    <row r="23">
      <c r="A23" s="16" t="s">
        <v>392</v>
      </c>
      <c r="B23" s="16" t="s">
        <v>393</v>
      </c>
      <c r="C23" s="13" t="s">
        <v>195</v>
      </c>
      <c r="D23" s="13" t="s">
        <v>197</v>
      </c>
      <c r="E23" s="13" t="s">
        <v>119</v>
      </c>
      <c r="F23" s="13" t="s">
        <v>121</v>
      </c>
      <c r="G23" s="13" t="s">
        <v>122</v>
      </c>
      <c r="H23" s="14">
        <v>43.717483</v>
      </c>
      <c r="I23" s="14">
        <v>21.0978982</v>
      </c>
      <c r="J23" s="13" t="s">
        <v>295</v>
      </c>
      <c r="K23" s="13" t="s">
        <v>296</v>
      </c>
      <c r="L23" s="18">
        <v>8155.0</v>
      </c>
      <c r="M23" s="14">
        <v>8285.0</v>
      </c>
      <c r="N23" s="1">
        <v>8024.0</v>
      </c>
      <c r="R23" s="15"/>
      <c r="S23" s="17"/>
      <c r="T23" s="17"/>
      <c r="U23" s="17"/>
    </row>
    <row r="24">
      <c r="A24" s="12" t="s">
        <v>406</v>
      </c>
      <c r="B24" s="12" t="s">
        <v>408</v>
      </c>
      <c r="C24" s="13" t="s">
        <v>195</v>
      </c>
      <c r="D24" s="13" t="s">
        <v>197</v>
      </c>
      <c r="E24" s="13" t="s">
        <v>119</v>
      </c>
      <c r="F24" s="13" t="s">
        <v>121</v>
      </c>
      <c r="G24" s="13" t="s">
        <v>122</v>
      </c>
      <c r="H24" s="14">
        <v>43.717483</v>
      </c>
      <c r="I24" s="14">
        <v>21.0978982</v>
      </c>
      <c r="J24" s="13" t="s">
        <v>295</v>
      </c>
      <c r="K24" s="13" t="s">
        <v>296</v>
      </c>
      <c r="L24" s="14">
        <v>8225.0</v>
      </c>
      <c r="M24" s="14">
        <v>8425.0</v>
      </c>
      <c r="N24" s="1">
        <v>8025.0</v>
      </c>
      <c r="R24" s="15"/>
      <c r="S24" s="17"/>
      <c r="T24" s="17"/>
      <c r="U24" s="17"/>
    </row>
    <row r="25">
      <c r="A25" s="16" t="s">
        <v>415</v>
      </c>
      <c r="B25" s="16" t="s">
        <v>417</v>
      </c>
      <c r="C25" s="13" t="s">
        <v>195</v>
      </c>
      <c r="D25" s="13" t="s">
        <v>197</v>
      </c>
      <c r="E25" s="13" t="s">
        <v>119</v>
      </c>
      <c r="F25" s="13" t="s">
        <v>121</v>
      </c>
      <c r="G25" s="13" t="s">
        <v>122</v>
      </c>
      <c r="H25" s="14">
        <v>43.3275035</v>
      </c>
      <c r="I25" s="14">
        <v>21.8157148</v>
      </c>
      <c r="J25" s="13" t="s">
        <v>295</v>
      </c>
      <c r="K25" s="13" t="s">
        <v>423</v>
      </c>
      <c r="L25" s="18">
        <v>6296.0</v>
      </c>
      <c r="M25" s="14">
        <v>6390.0</v>
      </c>
      <c r="N25" s="1">
        <v>6202.0</v>
      </c>
      <c r="R25" s="15"/>
      <c r="S25" s="17"/>
      <c r="T25" s="17"/>
      <c r="U25" s="17"/>
    </row>
    <row r="26">
      <c r="A26" s="12" t="s">
        <v>428</v>
      </c>
      <c r="B26" s="12" t="s">
        <v>429</v>
      </c>
      <c r="C26" s="13" t="s">
        <v>195</v>
      </c>
      <c r="D26" s="13" t="s">
        <v>197</v>
      </c>
      <c r="E26" s="13" t="s">
        <v>119</v>
      </c>
      <c r="F26" s="13" t="s">
        <v>121</v>
      </c>
      <c r="G26" s="13" t="s">
        <v>122</v>
      </c>
      <c r="H26" s="14">
        <v>53.8132</v>
      </c>
      <c r="I26" s="14">
        <v>-6.75617</v>
      </c>
      <c r="J26" s="13" t="s">
        <v>437</v>
      </c>
      <c r="K26" s="13" t="s">
        <v>439</v>
      </c>
      <c r="L26" s="14">
        <v>1250.0</v>
      </c>
      <c r="M26" s="14">
        <v>1450.0</v>
      </c>
      <c r="N26" s="1">
        <v>1050.0</v>
      </c>
      <c r="R26" s="15"/>
      <c r="S26" s="17"/>
      <c r="T26" s="17"/>
      <c r="U26" s="17"/>
    </row>
    <row r="27">
      <c r="A27" s="16" t="s">
        <v>444</v>
      </c>
      <c r="B27" s="16" t="s">
        <v>447</v>
      </c>
      <c r="C27" s="13" t="s">
        <v>195</v>
      </c>
      <c r="D27" s="13" t="s">
        <v>197</v>
      </c>
      <c r="E27" s="13" t="s">
        <v>119</v>
      </c>
      <c r="F27" s="13" t="s">
        <v>121</v>
      </c>
      <c r="G27" s="13" t="s">
        <v>122</v>
      </c>
      <c r="H27" s="14">
        <v>53.343889</v>
      </c>
      <c r="I27" s="14">
        <v>-6.27</v>
      </c>
      <c r="J27" s="13" t="s">
        <v>437</v>
      </c>
      <c r="K27" s="13" t="s">
        <v>453</v>
      </c>
      <c r="L27" s="14">
        <v>900.0</v>
      </c>
      <c r="M27" s="14">
        <v>1100.0</v>
      </c>
      <c r="N27" s="1">
        <v>700.0</v>
      </c>
      <c r="R27" s="15"/>
      <c r="S27" s="17"/>
      <c r="T27" s="17"/>
      <c r="U27" s="17"/>
    </row>
    <row r="28">
      <c r="A28" s="12" t="s">
        <v>458</v>
      </c>
      <c r="B28" s="12" t="s">
        <v>459</v>
      </c>
      <c r="C28" s="13" t="s">
        <v>195</v>
      </c>
      <c r="D28" s="13" t="s">
        <v>197</v>
      </c>
      <c r="E28" s="13" t="s">
        <v>119</v>
      </c>
      <c r="F28" s="13" t="s">
        <v>121</v>
      </c>
      <c r="G28" s="13" t="s">
        <v>122</v>
      </c>
      <c r="H28" s="14">
        <v>53.343889</v>
      </c>
      <c r="I28" s="14">
        <v>-6.27</v>
      </c>
      <c r="J28" s="13" t="s">
        <v>437</v>
      </c>
      <c r="K28" s="13" t="s">
        <v>453</v>
      </c>
      <c r="L28" s="14">
        <v>900.0</v>
      </c>
      <c r="M28" s="14">
        <v>1100.0</v>
      </c>
      <c r="N28" s="1">
        <v>700.0</v>
      </c>
      <c r="R28" s="15"/>
      <c r="S28" s="17"/>
      <c r="T28" s="17"/>
      <c r="U28" s="17"/>
    </row>
    <row r="29">
      <c r="A29" s="16" t="s">
        <v>470</v>
      </c>
      <c r="B29" s="16" t="s">
        <v>472</v>
      </c>
      <c r="C29" s="13" t="s">
        <v>195</v>
      </c>
      <c r="D29" s="13" t="s">
        <v>197</v>
      </c>
      <c r="E29" s="13" t="s">
        <v>119</v>
      </c>
      <c r="F29" s="13" t="s">
        <v>121</v>
      </c>
      <c r="G29" s="13" t="s">
        <v>122</v>
      </c>
      <c r="H29" s="14">
        <v>43.1375897</v>
      </c>
      <c r="I29" s="14">
        <v>25.9019634</v>
      </c>
      <c r="J29" s="13" t="s">
        <v>479</v>
      </c>
      <c r="K29" s="13" t="s">
        <v>482</v>
      </c>
      <c r="L29" s="14">
        <v>7300.0</v>
      </c>
      <c r="M29" s="14">
        <v>7500.0</v>
      </c>
      <c r="N29" s="1">
        <v>7100.0</v>
      </c>
      <c r="R29" s="15"/>
      <c r="S29" s="17"/>
      <c r="T29" s="17"/>
      <c r="U29" s="17"/>
    </row>
    <row r="30">
      <c r="A30" s="12" t="s">
        <v>487</v>
      </c>
      <c r="B30" s="12" t="s">
        <v>489</v>
      </c>
      <c r="C30" s="13" t="s">
        <v>195</v>
      </c>
      <c r="D30" s="13" t="s">
        <v>197</v>
      </c>
      <c r="E30" s="13" t="s">
        <v>119</v>
      </c>
      <c r="F30" s="13" t="s">
        <v>121</v>
      </c>
      <c r="G30" s="13" t="s">
        <v>122</v>
      </c>
      <c r="H30" s="14">
        <v>43.1375897</v>
      </c>
      <c r="I30" s="14">
        <v>25.9019634</v>
      </c>
      <c r="J30" s="13" t="s">
        <v>479</v>
      </c>
      <c r="K30" s="13" t="s">
        <v>482</v>
      </c>
      <c r="L30" s="14">
        <v>7300.0</v>
      </c>
      <c r="M30" s="14">
        <v>7500.0</v>
      </c>
      <c r="N30" s="1">
        <v>7100.0</v>
      </c>
      <c r="R30" s="15"/>
      <c r="S30" s="17"/>
      <c r="T30" s="17"/>
      <c r="U30" s="17"/>
    </row>
    <row r="31">
      <c r="A31" s="16" t="s">
        <v>502</v>
      </c>
      <c r="B31" s="16" t="s">
        <v>504</v>
      </c>
      <c r="C31" s="13" t="s">
        <v>195</v>
      </c>
      <c r="D31" s="13" t="s">
        <v>197</v>
      </c>
      <c r="E31" s="13" t="s">
        <v>119</v>
      </c>
      <c r="F31" s="13" t="s">
        <v>121</v>
      </c>
      <c r="G31" s="13" t="s">
        <v>122</v>
      </c>
      <c r="H31" s="14">
        <v>37.352004</v>
      </c>
      <c r="I31" s="14">
        <v>31.925888</v>
      </c>
      <c r="J31" s="13" t="s">
        <v>213</v>
      </c>
      <c r="K31" s="13" t="s">
        <v>512</v>
      </c>
      <c r="L31" s="18">
        <v>8320.0</v>
      </c>
      <c r="M31" s="14">
        <v>8369.0</v>
      </c>
      <c r="N31" s="1">
        <v>8270.0</v>
      </c>
      <c r="R31" s="15"/>
      <c r="S31" s="17"/>
      <c r="T31" s="17"/>
      <c r="U31" s="17"/>
    </row>
    <row r="32">
      <c r="A32" s="12" t="s">
        <v>520</v>
      </c>
      <c r="B32" s="12" t="s">
        <v>522</v>
      </c>
      <c r="C32" s="13" t="s">
        <v>195</v>
      </c>
      <c r="D32" s="13" t="s">
        <v>197</v>
      </c>
      <c r="E32" s="13" t="s">
        <v>119</v>
      </c>
      <c r="F32" s="13" t="s">
        <v>121</v>
      </c>
      <c r="G32" s="13" t="s">
        <v>122</v>
      </c>
      <c r="H32" s="14">
        <v>37.352004</v>
      </c>
      <c r="I32" s="14">
        <v>31.925888</v>
      </c>
      <c r="J32" s="13" t="s">
        <v>213</v>
      </c>
      <c r="K32" s="13" t="s">
        <v>512</v>
      </c>
      <c r="L32" s="14">
        <v>9150.0</v>
      </c>
      <c r="M32" s="14">
        <v>9350.0</v>
      </c>
      <c r="N32" s="1">
        <v>8950.0</v>
      </c>
      <c r="R32" s="15"/>
      <c r="S32" s="17"/>
      <c r="T32" s="17"/>
      <c r="U32" s="17"/>
    </row>
    <row r="33">
      <c r="A33" s="16" t="s">
        <v>535</v>
      </c>
      <c r="B33" s="16" t="s">
        <v>538</v>
      </c>
      <c r="C33" s="13" t="s">
        <v>195</v>
      </c>
      <c r="D33" s="13" t="s">
        <v>197</v>
      </c>
      <c r="E33" s="13" t="s">
        <v>119</v>
      </c>
      <c r="F33" s="13" t="s">
        <v>121</v>
      </c>
      <c r="G33" s="13" t="s">
        <v>122</v>
      </c>
      <c r="H33" s="14">
        <v>50.1612625</v>
      </c>
      <c r="I33" s="14">
        <v>8.6424693</v>
      </c>
      <c r="J33" s="13" t="s">
        <v>201</v>
      </c>
      <c r="K33" s="13" t="s">
        <v>547</v>
      </c>
      <c r="L33" s="14">
        <v>1700.0</v>
      </c>
      <c r="M33" s="14">
        <v>1900.0</v>
      </c>
      <c r="N33" s="1">
        <v>1500.0</v>
      </c>
      <c r="R33" s="15"/>
      <c r="S33" s="17"/>
      <c r="T33" s="17"/>
      <c r="U33" s="17"/>
    </row>
    <row r="34">
      <c r="A34" s="12" t="s">
        <v>556</v>
      </c>
      <c r="B34" s="12" t="s">
        <v>557</v>
      </c>
      <c r="C34" s="13" t="s">
        <v>195</v>
      </c>
      <c r="D34" s="13" t="s">
        <v>197</v>
      </c>
      <c r="E34" s="13" t="s">
        <v>119</v>
      </c>
      <c r="F34" s="13" t="s">
        <v>121</v>
      </c>
      <c r="G34" s="13" t="s">
        <v>122</v>
      </c>
      <c r="H34" s="14">
        <v>42.746109</v>
      </c>
      <c r="I34" s="14">
        <v>44.623487</v>
      </c>
      <c r="J34" s="13" t="s">
        <v>564</v>
      </c>
      <c r="K34" s="13" t="s">
        <v>566</v>
      </c>
      <c r="L34" s="14">
        <v>900.0</v>
      </c>
      <c r="M34" s="14">
        <v>1100.0</v>
      </c>
      <c r="N34" s="1">
        <v>700.0</v>
      </c>
      <c r="R34" s="15"/>
      <c r="S34" s="17"/>
      <c r="T34" s="17"/>
      <c r="U34" s="17"/>
    </row>
    <row r="35">
      <c r="A35" s="16" t="s">
        <v>574</v>
      </c>
      <c r="B35" s="16" t="s">
        <v>576</v>
      </c>
      <c r="C35" s="13" t="s">
        <v>195</v>
      </c>
      <c r="D35" s="13" t="s">
        <v>197</v>
      </c>
      <c r="E35" s="13" t="s">
        <v>119</v>
      </c>
      <c r="F35" s="13" t="s">
        <v>121</v>
      </c>
      <c r="G35" s="13" t="s">
        <v>122</v>
      </c>
      <c r="H35" s="14">
        <v>42.746109</v>
      </c>
      <c r="I35" s="14">
        <v>44.623487</v>
      </c>
      <c r="J35" s="13" t="s">
        <v>564</v>
      </c>
      <c r="K35" s="13" t="s">
        <v>566</v>
      </c>
      <c r="L35" s="14">
        <v>900.0</v>
      </c>
      <c r="M35" s="14">
        <v>1100.0</v>
      </c>
      <c r="N35" s="1">
        <v>700.0</v>
      </c>
      <c r="R35" s="15"/>
      <c r="S35" s="17"/>
      <c r="T35" s="17"/>
      <c r="U35" s="17"/>
    </row>
    <row r="36">
      <c r="A36" s="12" t="s">
        <v>591</v>
      </c>
      <c r="B36" s="12" t="s">
        <v>593</v>
      </c>
      <c r="C36" s="13" t="s">
        <v>195</v>
      </c>
      <c r="D36" s="13" t="s">
        <v>197</v>
      </c>
      <c r="E36" s="13" t="s">
        <v>119</v>
      </c>
      <c r="F36" s="13" t="s">
        <v>121</v>
      </c>
      <c r="G36" s="13" t="s">
        <v>122</v>
      </c>
      <c r="H36" s="14">
        <v>42.746109</v>
      </c>
      <c r="I36" s="14">
        <v>44.623487</v>
      </c>
      <c r="J36" s="13" t="s">
        <v>564</v>
      </c>
      <c r="K36" s="13" t="s">
        <v>566</v>
      </c>
      <c r="L36" s="14">
        <v>900.0</v>
      </c>
      <c r="M36" s="14">
        <v>1100.0</v>
      </c>
      <c r="N36" s="1">
        <v>700.0</v>
      </c>
      <c r="R36" s="15"/>
      <c r="S36" s="17"/>
      <c r="T36" s="17"/>
      <c r="U36" s="17"/>
    </row>
    <row r="37">
      <c r="A37" s="16" t="s">
        <v>606</v>
      </c>
      <c r="B37" s="16" t="s">
        <v>607</v>
      </c>
      <c r="C37" s="13" t="s">
        <v>195</v>
      </c>
      <c r="D37" s="13" t="s">
        <v>197</v>
      </c>
      <c r="E37" s="13" t="s">
        <v>119</v>
      </c>
      <c r="F37" s="13" t="s">
        <v>121</v>
      </c>
      <c r="G37" s="13" t="s">
        <v>122</v>
      </c>
      <c r="H37" s="14">
        <v>42.746109</v>
      </c>
      <c r="I37" s="14">
        <v>44.623487</v>
      </c>
      <c r="J37" s="13" t="s">
        <v>564</v>
      </c>
      <c r="K37" s="13" t="s">
        <v>566</v>
      </c>
      <c r="L37" s="14">
        <v>900.0</v>
      </c>
      <c r="M37" s="14">
        <v>1100.0</v>
      </c>
      <c r="N37" s="1">
        <v>700.0</v>
      </c>
      <c r="R37" s="15"/>
      <c r="S37" s="17"/>
      <c r="T37" s="17"/>
      <c r="U37" s="17"/>
    </row>
    <row r="38">
      <c r="A38" s="12" t="s">
        <v>621</v>
      </c>
      <c r="B38" s="12" t="s">
        <v>622</v>
      </c>
      <c r="C38" s="13" t="s">
        <v>195</v>
      </c>
      <c r="D38" s="13" t="s">
        <v>197</v>
      </c>
      <c r="E38" s="13" t="s">
        <v>119</v>
      </c>
      <c r="F38" s="13" t="s">
        <v>121</v>
      </c>
      <c r="G38" s="13" t="s">
        <v>122</v>
      </c>
      <c r="H38" s="14">
        <v>42.746109</v>
      </c>
      <c r="I38" s="14">
        <v>44.623487</v>
      </c>
      <c r="J38" s="13" t="s">
        <v>564</v>
      </c>
      <c r="K38" s="13" t="s">
        <v>566</v>
      </c>
      <c r="L38" s="14">
        <v>900.0</v>
      </c>
      <c r="M38" s="14">
        <v>1100.0</v>
      </c>
      <c r="N38" s="1">
        <v>700.0</v>
      </c>
      <c r="R38" s="15"/>
      <c r="S38" s="17"/>
      <c r="T38" s="17"/>
      <c r="U38" s="17"/>
    </row>
    <row r="39">
      <c r="A39" s="16" t="s">
        <v>634</v>
      </c>
      <c r="B39" s="16" t="s">
        <v>637</v>
      </c>
      <c r="C39" s="13" t="s">
        <v>195</v>
      </c>
      <c r="D39" s="13" t="s">
        <v>197</v>
      </c>
      <c r="E39" s="13" t="s">
        <v>119</v>
      </c>
      <c r="F39" s="13" t="s">
        <v>121</v>
      </c>
      <c r="G39" s="13" t="s">
        <v>122</v>
      </c>
      <c r="H39" s="14">
        <v>42.746109</v>
      </c>
      <c r="I39" s="14">
        <v>44.623487</v>
      </c>
      <c r="J39" s="13" t="s">
        <v>564</v>
      </c>
      <c r="K39" s="13" t="s">
        <v>566</v>
      </c>
      <c r="L39" s="14">
        <v>900.0</v>
      </c>
      <c r="M39" s="14">
        <v>1100.0</v>
      </c>
      <c r="N39" s="1">
        <v>700.0</v>
      </c>
      <c r="R39" s="15"/>
      <c r="S39" s="17"/>
      <c r="T39" s="17"/>
      <c r="U39" s="17"/>
    </row>
    <row r="40">
      <c r="A40" s="12" t="s">
        <v>652</v>
      </c>
      <c r="B40" s="12" t="s">
        <v>655</v>
      </c>
      <c r="C40" s="13" t="s">
        <v>195</v>
      </c>
      <c r="D40" s="13" t="s">
        <v>197</v>
      </c>
      <c r="E40" s="13" t="s">
        <v>119</v>
      </c>
      <c r="F40" s="13" t="s">
        <v>121</v>
      </c>
      <c r="G40" s="13" t="s">
        <v>122</v>
      </c>
      <c r="H40" s="14">
        <v>42.746109</v>
      </c>
      <c r="I40" s="14">
        <v>44.623487</v>
      </c>
      <c r="J40" s="13" t="s">
        <v>564</v>
      </c>
      <c r="K40" s="13" t="s">
        <v>566</v>
      </c>
      <c r="L40" s="14">
        <v>900.0</v>
      </c>
      <c r="M40" s="14">
        <v>1100.0</v>
      </c>
      <c r="N40" s="1">
        <v>700.0</v>
      </c>
      <c r="R40" s="15"/>
      <c r="S40" s="17"/>
      <c r="T40" s="17"/>
      <c r="U40" s="17"/>
    </row>
    <row r="41">
      <c r="A41" s="16" t="s">
        <v>666</v>
      </c>
      <c r="B41" s="16" t="s">
        <v>667</v>
      </c>
      <c r="C41" s="13" t="s">
        <v>195</v>
      </c>
      <c r="D41" s="13" t="s">
        <v>197</v>
      </c>
      <c r="E41" s="13" t="s">
        <v>119</v>
      </c>
      <c r="F41" s="13" t="s">
        <v>121</v>
      </c>
      <c r="G41" s="13" t="s">
        <v>122</v>
      </c>
      <c r="H41" s="14">
        <v>42.746109</v>
      </c>
      <c r="I41" s="14">
        <v>44.623487</v>
      </c>
      <c r="J41" s="13" t="s">
        <v>564</v>
      </c>
      <c r="K41" s="13" t="s">
        <v>566</v>
      </c>
      <c r="L41" s="14">
        <v>900.0</v>
      </c>
      <c r="M41" s="14">
        <v>1100.0</v>
      </c>
      <c r="N41" s="1">
        <v>700.0</v>
      </c>
      <c r="R41" s="15"/>
      <c r="S41" s="17"/>
      <c r="T41" s="17"/>
      <c r="U41" s="17"/>
    </row>
    <row r="42">
      <c r="A42" s="12" t="s">
        <v>679</v>
      </c>
      <c r="B42" s="12" t="s">
        <v>681</v>
      </c>
      <c r="C42" s="13" t="s">
        <v>195</v>
      </c>
      <c r="D42" s="13" t="s">
        <v>197</v>
      </c>
      <c r="E42" s="13" t="s">
        <v>119</v>
      </c>
      <c r="F42" s="13" t="s">
        <v>121</v>
      </c>
      <c r="G42" s="13" t="s">
        <v>122</v>
      </c>
      <c r="H42" s="14">
        <v>42.746109</v>
      </c>
      <c r="I42" s="14">
        <v>44.623487</v>
      </c>
      <c r="J42" s="13" t="s">
        <v>564</v>
      </c>
      <c r="K42" s="13" t="s">
        <v>566</v>
      </c>
      <c r="L42" s="14">
        <v>900.0</v>
      </c>
      <c r="M42" s="14">
        <v>1100.0</v>
      </c>
      <c r="N42" s="1">
        <v>700.0</v>
      </c>
      <c r="R42" s="15"/>
      <c r="S42" s="17"/>
      <c r="T42" s="17"/>
      <c r="U42" s="17"/>
    </row>
    <row r="43">
      <c r="A43" s="16" t="s">
        <v>694</v>
      </c>
      <c r="B43" s="16" t="s">
        <v>696</v>
      </c>
      <c r="C43" s="13" t="s">
        <v>195</v>
      </c>
      <c r="D43" s="13" t="s">
        <v>197</v>
      </c>
      <c r="E43" s="13" t="s">
        <v>119</v>
      </c>
      <c r="F43" s="13" t="s">
        <v>121</v>
      </c>
      <c r="G43" s="13" t="s">
        <v>122</v>
      </c>
      <c r="H43" s="14">
        <v>42.746109</v>
      </c>
      <c r="I43" s="14">
        <v>44.623487</v>
      </c>
      <c r="J43" s="13" t="s">
        <v>564</v>
      </c>
      <c r="K43" s="13" t="s">
        <v>566</v>
      </c>
      <c r="L43" s="14">
        <v>900.0</v>
      </c>
      <c r="M43" s="14">
        <v>1100.0</v>
      </c>
      <c r="N43" s="1">
        <v>700.0</v>
      </c>
      <c r="R43" s="15"/>
      <c r="S43" s="17"/>
      <c r="T43" s="17"/>
      <c r="U43" s="17"/>
    </row>
    <row r="44">
      <c r="A44" s="12" t="s">
        <v>709</v>
      </c>
      <c r="B44" s="12" t="s">
        <v>711</v>
      </c>
      <c r="C44" s="13" t="s">
        <v>195</v>
      </c>
      <c r="D44" s="13" t="s">
        <v>197</v>
      </c>
      <c r="E44" s="13" t="s">
        <v>119</v>
      </c>
      <c r="F44" s="13" t="s">
        <v>121</v>
      </c>
      <c r="G44" s="13" t="s">
        <v>122</v>
      </c>
      <c r="H44" s="14">
        <v>42.746109</v>
      </c>
      <c r="I44" s="14">
        <v>44.623487</v>
      </c>
      <c r="J44" s="13" t="s">
        <v>564</v>
      </c>
      <c r="K44" s="13" t="s">
        <v>566</v>
      </c>
      <c r="L44" s="14">
        <v>900.0</v>
      </c>
      <c r="M44" s="14">
        <v>1100.0</v>
      </c>
      <c r="N44" s="1">
        <v>700.0</v>
      </c>
      <c r="R44" s="15"/>
      <c r="S44" s="17"/>
      <c r="T44" s="17"/>
      <c r="U44" s="17"/>
    </row>
    <row r="45">
      <c r="A45" s="16" t="s">
        <v>725</v>
      </c>
      <c r="B45" s="16" t="s">
        <v>727</v>
      </c>
      <c r="C45" s="13" t="s">
        <v>195</v>
      </c>
      <c r="D45" s="13" t="s">
        <v>197</v>
      </c>
      <c r="E45" s="13" t="s">
        <v>119</v>
      </c>
      <c r="F45" s="13" t="s">
        <v>121</v>
      </c>
      <c r="G45" s="13" t="s">
        <v>122</v>
      </c>
      <c r="H45" s="14">
        <v>38.401745</v>
      </c>
      <c r="I45" s="14">
        <v>34.196339</v>
      </c>
      <c r="J45" s="13" t="s">
        <v>213</v>
      </c>
      <c r="K45" s="13" t="s">
        <v>734</v>
      </c>
      <c r="L45" s="14">
        <v>7000.0</v>
      </c>
      <c r="M45" s="14">
        <v>7200.0</v>
      </c>
      <c r="N45" s="1">
        <v>6800.0</v>
      </c>
      <c r="R45" s="15"/>
      <c r="S45" s="17"/>
      <c r="T45" s="17"/>
      <c r="U45" s="17"/>
    </row>
    <row r="46">
      <c r="A46" s="12" t="s">
        <v>742</v>
      </c>
      <c r="B46" s="12" t="s">
        <v>744</v>
      </c>
      <c r="C46" s="13" t="s">
        <v>195</v>
      </c>
      <c r="D46" s="13" t="s">
        <v>197</v>
      </c>
      <c r="E46" s="13" t="s">
        <v>119</v>
      </c>
      <c r="F46" s="13" t="s">
        <v>121</v>
      </c>
      <c r="G46" s="13" t="s">
        <v>122</v>
      </c>
      <c r="H46" s="14">
        <v>38.401745</v>
      </c>
      <c r="I46" s="14">
        <v>34.196339</v>
      </c>
      <c r="J46" s="13" t="s">
        <v>213</v>
      </c>
      <c r="K46" s="13" t="s">
        <v>734</v>
      </c>
      <c r="L46" s="14">
        <v>7000.0</v>
      </c>
      <c r="M46" s="14">
        <v>7200.0</v>
      </c>
      <c r="N46" s="1">
        <v>6800.0</v>
      </c>
      <c r="R46" s="15"/>
      <c r="S46" s="17"/>
      <c r="T46" s="17"/>
      <c r="U46" s="17"/>
    </row>
    <row r="47">
      <c r="A47" s="16" t="s">
        <v>754</v>
      </c>
      <c r="B47" s="16" t="s">
        <v>756</v>
      </c>
      <c r="C47" s="13" t="s">
        <v>195</v>
      </c>
      <c r="D47" s="13" t="s">
        <v>197</v>
      </c>
      <c r="E47" s="13" t="s">
        <v>119</v>
      </c>
      <c r="F47" s="13" t="s">
        <v>121</v>
      </c>
      <c r="G47" s="13" t="s">
        <v>122</v>
      </c>
      <c r="H47" s="14">
        <v>38.401745</v>
      </c>
      <c r="I47" s="14">
        <v>34.196339</v>
      </c>
      <c r="J47" s="13" t="s">
        <v>213</v>
      </c>
      <c r="K47" s="13" t="s">
        <v>734</v>
      </c>
      <c r="L47" s="18">
        <v>6875.0</v>
      </c>
      <c r="M47" s="14">
        <v>6954.0</v>
      </c>
      <c r="N47" s="1">
        <v>6796.0</v>
      </c>
      <c r="R47" s="15"/>
      <c r="S47" s="17"/>
      <c r="T47" s="17"/>
      <c r="U47" s="17"/>
    </row>
    <row r="48">
      <c r="A48" s="12" t="s">
        <v>766</v>
      </c>
      <c r="B48" s="12" t="s">
        <v>768</v>
      </c>
      <c r="C48" s="13" t="s">
        <v>195</v>
      </c>
      <c r="D48" s="13" t="s">
        <v>197</v>
      </c>
      <c r="E48" s="13" t="s">
        <v>119</v>
      </c>
      <c r="F48" s="13" t="s">
        <v>121</v>
      </c>
      <c r="G48" s="13" t="s">
        <v>122</v>
      </c>
      <c r="H48" s="14">
        <v>38.401745</v>
      </c>
      <c r="I48" s="14">
        <v>34.196339</v>
      </c>
      <c r="J48" s="13" t="s">
        <v>213</v>
      </c>
      <c r="K48" s="13" t="s">
        <v>734</v>
      </c>
      <c r="L48" s="14">
        <v>6875.0</v>
      </c>
      <c r="M48" s="14">
        <v>7075.0</v>
      </c>
      <c r="N48" s="1">
        <v>6675.0</v>
      </c>
      <c r="R48" s="15"/>
      <c r="S48" s="17"/>
      <c r="T48" s="17"/>
      <c r="U48" s="17"/>
    </row>
    <row r="49">
      <c r="A49" s="16" t="s">
        <v>771</v>
      </c>
      <c r="B49" s="16" t="s">
        <v>772</v>
      </c>
      <c r="C49" s="13" t="s">
        <v>195</v>
      </c>
      <c r="D49" s="13" t="s">
        <v>197</v>
      </c>
      <c r="E49" s="13" t="s">
        <v>119</v>
      </c>
      <c r="F49" s="13" t="s">
        <v>121</v>
      </c>
      <c r="G49" s="13" t="s">
        <v>122</v>
      </c>
      <c r="H49" s="14">
        <v>38.401745</v>
      </c>
      <c r="I49" s="14">
        <v>34.196339</v>
      </c>
      <c r="J49" s="13" t="s">
        <v>213</v>
      </c>
      <c r="K49" s="13" t="s">
        <v>734</v>
      </c>
      <c r="L49" s="14">
        <v>7000.0</v>
      </c>
      <c r="M49" s="14">
        <v>7200.0</v>
      </c>
      <c r="N49" s="1">
        <v>6800.0</v>
      </c>
      <c r="R49" s="15"/>
      <c r="S49" s="17"/>
      <c r="T49" s="17"/>
      <c r="U49" s="17"/>
    </row>
    <row r="50">
      <c r="A50" s="12" t="s">
        <v>776</v>
      </c>
      <c r="B50" s="12" t="s">
        <v>777</v>
      </c>
      <c r="C50" s="13" t="s">
        <v>195</v>
      </c>
      <c r="D50" s="13" t="s">
        <v>197</v>
      </c>
      <c r="E50" s="13" t="s">
        <v>119</v>
      </c>
      <c r="F50" s="13" t="s">
        <v>121</v>
      </c>
      <c r="G50" s="13" t="s">
        <v>122</v>
      </c>
      <c r="H50" s="14">
        <v>49.1456391</v>
      </c>
      <c r="I50" s="14">
        <v>8.2135861</v>
      </c>
      <c r="J50" s="13" t="s">
        <v>201</v>
      </c>
      <c r="K50" s="13" t="s">
        <v>783</v>
      </c>
      <c r="L50" s="14">
        <v>7000.0</v>
      </c>
      <c r="M50" s="14">
        <v>7200.0</v>
      </c>
      <c r="N50" s="1">
        <v>6800.0</v>
      </c>
      <c r="R50" s="15"/>
      <c r="S50" s="17"/>
      <c r="T50" s="17"/>
      <c r="U50" s="17"/>
    </row>
    <row r="51">
      <c r="A51" s="16" t="s">
        <v>789</v>
      </c>
      <c r="B51" s="16" t="s">
        <v>790</v>
      </c>
      <c r="C51" s="13" t="s">
        <v>195</v>
      </c>
      <c r="D51" s="13" t="s">
        <v>197</v>
      </c>
      <c r="E51" s="13" t="s">
        <v>119</v>
      </c>
      <c r="F51" s="13" t="s">
        <v>121</v>
      </c>
      <c r="G51" s="13" t="s">
        <v>122</v>
      </c>
      <c r="H51" s="14">
        <v>49.1456391</v>
      </c>
      <c r="I51" s="14">
        <v>8.2135861</v>
      </c>
      <c r="J51" s="13" t="s">
        <v>201</v>
      </c>
      <c r="K51" s="13" t="s">
        <v>783</v>
      </c>
      <c r="L51" s="18">
        <v>7139.0</v>
      </c>
      <c r="M51" s="14">
        <v>7256.0</v>
      </c>
      <c r="N51" s="1">
        <v>7021.0</v>
      </c>
      <c r="R51" s="15"/>
      <c r="S51" s="17"/>
      <c r="T51" s="17"/>
      <c r="U51" s="17"/>
    </row>
    <row r="52">
      <c r="A52" s="12" t="s">
        <v>796</v>
      </c>
      <c r="B52" s="12" t="s">
        <v>798</v>
      </c>
      <c r="C52" s="13" t="s">
        <v>195</v>
      </c>
      <c r="D52" s="13" t="s">
        <v>197</v>
      </c>
      <c r="E52" s="13" t="s">
        <v>119</v>
      </c>
      <c r="F52" s="13" t="s">
        <v>121</v>
      </c>
      <c r="G52" s="13" t="s">
        <v>122</v>
      </c>
      <c r="H52" s="14">
        <v>53.9590444</v>
      </c>
      <c r="I52" s="14">
        <v>-1.0765495</v>
      </c>
      <c r="J52" s="13" t="s">
        <v>804</v>
      </c>
      <c r="K52" s="13" t="s">
        <v>805</v>
      </c>
      <c r="L52" s="14">
        <v>800.0</v>
      </c>
      <c r="M52" s="14">
        <v>1000.0</v>
      </c>
      <c r="N52" s="1">
        <v>600.0</v>
      </c>
      <c r="R52" s="15"/>
      <c r="S52" s="17"/>
      <c r="T52" s="17"/>
      <c r="U52" s="17"/>
    </row>
    <row r="53">
      <c r="A53" s="16" t="s">
        <v>809</v>
      </c>
      <c r="B53" s="16" t="s">
        <v>810</v>
      </c>
      <c r="C53" s="13" t="s">
        <v>195</v>
      </c>
      <c r="D53" s="13" t="s">
        <v>197</v>
      </c>
      <c r="E53" s="13" t="s">
        <v>119</v>
      </c>
      <c r="F53" s="13" t="s">
        <v>121</v>
      </c>
      <c r="G53" s="13" t="s">
        <v>122</v>
      </c>
      <c r="H53" s="14">
        <v>42.746109</v>
      </c>
      <c r="I53" s="14">
        <v>44.623487</v>
      </c>
      <c r="J53" s="13" t="s">
        <v>564</v>
      </c>
      <c r="K53" s="13" t="s">
        <v>566</v>
      </c>
      <c r="L53" s="14">
        <v>900.0</v>
      </c>
      <c r="M53" s="14">
        <v>1100.0</v>
      </c>
      <c r="N53" s="1">
        <v>700.0</v>
      </c>
      <c r="R53" s="15"/>
      <c r="S53" s="17"/>
      <c r="T53" s="17"/>
      <c r="U53" s="17"/>
    </row>
    <row r="54">
      <c r="A54" s="12" t="s">
        <v>817</v>
      </c>
      <c r="B54" s="12" t="s">
        <v>818</v>
      </c>
      <c r="C54" s="13" t="s">
        <v>195</v>
      </c>
      <c r="D54" s="13" t="s">
        <v>197</v>
      </c>
      <c r="E54" s="13" t="s">
        <v>119</v>
      </c>
      <c r="F54" s="13" t="s">
        <v>121</v>
      </c>
      <c r="G54" s="13" t="s">
        <v>122</v>
      </c>
      <c r="H54" s="14">
        <v>42.746109</v>
      </c>
      <c r="I54" s="14">
        <v>44.623487</v>
      </c>
      <c r="J54" s="13" t="s">
        <v>564</v>
      </c>
      <c r="K54" s="13" t="s">
        <v>566</v>
      </c>
      <c r="L54" s="14">
        <v>900.0</v>
      </c>
      <c r="M54" s="14">
        <v>1100.0</v>
      </c>
      <c r="N54" s="1">
        <v>700.0</v>
      </c>
      <c r="R54" s="15"/>
      <c r="S54" s="17"/>
      <c r="T54" s="17"/>
      <c r="U54" s="17"/>
    </row>
    <row r="55">
      <c r="A55" s="16" t="s">
        <v>826</v>
      </c>
      <c r="B55" s="16" t="s">
        <v>828</v>
      </c>
      <c r="C55" s="13" t="s">
        <v>195</v>
      </c>
      <c r="D55" s="13" t="s">
        <v>197</v>
      </c>
      <c r="E55" s="13" t="s">
        <v>119</v>
      </c>
      <c r="F55" s="13" t="s">
        <v>121</v>
      </c>
      <c r="G55" s="13" t="s">
        <v>122</v>
      </c>
      <c r="H55" s="14">
        <v>42.746109</v>
      </c>
      <c r="I55" s="14">
        <v>44.623487</v>
      </c>
      <c r="J55" s="13" t="s">
        <v>564</v>
      </c>
      <c r="K55" s="13" t="s">
        <v>566</v>
      </c>
      <c r="L55" s="14">
        <v>900.0</v>
      </c>
      <c r="M55" s="14">
        <v>1100.0</v>
      </c>
      <c r="N55" s="1">
        <v>700.0</v>
      </c>
      <c r="R55" s="15"/>
      <c r="S55" s="17"/>
      <c r="T55" s="17"/>
      <c r="U55" s="17"/>
    </row>
    <row r="56">
      <c r="A56" s="12" t="s">
        <v>837</v>
      </c>
      <c r="B56" s="12" t="s">
        <v>838</v>
      </c>
      <c r="C56" s="13" t="s">
        <v>195</v>
      </c>
      <c r="D56" s="13" t="s">
        <v>197</v>
      </c>
      <c r="E56" s="13" t="s">
        <v>119</v>
      </c>
      <c r="F56" s="13" t="s">
        <v>121</v>
      </c>
      <c r="G56" s="13" t="s">
        <v>122</v>
      </c>
      <c r="H56" s="14">
        <v>57.1508548</v>
      </c>
      <c r="I56" s="14">
        <v>-7.3906365</v>
      </c>
      <c r="J56" s="13" t="s">
        <v>804</v>
      </c>
      <c r="K56" s="13" t="s">
        <v>845</v>
      </c>
      <c r="L56" s="14">
        <v>900.0</v>
      </c>
      <c r="M56" s="14">
        <v>1100.0</v>
      </c>
      <c r="N56" s="1">
        <v>700.0</v>
      </c>
      <c r="R56" s="15"/>
      <c r="S56" s="17"/>
      <c r="T56" s="17"/>
      <c r="U56" s="17"/>
    </row>
    <row r="57">
      <c r="A57" s="16" t="s">
        <v>849</v>
      </c>
      <c r="B57" s="16" t="s">
        <v>850</v>
      </c>
      <c r="C57" s="13" t="s">
        <v>195</v>
      </c>
      <c r="D57" s="13" t="s">
        <v>197</v>
      </c>
      <c r="E57" s="13" t="s">
        <v>119</v>
      </c>
      <c r="F57" s="13" t="s">
        <v>121</v>
      </c>
      <c r="G57" s="13" t="s">
        <v>122</v>
      </c>
      <c r="H57" s="14">
        <v>57.1508548</v>
      </c>
      <c r="I57" s="14">
        <v>-7.3906365</v>
      </c>
      <c r="J57" s="13" t="s">
        <v>804</v>
      </c>
      <c r="K57" s="13" t="s">
        <v>845</v>
      </c>
      <c r="L57" s="14">
        <v>900.0</v>
      </c>
      <c r="M57" s="14">
        <v>1100.0</v>
      </c>
      <c r="N57" s="1">
        <v>700.0</v>
      </c>
      <c r="R57" s="15"/>
      <c r="S57" s="17"/>
      <c r="T57" s="17"/>
      <c r="U57" s="17"/>
    </row>
    <row r="58">
      <c r="A58" s="12" t="s">
        <v>859</v>
      </c>
      <c r="B58" s="12" t="s">
        <v>860</v>
      </c>
      <c r="C58" s="13" t="s">
        <v>195</v>
      </c>
      <c r="D58" s="13" t="s">
        <v>197</v>
      </c>
      <c r="E58" s="13" t="s">
        <v>119</v>
      </c>
      <c r="F58" s="13" t="s">
        <v>121</v>
      </c>
      <c r="G58" s="13" t="s">
        <v>122</v>
      </c>
      <c r="H58" s="14">
        <v>49.9928617</v>
      </c>
      <c r="I58" s="14">
        <v>8.2472526</v>
      </c>
      <c r="J58" s="13" t="s">
        <v>201</v>
      </c>
      <c r="K58" s="13" t="s">
        <v>864</v>
      </c>
      <c r="L58" s="14">
        <v>1800.0</v>
      </c>
      <c r="M58" s="14">
        <v>2000.0</v>
      </c>
      <c r="N58" s="1">
        <v>1600.0</v>
      </c>
      <c r="R58" s="15"/>
      <c r="S58" s="17"/>
      <c r="T58" s="17"/>
      <c r="U58" s="17"/>
    </row>
    <row r="59">
      <c r="A59" s="16" t="s">
        <v>869</v>
      </c>
      <c r="B59" s="16" t="s">
        <v>870</v>
      </c>
      <c r="C59" s="13" t="s">
        <v>195</v>
      </c>
      <c r="D59" s="13" t="s">
        <v>197</v>
      </c>
      <c r="E59" s="13" t="s">
        <v>119</v>
      </c>
      <c r="F59" s="13" t="s">
        <v>121</v>
      </c>
      <c r="G59" s="13" t="s">
        <v>122</v>
      </c>
      <c r="H59" s="14">
        <v>49.9928617</v>
      </c>
      <c r="I59" s="14">
        <v>8.2472526</v>
      </c>
      <c r="J59" s="13" t="s">
        <v>201</v>
      </c>
      <c r="K59" s="13" t="s">
        <v>864</v>
      </c>
      <c r="L59" s="14">
        <v>1800.0</v>
      </c>
      <c r="M59" s="14">
        <v>2000.0</v>
      </c>
      <c r="N59" s="1">
        <v>1600.0</v>
      </c>
      <c r="R59" s="15"/>
      <c r="S59" s="17"/>
      <c r="T59" s="17"/>
      <c r="U59" s="17"/>
    </row>
    <row r="60">
      <c r="A60" s="12" t="s">
        <v>880</v>
      </c>
      <c r="B60" s="12" t="s">
        <v>881</v>
      </c>
      <c r="C60" s="13" t="s">
        <v>195</v>
      </c>
      <c r="D60" s="13" t="s">
        <v>197</v>
      </c>
      <c r="E60" s="13" t="s">
        <v>119</v>
      </c>
      <c r="F60" s="13" t="s">
        <v>121</v>
      </c>
      <c r="G60" s="13" t="s">
        <v>122</v>
      </c>
      <c r="H60" s="14">
        <v>49.9928617</v>
      </c>
      <c r="I60" s="14">
        <v>8.2472526</v>
      </c>
      <c r="J60" s="13" t="s">
        <v>201</v>
      </c>
      <c r="K60" s="13" t="s">
        <v>864</v>
      </c>
      <c r="L60" s="14">
        <v>1800.0</v>
      </c>
      <c r="M60" s="14">
        <v>2000.0</v>
      </c>
      <c r="N60" s="1">
        <v>1600.0</v>
      </c>
      <c r="R60" s="15"/>
      <c r="S60" s="17"/>
      <c r="T60" s="17"/>
      <c r="U60" s="17"/>
    </row>
    <row r="61">
      <c r="A61" s="16" t="s">
        <v>891</v>
      </c>
      <c r="B61" s="16" t="s">
        <v>892</v>
      </c>
      <c r="C61" s="13" t="s">
        <v>195</v>
      </c>
      <c r="D61" s="13" t="s">
        <v>197</v>
      </c>
      <c r="E61" s="13" t="s">
        <v>119</v>
      </c>
      <c r="F61" s="13" t="s">
        <v>121</v>
      </c>
      <c r="G61" s="13" t="s">
        <v>122</v>
      </c>
      <c r="H61" s="14">
        <v>49.9928617</v>
      </c>
      <c r="I61" s="14">
        <v>8.2472526</v>
      </c>
      <c r="J61" s="13" t="s">
        <v>201</v>
      </c>
      <c r="K61" s="13" t="s">
        <v>864</v>
      </c>
      <c r="L61" s="14">
        <v>1800.0</v>
      </c>
      <c r="M61" s="14">
        <v>2000.0</v>
      </c>
      <c r="N61" s="1">
        <v>1600.0</v>
      </c>
      <c r="R61" s="15"/>
      <c r="S61" s="17"/>
      <c r="T61" s="17"/>
      <c r="U61" s="17"/>
    </row>
    <row r="62">
      <c r="A62" s="12" t="s">
        <v>903</v>
      </c>
      <c r="B62" s="12" t="s">
        <v>905</v>
      </c>
      <c r="C62" s="13" t="s">
        <v>195</v>
      </c>
      <c r="D62" s="13" t="s">
        <v>197</v>
      </c>
      <c r="E62" s="13" t="s">
        <v>119</v>
      </c>
      <c r="F62" s="13" t="s">
        <v>121</v>
      </c>
      <c r="G62" s="13" t="s">
        <v>122</v>
      </c>
      <c r="H62" s="14">
        <v>41.0</v>
      </c>
      <c r="I62" s="14">
        <v>28.95</v>
      </c>
      <c r="J62" s="13" t="s">
        <v>213</v>
      </c>
      <c r="K62" s="13" t="s">
        <v>912</v>
      </c>
      <c r="L62" s="18">
        <v>7882.0</v>
      </c>
      <c r="M62" s="14">
        <v>7971.0</v>
      </c>
      <c r="N62" s="1">
        <v>7792.0</v>
      </c>
      <c r="R62" s="15"/>
      <c r="S62" s="15"/>
      <c r="T62" s="15"/>
      <c r="U62" s="15"/>
    </row>
    <row r="63">
      <c r="A63" s="16" t="s">
        <v>918</v>
      </c>
      <c r="B63" s="16" t="s">
        <v>920</v>
      </c>
      <c r="C63" s="13" t="s">
        <v>195</v>
      </c>
      <c r="D63" s="13" t="s">
        <v>197</v>
      </c>
      <c r="E63" s="13" t="s">
        <v>119</v>
      </c>
      <c r="F63" s="13" t="s">
        <v>121</v>
      </c>
      <c r="G63" s="13" t="s">
        <v>122</v>
      </c>
      <c r="H63" s="14">
        <v>41.0</v>
      </c>
      <c r="I63" s="14">
        <v>28.95</v>
      </c>
      <c r="J63" s="13" t="s">
        <v>213</v>
      </c>
      <c r="K63" s="13" t="s">
        <v>912</v>
      </c>
      <c r="L63" s="14">
        <v>7881.0</v>
      </c>
      <c r="M63" s="14">
        <v>8081.0</v>
      </c>
      <c r="N63" s="1">
        <v>7681.0</v>
      </c>
      <c r="R63" s="15"/>
      <c r="S63" s="17"/>
      <c r="T63" s="17"/>
      <c r="U63" s="17"/>
    </row>
    <row r="64">
      <c r="A64" s="12" t="s">
        <v>932</v>
      </c>
      <c r="B64" s="12" t="s">
        <v>933</v>
      </c>
      <c r="C64" s="13" t="s">
        <v>195</v>
      </c>
      <c r="D64" s="13" t="s">
        <v>197</v>
      </c>
      <c r="E64" s="13" t="s">
        <v>119</v>
      </c>
      <c r="F64" s="13" t="s">
        <v>121</v>
      </c>
      <c r="G64" s="13" t="s">
        <v>122</v>
      </c>
      <c r="H64" s="14">
        <v>41.0</v>
      </c>
      <c r="I64" s="14">
        <v>28.95</v>
      </c>
      <c r="J64" s="13" t="s">
        <v>213</v>
      </c>
      <c r="K64" s="13" t="s">
        <v>912</v>
      </c>
      <c r="L64" s="18">
        <v>7814.0</v>
      </c>
      <c r="M64" s="14">
        <v>7929.0</v>
      </c>
      <c r="N64" s="1">
        <v>7698.0</v>
      </c>
      <c r="R64" s="15"/>
      <c r="S64" s="17"/>
      <c r="T64" s="17"/>
      <c r="U64" s="17"/>
    </row>
    <row r="65">
      <c r="A65" s="16" t="s">
        <v>943</v>
      </c>
      <c r="B65" s="16" t="s">
        <v>944</v>
      </c>
      <c r="C65" s="13" t="s">
        <v>195</v>
      </c>
      <c r="D65" s="13" t="s">
        <v>197</v>
      </c>
      <c r="E65" s="13" t="s">
        <v>119</v>
      </c>
      <c r="F65" s="13" t="s">
        <v>121</v>
      </c>
      <c r="G65" s="13" t="s">
        <v>122</v>
      </c>
      <c r="H65" s="14">
        <v>41.0</v>
      </c>
      <c r="I65" s="14">
        <v>28.95</v>
      </c>
      <c r="J65" s="13" t="s">
        <v>213</v>
      </c>
      <c r="K65" s="13" t="s">
        <v>912</v>
      </c>
      <c r="L65" s="14">
        <v>7884.0</v>
      </c>
      <c r="M65" s="14">
        <v>8084.0</v>
      </c>
      <c r="N65" s="1">
        <v>7684.0</v>
      </c>
      <c r="R65" s="15"/>
      <c r="S65" s="17"/>
      <c r="T65" s="17"/>
      <c r="U65" s="17"/>
    </row>
    <row r="66">
      <c r="A66" s="12" t="s">
        <v>953</v>
      </c>
      <c r="B66" s="12" t="s">
        <v>956</v>
      </c>
      <c r="C66" s="13" t="s">
        <v>195</v>
      </c>
      <c r="D66" s="13" t="s">
        <v>197</v>
      </c>
      <c r="E66" s="13" t="s">
        <v>119</v>
      </c>
      <c r="F66" s="13" t="s">
        <v>121</v>
      </c>
      <c r="G66" s="13" t="s">
        <v>122</v>
      </c>
      <c r="H66" s="14">
        <v>41.0</v>
      </c>
      <c r="I66" s="14">
        <v>28.95</v>
      </c>
      <c r="J66" s="13" t="s">
        <v>213</v>
      </c>
      <c r="K66" s="13" t="s">
        <v>912</v>
      </c>
      <c r="L66" s="14">
        <v>7884.0</v>
      </c>
      <c r="M66" s="14">
        <v>8084.0</v>
      </c>
      <c r="N66" s="1">
        <v>7684.0</v>
      </c>
      <c r="R66" s="15"/>
      <c r="S66" s="17"/>
      <c r="T66" s="17"/>
      <c r="U66" s="17"/>
    </row>
    <row r="67">
      <c r="A67" s="16" t="s">
        <v>965</v>
      </c>
      <c r="B67" s="16" t="s">
        <v>967</v>
      </c>
      <c r="C67" s="13" t="s">
        <v>195</v>
      </c>
      <c r="D67" s="13" t="s">
        <v>197</v>
      </c>
      <c r="E67" s="13" t="s">
        <v>119</v>
      </c>
      <c r="F67" s="13" t="s">
        <v>121</v>
      </c>
      <c r="G67" s="13" t="s">
        <v>122</v>
      </c>
      <c r="H67" s="14">
        <v>41.0</v>
      </c>
      <c r="I67" s="14">
        <v>28.95</v>
      </c>
      <c r="J67" s="13" t="s">
        <v>213</v>
      </c>
      <c r="K67" s="13" t="s">
        <v>912</v>
      </c>
      <c r="L67" s="14">
        <v>7952.0</v>
      </c>
      <c r="M67" s="14">
        <v>8152.0</v>
      </c>
      <c r="N67" s="1">
        <v>7752.0</v>
      </c>
      <c r="R67" s="15"/>
      <c r="S67" s="17"/>
      <c r="T67" s="17"/>
      <c r="U67" s="17"/>
    </row>
    <row r="68">
      <c r="A68" s="12" t="s">
        <v>977</v>
      </c>
      <c r="B68" s="12" t="s">
        <v>979</v>
      </c>
      <c r="C68" s="13" t="s">
        <v>195</v>
      </c>
      <c r="D68" s="13" t="s">
        <v>197</v>
      </c>
      <c r="E68" s="13" t="s">
        <v>119</v>
      </c>
      <c r="F68" s="13" t="s">
        <v>121</v>
      </c>
      <c r="G68" s="13" t="s">
        <v>122</v>
      </c>
      <c r="H68" s="14">
        <v>41.0</v>
      </c>
      <c r="I68" s="14">
        <v>28.95</v>
      </c>
      <c r="J68" s="13" t="s">
        <v>213</v>
      </c>
      <c r="K68" s="13" t="s">
        <v>912</v>
      </c>
      <c r="L68" s="18">
        <v>7869.0</v>
      </c>
      <c r="M68" s="14">
        <v>7941.0</v>
      </c>
      <c r="N68" s="1">
        <v>7796.0</v>
      </c>
      <c r="R68" s="15"/>
      <c r="S68" s="17"/>
      <c r="T68" s="17"/>
      <c r="U68" s="17"/>
    </row>
    <row r="69">
      <c r="A69" s="16" t="s">
        <v>991</v>
      </c>
      <c r="B69" s="16" t="s">
        <v>993</v>
      </c>
      <c r="C69" s="13" t="s">
        <v>195</v>
      </c>
      <c r="D69" s="13" t="s">
        <v>197</v>
      </c>
      <c r="E69" s="13" t="s">
        <v>119</v>
      </c>
      <c r="F69" s="13" t="s">
        <v>121</v>
      </c>
      <c r="G69" s="13" t="s">
        <v>122</v>
      </c>
      <c r="H69" s="14">
        <v>40.277153</v>
      </c>
      <c r="I69" s="14">
        <v>29.52368</v>
      </c>
      <c r="J69" s="13" t="s">
        <v>213</v>
      </c>
      <c r="K69" s="13" t="s">
        <v>1001</v>
      </c>
      <c r="L69" s="14">
        <v>7650.0</v>
      </c>
      <c r="M69" s="14">
        <v>7850.0</v>
      </c>
      <c r="N69" s="1">
        <v>7450.0</v>
      </c>
      <c r="R69" s="15"/>
      <c r="S69" s="17"/>
      <c r="T69" s="17"/>
      <c r="U69" s="17"/>
    </row>
    <row r="70">
      <c r="A70" s="12" t="s">
        <v>1007</v>
      </c>
      <c r="B70" s="12" t="s">
        <v>1008</v>
      </c>
      <c r="C70" s="13" t="s">
        <v>195</v>
      </c>
      <c r="D70" s="13" t="s">
        <v>197</v>
      </c>
      <c r="E70" s="13" t="s">
        <v>119</v>
      </c>
      <c r="F70" s="13" t="s">
        <v>121</v>
      </c>
      <c r="G70" s="13" t="s">
        <v>122</v>
      </c>
      <c r="H70" s="14">
        <v>40.277153</v>
      </c>
      <c r="I70" s="14">
        <v>29.52368</v>
      </c>
      <c r="J70" s="13" t="s">
        <v>213</v>
      </c>
      <c r="K70" s="13" t="s">
        <v>1001</v>
      </c>
      <c r="L70" s="18">
        <v>7883.0</v>
      </c>
      <c r="M70" s="14">
        <v>7974.0</v>
      </c>
      <c r="N70" s="1">
        <v>7792.0</v>
      </c>
      <c r="R70" s="15"/>
      <c r="S70" s="17"/>
      <c r="T70" s="17"/>
      <c r="U70" s="17"/>
    </row>
    <row r="71">
      <c r="A71" s="16" t="s">
        <v>1020</v>
      </c>
      <c r="B71" s="16" t="s">
        <v>1021</v>
      </c>
      <c r="C71" s="13" t="s">
        <v>195</v>
      </c>
      <c r="D71" s="13" t="s">
        <v>197</v>
      </c>
      <c r="E71" s="13" t="s">
        <v>119</v>
      </c>
      <c r="F71" s="13" t="s">
        <v>121</v>
      </c>
      <c r="G71" s="13" t="s">
        <v>122</v>
      </c>
      <c r="H71" s="14">
        <v>40.277153</v>
      </c>
      <c r="I71" s="14">
        <v>29.52368</v>
      </c>
      <c r="J71" s="13" t="s">
        <v>213</v>
      </c>
      <c r="K71" s="13" t="s">
        <v>1001</v>
      </c>
      <c r="L71" s="14">
        <v>7650.0</v>
      </c>
      <c r="M71" s="14">
        <v>7850.0</v>
      </c>
      <c r="N71" s="1">
        <v>7450.0</v>
      </c>
      <c r="R71" s="15"/>
      <c r="S71" s="17"/>
      <c r="T71" s="17"/>
      <c r="U71" s="17"/>
    </row>
    <row r="72">
      <c r="A72" s="12" t="s">
        <v>1030</v>
      </c>
      <c r="B72" s="12" t="s">
        <v>1032</v>
      </c>
      <c r="C72" s="13" t="s">
        <v>195</v>
      </c>
      <c r="D72" s="13" t="s">
        <v>197</v>
      </c>
      <c r="E72" s="13" t="s">
        <v>119</v>
      </c>
      <c r="F72" s="13" t="s">
        <v>121</v>
      </c>
      <c r="G72" s="13" t="s">
        <v>122</v>
      </c>
      <c r="H72" s="14">
        <v>40.277153</v>
      </c>
      <c r="I72" s="14">
        <v>29.52368</v>
      </c>
      <c r="J72" s="13" t="s">
        <v>213</v>
      </c>
      <c r="K72" s="13" t="s">
        <v>1001</v>
      </c>
      <c r="L72" s="18">
        <v>8179.0</v>
      </c>
      <c r="M72" s="14">
        <v>8323.0</v>
      </c>
      <c r="N72" s="1">
        <v>8035.0</v>
      </c>
      <c r="R72" s="15"/>
      <c r="S72" s="17"/>
      <c r="T72" s="17"/>
      <c r="U72" s="17"/>
    </row>
    <row r="73">
      <c r="A73" s="12" t="s">
        <v>1041</v>
      </c>
      <c r="B73" s="12" t="s">
        <v>1043</v>
      </c>
      <c r="C73" s="13" t="s">
        <v>195</v>
      </c>
      <c r="D73" s="13" t="s">
        <v>197</v>
      </c>
      <c r="E73" s="13" t="s">
        <v>119</v>
      </c>
      <c r="F73" s="13" t="s">
        <v>121</v>
      </c>
      <c r="G73" s="13" t="s">
        <v>122</v>
      </c>
      <c r="H73" s="14">
        <v>32.663852</v>
      </c>
      <c r="I73" s="14">
        <v>35.108734</v>
      </c>
      <c r="J73" s="13" t="s">
        <v>1050</v>
      </c>
      <c r="K73" s="13" t="s">
        <v>1051</v>
      </c>
      <c r="L73" s="18">
        <v>1130.0</v>
      </c>
      <c r="M73" s="14">
        <v>1000.0</v>
      </c>
      <c r="N73" s="1">
        <v>1260.0</v>
      </c>
      <c r="R73" s="15"/>
      <c r="S73" s="17"/>
      <c r="T73" s="17"/>
      <c r="U73" s="17"/>
    </row>
    <row r="74">
      <c r="A74" s="16" t="s">
        <v>1056</v>
      </c>
      <c r="B74" s="16" t="s">
        <v>1058</v>
      </c>
      <c r="C74" s="13" t="s">
        <v>195</v>
      </c>
      <c r="D74" s="13" t="s">
        <v>197</v>
      </c>
      <c r="E74" s="13" t="s">
        <v>119</v>
      </c>
      <c r="F74" s="13" t="s">
        <v>121</v>
      </c>
      <c r="G74" s="13" t="s">
        <v>122</v>
      </c>
      <c r="H74" s="14">
        <v>32.663852</v>
      </c>
      <c r="I74" s="14">
        <v>35.108734</v>
      </c>
      <c r="J74" s="13" t="s">
        <v>1050</v>
      </c>
      <c r="K74" s="13" t="s">
        <v>1051</v>
      </c>
      <c r="L74" s="14">
        <v>1200.0</v>
      </c>
      <c r="M74" s="14">
        <v>1400.0</v>
      </c>
      <c r="N74" s="1">
        <v>1000.0</v>
      </c>
      <c r="R74" s="15"/>
      <c r="S74" s="17"/>
      <c r="T74" s="17"/>
      <c r="U74" s="17"/>
    </row>
    <row r="75">
      <c r="A75" s="16" t="s">
        <v>1070</v>
      </c>
      <c r="B75" s="16" t="s">
        <v>1072</v>
      </c>
      <c r="C75" s="13" t="s">
        <v>209</v>
      </c>
      <c r="D75" s="13" t="s">
        <v>1076</v>
      </c>
      <c r="E75" s="13" t="s">
        <v>119</v>
      </c>
      <c r="F75" s="13" t="s">
        <v>121</v>
      </c>
      <c r="G75" s="13" t="s">
        <v>122</v>
      </c>
      <c r="H75" s="14">
        <v>60.233056</v>
      </c>
      <c r="I75" s="14">
        <v>20.080556</v>
      </c>
      <c r="J75" s="13" t="s">
        <v>1079</v>
      </c>
      <c r="K75" s="13" t="s">
        <v>1081</v>
      </c>
      <c r="L75" s="14">
        <v>433.5</v>
      </c>
      <c r="M75" s="14">
        <v>527.0</v>
      </c>
      <c r="N75" s="1">
        <v>340.0</v>
      </c>
      <c r="R75" s="15"/>
      <c r="S75" s="17"/>
      <c r="T75" s="17"/>
      <c r="U75" s="17"/>
    </row>
    <row r="76">
      <c r="A76" s="12" t="s">
        <v>1085</v>
      </c>
      <c r="B76" s="12" t="s">
        <v>1088</v>
      </c>
      <c r="C76" s="13" t="s">
        <v>209</v>
      </c>
      <c r="D76" s="13" t="s">
        <v>1076</v>
      </c>
      <c r="E76" s="13" t="s">
        <v>119</v>
      </c>
      <c r="F76" s="13" t="s">
        <v>121</v>
      </c>
      <c r="G76" s="13" t="s">
        <v>122</v>
      </c>
      <c r="H76" s="14">
        <v>60.233056</v>
      </c>
      <c r="I76" s="14">
        <v>20.080556</v>
      </c>
      <c r="J76" s="13" t="s">
        <v>1079</v>
      </c>
      <c r="K76" s="13" t="s">
        <v>1081</v>
      </c>
      <c r="L76" s="14">
        <v>425.0</v>
      </c>
      <c r="M76" s="14">
        <v>450.0</v>
      </c>
      <c r="N76" s="1">
        <v>400.0</v>
      </c>
      <c r="R76" s="15"/>
      <c r="S76" s="17"/>
      <c r="T76" s="17"/>
      <c r="U76" s="17"/>
    </row>
    <row r="77">
      <c r="A77" s="16" t="s">
        <v>1096</v>
      </c>
      <c r="B77" s="16" t="s">
        <v>1098</v>
      </c>
      <c r="C77" s="13" t="s">
        <v>195</v>
      </c>
      <c r="D77" s="13" t="s">
        <v>197</v>
      </c>
      <c r="E77" s="13" t="s">
        <v>119</v>
      </c>
      <c r="F77" s="13" t="s">
        <v>121</v>
      </c>
      <c r="G77" s="13" t="s">
        <v>122</v>
      </c>
      <c r="H77" s="14">
        <v>36.54425988</v>
      </c>
      <c r="I77" s="14">
        <v>46.21132851</v>
      </c>
      <c r="J77" s="13" t="s">
        <v>1104</v>
      </c>
      <c r="K77" s="13" t="s">
        <v>1106</v>
      </c>
      <c r="L77" s="14">
        <v>4960.0</v>
      </c>
      <c r="M77" s="18">
        <v>4899.0</v>
      </c>
      <c r="N77" s="1">
        <v>4838.0</v>
      </c>
      <c r="R77" s="15"/>
      <c r="S77" s="17"/>
      <c r="T77" s="17"/>
      <c r="U77" s="17"/>
    </row>
    <row r="78">
      <c r="A78" s="12" t="s">
        <v>1110</v>
      </c>
      <c r="B78" s="12" t="s">
        <v>1111</v>
      </c>
      <c r="C78" s="13" t="s">
        <v>1114</v>
      </c>
      <c r="D78" s="13" t="s">
        <v>1115</v>
      </c>
      <c r="E78" s="13" t="s">
        <v>119</v>
      </c>
      <c r="F78" s="13" t="s">
        <v>121</v>
      </c>
      <c r="G78" s="13" t="s">
        <v>122</v>
      </c>
      <c r="H78" s="14">
        <v>42.34828541</v>
      </c>
      <c r="I78" s="14">
        <v>-3.51660465</v>
      </c>
      <c r="J78" s="13" t="s">
        <v>1116</v>
      </c>
      <c r="K78" s="13" t="s">
        <v>1120</v>
      </c>
      <c r="L78" s="14">
        <v>7147.0</v>
      </c>
      <c r="M78" s="14">
        <v>7270.0</v>
      </c>
      <c r="N78" s="1">
        <v>7024.0</v>
      </c>
      <c r="R78" s="15"/>
      <c r="S78" s="17"/>
      <c r="T78" s="17"/>
      <c r="U78" s="17"/>
    </row>
    <row r="79">
      <c r="A79" s="16" t="s">
        <v>1125</v>
      </c>
      <c r="B79" s="16" t="s">
        <v>1127</v>
      </c>
      <c r="C79" s="13" t="s">
        <v>1114</v>
      </c>
      <c r="D79" s="13" t="s">
        <v>1115</v>
      </c>
      <c r="E79" s="13" t="s">
        <v>119</v>
      </c>
      <c r="F79" s="13" t="s">
        <v>121</v>
      </c>
      <c r="G79" s="13" t="s">
        <v>122</v>
      </c>
      <c r="H79" s="14">
        <v>42.34828541</v>
      </c>
      <c r="I79" s="14">
        <v>-3.51660465</v>
      </c>
      <c r="J79" s="13" t="s">
        <v>1116</v>
      </c>
      <c r="K79" s="13" t="s">
        <v>1120</v>
      </c>
      <c r="L79" s="14">
        <v>7126.0</v>
      </c>
      <c r="M79" s="14">
        <v>7260.0</v>
      </c>
      <c r="N79" s="1">
        <v>6992.0</v>
      </c>
      <c r="R79" s="15"/>
      <c r="S79" s="17"/>
      <c r="T79" s="17"/>
      <c r="U79" s="17"/>
    </row>
    <row r="80">
      <c r="A80" s="12" t="s">
        <v>1136</v>
      </c>
      <c r="B80" s="12" t="s">
        <v>1138</v>
      </c>
      <c r="C80" s="13" t="s">
        <v>195</v>
      </c>
      <c r="D80" s="13" t="s">
        <v>197</v>
      </c>
      <c r="E80" s="13" t="s">
        <v>119</v>
      </c>
      <c r="F80" s="13" t="s">
        <v>121</v>
      </c>
      <c r="G80" s="13" t="s">
        <v>122</v>
      </c>
      <c r="H80" s="14">
        <v>38.34935</v>
      </c>
      <c r="I80" s="14">
        <v>34.230237</v>
      </c>
      <c r="J80" s="13" t="s">
        <v>213</v>
      </c>
      <c r="K80" s="13" t="s">
        <v>215</v>
      </c>
      <c r="L80" s="14">
        <v>9600.0</v>
      </c>
      <c r="M80" s="14">
        <v>9800.0</v>
      </c>
      <c r="N80" s="1">
        <v>9400.0</v>
      </c>
    </row>
    <row r="81">
      <c r="A81" s="16" t="s">
        <v>1145</v>
      </c>
      <c r="B81" s="16" t="s">
        <v>1146</v>
      </c>
      <c r="C81" s="13" t="s">
        <v>209</v>
      </c>
      <c r="D81" s="13" t="s">
        <v>1076</v>
      </c>
      <c r="E81" s="13" t="s">
        <v>119</v>
      </c>
      <c r="F81" s="13" t="s">
        <v>121</v>
      </c>
      <c r="G81" s="13" t="s">
        <v>122</v>
      </c>
      <c r="H81" s="14">
        <v>57.290033</v>
      </c>
      <c r="I81" s="14">
        <v>17.975129</v>
      </c>
      <c r="J81" s="13" t="s">
        <v>1079</v>
      </c>
      <c r="K81" s="13" t="s">
        <v>1153</v>
      </c>
      <c r="L81" s="14">
        <v>3828.0</v>
      </c>
      <c r="M81" s="14">
        <v>3957.0</v>
      </c>
      <c r="N81" s="1">
        <v>3699.0</v>
      </c>
    </row>
    <row r="82">
      <c r="A82" s="12" t="s">
        <v>1156</v>
      </c>
      <c r="B82" s="12" t="s">
        <v>1158</v>
      </c>
      <c r="C82" s="13" t="s">
        <v>209</v>
      </c>
      <c r="D82" s="13" t="s">
        <v>1076</v>
      </c>
      <c r="E82" s="13" t="s">
        <v>119</v>
      </c>
      <c r="F82" s="13" t="s">
        <v>121</v>
      </c>
      <c r="G82" s="13" t="s">
        <v>122</v>
      </c>
      <c r="H82" s="14">
        <v>57.290033</v>
      </c>
      <c r="I82" s="14">
        <v>17.975129</v>
      </c>
      <c r="J82" s="13" t="s">
        <v>1079</v>
      </c>
      <c r="K82" s="13" t="s">
        <v>1153</v>
      </c>
      <c r="L82" s="14">
        <v>4043.5</v>
      </c>
      <c r="M82" s="14">
        <v>4151.0</v>
      </c>
      <c r="N82" s="1">
        <v>3936.0</v>
      </c>
    </row>
    <row r="83">
      <c r="A83" s="16" t="s">
        <v>1167</v>
      </c>
      <c r="B83" s="16" t="s">
        <v>1168</v>
      </c>
      <c r="C83" s="13" t="s">
        <v>209</v>
      </c>
      <c r="D83" s="13" t="s">
        <v>1076</v>
      </c>
      <c r="E83" s="13" t="s">
        <v>119</v>
      </c>
      <c r="F83" s="13" t="s">
        <v>121</v>
      </c>
      <c r="G83" s="13" t="s">
        <v>122</v>
      </c>
      <c r="H83" s="14">
        <v>57.290033</v>
      </c>
      <c r="I83" s="14">
        <v>17.975129</v>
      </c>
      <c r="J83" s="13" t="s">
        <v>1079</v>
      </c>
      <c r="K83" s="13" t="s">
        <v>1153</v>
      </c>
      <c r="L83" s="14">
        <v>4125.0</v>
      </c>
      <c r="M83" s="14">
        <v>4400.0</v>
      </c>
      <c r="N83" s="1">
        <v>3850.0</v>
      </c>
    </row>
    <row r="84">
      <c r="A84" s="12" t="s">
        <v>1174</v>
      </c>
      <c r="B84" s="12" t="s">
        <v>1175</v>
      </c>
      <c r="C84" s="13" t="s">
        <v>195</v>
      </c>
      <c r="D84" s="13" t="s">
        <v>197</v>
      </c>
      <c r="E84" s="13" t="s">
        <v>119</v>
      </c>
      <c r="F84" s="13" t="s">
        <v>121</v>
      </c>
      <c r="G84" s="13" t="s">
        <v>122</v>
      </c>
      <c r="H84" s="14">
        <v>37.0043469</v>
      </c>
      <c r="I84" s="14">
        <v>45.4588338</v>
      </c>
      <c r="J84" s="13" t="s">
        <v>1104</v>
      </c>
      <c r="K84" s="13" t="s">
        <v>1182</v>
      </c>
      <c r="L84" s="14">
        <v>2500.0</v>
      </c>
      <c r="M84" s="14">
        <v>2700.0</v>
      </c>
      <c r="N84" s="1">
        <v>2300.0</v>
      </c>
    </row>
    <row r="85">
      <c r="A85" s="16" t="s">
        <v>1185</v>
      </c>
      <c r="B85" s="16" t="s">
        <v>1186</v>
      </c>
      <c r="C85" s="13" t="s">
        <v>195</v>
      </c>
      <c r="D85" s="13" t="s">
        <v>197</v>
      </c>
      <c r="E85" s="13" t="s">
        <v>119</v>
      </c>
      <c r="F85" s="13" t="s">
        <v>121</v>
      </c>
      <c r="G85" s="13" t="s">
        <v>122</v>
      </c>
      <c r="H85" s="14">
        <v>36.54425988</v>
      </c>
      <c r="I85" s="14">
        <v>46.21132851</v>
      </c>
      <c r="J85" s="13" t="s">
        <v>1104</v>
      </c>
      <c r="K85" s="13" t="s">
        <v>1106</v>
      </c>
      <c r="L85" s="14">
        <v>4500.0</v>
      </c>
      <c r="M85" s="14">
        <v>4700.0</v>
      </c>
      <c r="N85" s="1">
        <v>4300.0</v>
      </c>
    </row>
    <row r="86">
      <c r="A86" s="12" t="s">
        <v>1195</v>
      </c>
      <c r="B86" s="12" t="s">
        <v>1196</v>
      </c>
      <c r="C86" s="13" t="s">
        <v>195</v>
      </c>
      <c r="D86" s="13" t="s">
        <v>197</v>
      </c>
      <c r="E86" s="13" t="s">
        <v>119</v>
      </c>
      <c r="F86" s="13" t="s">
        <v>121</v>
      </c>
      <c r="G86" s="13" t="s">
        <v>122</v>
      </c>
      <c r="H86" s="13">
        <v>37.0045268063277</v>
      </c>
      <c r="I86" s="13">
        <v>45.4588445262911</v>
      </c>
      <c r="J86" s="4" t="s">
        <v>1104</v>
      </c>
      <c r="K86" s="4" t="s">
        <v>1182</v>
      </c>
      <c r="L86" s="4" t="s">
        <v>1200</v>
      </c>
      <c r="M86" s="4" t="s">
        <v>1203</v>
      </c>
      <c r="N86" s="1">
        <v>2650.0</v>
      </c>
    </row>
    <row r="87">
      <c r="A87" s="16" t="s">
        <v>1206</v>
      </c>
      <c r="B87" s="16" t="s">
        <v>1208</v>
      </c>
      <c r="C87" s="13" t="s">
        <v>1209</v>
      </c>
      <c r="D87" s="13" t="s">
        <v>1209</v>
      </c>
      <c r="E87" s="13" t="s">
        <v>119</v>
      </c>
      <c r="F87" s="13" t="s">
        <v>121</v>
      </c>
      <c r="G87" s="13" t="s">
        <v>122</v>
      </c>
      <c r="H87" s="14">
        <v>37.21323325</v>
      </c>
      <c r="I87" s="14">
        <v>30.4750692</v>
      </c>
      <c r="J87" s="13" t="s">
        <v>213</v>
      </c>
      <c r="K87" s="13" t="s">
        <v>1213</v>
      </c>
      <c r="L87" s="14">
        <v>8820.0</v>
      </c>
      <c r="M87" s="14">
        <v>8985.0</v>
      </c>
      <c r="N87" s="1">
        <v>8655.0</v>
      </c>
    </row>
    <row r="88">
      <c r="A88" s="12" t="s">
        <v>1219</v>
      </c>
      <c r="B88" s="12" t="s">
        <v>1221</v>
      </c>
      <c r="C88" s="13" t="s">
        <v>1209</v>
      </c>
      <c r="D88" s="13" t="s">
        <v>1209</v>
      </c>
      <c r="E88" s="13" t="s">
        <v>119</v>
      </c>
      <c r="F88" s="13" t="s">
        <v>121</v>
      </c>
      <c r="G88" s="13" t="s">
        <v>122</v>
      </c>
      <c r="H88" s="14">
        <v>40.30102389</v>
      </c>
      <c r="I88" s="14">
        <v>29.60864717</v>
      </c>
      <c r="J88" s="13" t="s">
        <v>213</v>
      </c>
      <c r="K88" s="13" t="s">
        <v>1225</v>
      </c>
      <c r="L88" s="14">
        <v>8200.0</v>
      </c>
      <c r="M88" s="14">
        <v>8250.0</v>
      </c>
      <c r="N88" s="1">
        <v>8150.0</v>
      </c>
    </row>
    <row r="89">
      <c r="A89" s="16" t="s">
        <v>1226</v>
      </c>
      <c r="B89" s="16" t="s">
        <v>1227</v>
      </c>
      <c r="C89" s="13" t="s">
        <v>195</v>
      </c>
      <c r="D89" s="13" t="s">
        <v>197</v>
      </c>
      <c r="E89" s="13" t="s">
        <v>119</v>
      </c>
      <c r="F89" s="13" t="s">
        <v>121</v>
      </c>
      <c r="G89" s="13" t="s">
        <v>122</v>
      </c>
      <c r="H89" s="14">
        <v>49.38872875</v>
      </c>
      <c r="I89" s="14">
        <v>3.393868727</v>
      </c>
      <c r="J89" s="13" t="s">
        <v>1230</v>
      </c>
      <c r="K89" s="13" t="s">
        <v>1231</v>
      </c>
      <c r="L89" s="14">
        <v>6750.0</v>
      </c>
      <c r="M89" s="14">
        <v>6850.0</v>
      </c>
      <c r="N89" s="1">
        <v>6650.0</v>
      </c>
    </row>
    <row r="90">
      <c r="A90" s="12" t="s">
        <v>1232</v>
      </c>
      <c r="B90" s="12" t="s">
        <v>1233</v>
      </c>
      <c r="C90" s="13" t="s">
        <v>195</v>
      </c>
      <c r="D90" s="13" t="s">
        <v>197</v>
      </c>
      <c r="E90" s="13" t="s">
        <v>119</v>
      </c>
      <c r="F90" s="13" t="s">
        <v>121</v>
      </c>
      <c r="G90" s="13" t="s">
        <v>122</v>
      </c>
      <c r="H90" s="14">
        <v>49.38872875</v>
      </c>
      <c r="I90" s="14">
        <v>3.393868727</v>
      </c>
      <c r="J90" s="13" t="s">
        <v>1230</v>
      </c>
      <c r="K90" s="13" t="s">
        <v>1231</v>
      </c>
      <c r="L90" s="14">
        <v>6750.0</v>
      </c>
      <c r="M90" s="14">
        <v>6850.0</v>
      </c>
      <c r="N90" s="1">
        <v>6650.0</v>
      </c>
    </row>
    <row r="91">
      <c r="A91" s="16" t="s">
        <v>1235</v>
      </c>
      <c r="B91" s="16" t="s">
        <v>1236</v>
      </c>
      <c r="C91" s="13" t="s">
        <v>195</v>
      </c>
      <c r="D91" s="13" t="s">
        <v>197</v>
      </c>
      <c r="E91" s="13" t="s">
        <v>119</v>
      </c>
      <c r="F91" s="13" t="s">
        <v>121</v>
      </c>
      <c r="G91" s="13" t="s">
        <v>122</v>
      </c>
      <c r="H91" s="14">
        <v>37.10355</v>
      </c>
      <c r="I91" s="14">
        <v>56.885281</v>
      </c>
      <c r="J91" s="13" t="s">
        <v>1104</v>
      </c>
      <c r="K91" s="13" t="s">
        <v>1237</v>
      </c>
      <c r="L91" s="14">
        <v>4400.0</v>
      </c>
      <c r="M91" s="14">
        <v>4600.0</v>
      </c>
      <c r="N91" s="1">
        <v>4200.0</v>
      </c>
    </row>
    <row r="92">
      <c r="A92" s="12" t="s">
        <v>1238</v>
      </c>
      <c r="B92" s="12" t="s">
        <v>1239</v>
      </c>
      <c r="C92" s="13" t="s">
        <v>1240</v>
      </c>
      <c r="D92" s="13" t="s">
        <v>1241</v>
      </c>
      <c r="E92" s="13" t="s">
        <v>119</v>
      </c>
      <c r="F92" s="13" t="s">
        <v>121</v>
      </c>
      <c r="G92" s="13" t="s">
        <v>122</v>
      </c>
      <c r="H92" s="14">
        <v>54.249722</v>
      </c>
      <c r="I92" s="14">
        <v>55.546944</v>
      </c>
      <c r="J92" s="13" t="s">
        <v>1244</v>
      </c>
      <c r="K92" s="13" t="s">
        <v>1246</v>
      </c>
      <c r="L92" s="18">
        <v>3481.0</v>
      </c>
      <c r="M92" s="14">
        <v>3564.0</v>
      </c>
      <c r="N92" s="1">
        <v>3398.0</v>
      </c>
    </row>
    <row r="93">
      <c r="A93" s="16" t="s">
        <v>1247</v>
      </c>
      <c r="B93" s="16" t="s">
        <v>1248</v>
      </c>
      <c r="C93" s="13" t="s">
        <v>195</v>
      </c>
      <c r="D93" s="13" t="s">
        <v>197</v>
      </c>
      <c r="E93" s="13" t="s">
        <v>119</v>
      </c>
      <c r="F93" s="13" t="s">
        <v>121</v>
      </c>
      <c r="G93" s="13" t="s">
        <v>122</v>
      </c>
      <c r="H93" s="14">
        <v>52.7</v>
      </c>
      <c r="I93" s="14">
        <v>5.3</v>
      </c>
      <c r="J93" s="13" t="s">
        <v>1250</v>
      </c>
      <c r="K93" s="13" t="s">
        <v>1251</v>
      </c>
      <c r="L93" s="18">
        <v>3080.0</v>
      </c>
      <c r="M93" s="14">
        <v>3162.0</v>
      </c>
      <c r="N93" s="1">
        <v>2998.0</v>
      </c>
    </row>
    <row r="94">
      <c r="A94" s="12" t="s">
        <v>1253</v>
      </c>
      <c r="B94" s="12" t="s">
        <v>1255</v>
      </c>
      <c r="C94" s="13" t="s">
        <v>1209</v>
      </c>
      <c r="D94" s="13" t="s">
        <v>1209</v>
      </c>
      <c r="E94" s="13" t="s">
        <v>119</v>
      </c>
      <c r="F94" s="13" t="s">
        <v>121</v>
      </c>
      <c r="G94" s="13" t="s">
        <v>122</v>
      </c>
      <c r="H94" s="14">
        <v>37.352004</v>
      </c>
      <c r="I94" s="14">
        <v>31.925888</v>
      </c>
      <c r="J94" s="13" t="s">
        <v>213</v>
      </c>
      <c r="K94" s="13" t="s">
        <v>1256</v>
      </c>
      <c r="L94" s="14">
        <v>8100.0</v>
      </c>
      <c r="M94" s="14">
        <v>8250.0</v>
      </c>
      <c r="N94" s="1">
        <v>7950.0</v>
      </c>
    </row>
    <row r="95">
      <c r="A95" s="16" t="s">
        <v>1257</v>
      </c>
      <c r="B95" s="16" t="s">
        <v>1258</v>
      </c>
      <c r="C95" s="13" t="s">
        <v>1240</v>
      </c>
      <c r="D95" s="13" t="s">
        <v>1259</v>
      </c>
      <c r="E95" s="13" t="s">
        <v>119</v>
      </c>
      <c r="F95" s="13" t="s">
        <v>121</v>
      </c>
      <c r="G95" s="13" t="s">
        <v>122</v>
      </c>
      <c r="H95" s="14">
        <v>37.352004</v>
      </c>
      <c r="I95" s="14">
        <v>31.925888</v>
      </c>
      <c r="J95" s="13" t="s">
        <v>213</v>
      </c>
      <c r="K95" s="13" t="s">
        <v>1256</v>
      </c>
      <c r="L95" s="14">
        <v>8200.0</v>
      </c>
      <c r="M95" s="14">
        <v>8450.0</v>
      </c>
      <c r="N95" s="1">
        <v>7950.0</v>
      </c>
    </row>
    <row r="96">
      <c r="A96" s="12" t="s">
        <v>1262</v>
      </c>
      <c r="B96" s="12" t="s">
        <v>1264</v>
      </c>
      <c r="C96" s="13" t="s">
        <v>195</v>
      </c>
      <c r="D96" s="13" t="s">
        <v>197</v>
      </c>
      <c r="E96" s="13" t="s">
        <v>119</v>
      </c>
      <c r="F96" s="13" t="s">
        <v>121</v>
      </c>
      <c r="G96" s="13" t="s">
        <v>122</v>
      </c>
      <c r="H96" s="14">
        <v>29.1752873</v>
      </c>
      <c r="I96" s="14">
        <v>52.7656639</v>
      </c>
      <c r="J96" s="13" t="s">
        <v>1104</v>
      </c>
      <c r="K96" s="13" t="s">
        <v>1265</v>
      </c>
      <c r="L96" s="18">
        <v>5867.0</v>
      </c>
      <c r="M96" s="14">
        <v>5985.0</v>
      </c>
      <c r="N96" s="1">
        <v>5749.0</v>
      </c>
    </row>
    <row r="97">
      <c r="A97" s="16" t="s">
        <v>1268</v>
      </c>
      <c r="B97" s="16" t="s">
        <v>1269</v>
      </c>
      <c r="C97" s="13" t="s">
        <v>195</v>
      </c>
      <c r="D97" s="13" t="s">
        <v>197</v>
      </c>
      <c r="E97" s="13" t="s">
        <v>119</v>
      </c>
      <c r="F97" s="13" t="s">
        <v>121</v>
      </c>
      <c r="G97" s="13" t="s">
        <v>122</v>
      </c>
      <c r="H97" s="14">
        <v>41.39055</v>
      </c>
      <c r="I97" s="14">
        <v>44.82084</v>
      </c>
      <c r="J97" s="13" t="s">
        <v>564</v>
      </c>
      <c r="K97" s="13" t="s">
        <v>1270</v>
      </c>
      <c r="L97" s="14">
        <v>7850.0</v>
      </c>
      <c r="M97" s="14">
        <v>8050.0</v>
      </c>
      <c r="N97" s="1">
        <v>7650.0</v>
      </c>
    </row>
    <row r="98">
      <c r="A98" s="12" t="s">
        <v>1272</v>
      </c>
      <c r="B98" s="12" t="s">
        <v>1273</v>
      </c>
      <c r="C98" s="13" t="s">
        <v>195</v>
      </c>
      <c r="D98" s="13" t="s">
        <v>197</v>
      </c>
      <c r="E98" s="13" t="s">
        <v>119</v>
      </c>
      <c r="F98" s="13" t="s">
        <v>121</v>
      </c>
      <c r="G98" s="13" t="s">
        <v>122</v>
      </c>
      <c r="H98" s="14">
        <v>41.39055</v>
      </c>
      <c r="I98" s="14">
        <v>44.82084</v>
      </c>
      <c r="J98" s="13" t="s">
        <v>564</v>
      </c>
      <c r="K98" s="13" t="s">
        <v>1270</v>
      </c>
      <c r="L98" s="18">
        <v>7863.0</v>
      </c>
      <c r="M98" s="14">
        <v>7970.0</v>
      </c>
      <c r="N98" s="1">
        <v>7755.0</v>
      </c>
    </row>
    <row r="99">
      <c r="A99" s="16" t="s">
        <v>1277</v>
      </c>
      <c r="B99" s="16" t="s">
        <v>1278</v>
      </c>
      <c r="C99" s="13" t="s">
        <v>195</v>
      </c>
      <c r="D99" s="13" t="s">
        <v>197</v>
      </c>
      <c r="E99" s="13" t="s">
        <v>1279</v>
      </c>
      <c r="F99" s="13" t="s">
        <v>121</v>
      </c>
      <c r="G99" s="13" t="s">
        <v>1280</v>
      </c>
      <c r="H99" s="14">
        <v>34.2721</v>
      </c>
      <c r="I99" s="14">
        <v>47.4758</v>
      </c>
      <c r="J99" s="13" t="s">
        <v>1104</v>
      </c>
      <c r="K99" s="13" t="s">
        <v>1281</v>
      </c>
      <c r="L99" s="18">
        <v>10070.0</v>
      </c>
      <c r="M99" s="14">
        <v>10229.0</v>
      </c>
      <c r="N99" s="1">
        <v>9910.0</v>
      </c>
    </row>
    <row r="100">
      <c r="A100" s="12" t="s">
        <v>1282</v>
      </c>
      <c r="B100" s="12" t="s">
        <v>1283</v>
      </c>
      <c r="C100" s="13" t="s">
        <v>195</v>
      </c>
      <c r="D100" s="13" t="s">
        <v>197</v>
      </c>
      <c r="E100" s="13" t="s">
        <v>119</v>
      </c>
      <c r="F100" s="13" t="s">
        <v>121</v>
      </c>
      <c r="G100" s="13" t="s">
        <v>122</v>
      </c>
      <c r="H100" s="14">
        <v>37.25</v>
      </c>
      <c r="I100" s="14">
        <v>55.17</v>
      </c>
      <c r="J100" s="13" t="s">
        <v>1104</v>
      </c>
      <c r="K100" s="13" t="s">
        <v>1287</v>
      </c>
      <c r="L100" s="14">
        <v>650.0</v>
      </c>
      <c r="M100" s="14">
        <v>850.0</v>
      </c>
      <c r="N100" s="1">
        <v>450.0</v>
      </c>
    </row>
    <row r="101">
      <c r="A101" s="16" t="s">
        <v>1289</v>
      </c>
      <c r="B101" s="16" t="s">
        <v>1290</v>
      </c>
      <c r="C101" s="13" t="s">
        <v>195</v>
      </c>
      <c r="D101" s="13" t="s">
        <v>197</v>
      </c>
      <c r="E101" s="13" t="s">
        <v>119</v>
      </c>
      <c r="F101" s="13" t="s">
        <v>121</v>
      </c>
      <c r="G101" s="13" t="s">
        <v>122</v>
      </c>
      <c r="H101" s="14">
        <v>38.401745</v>
      </c>
      <c r="I101" s="14">
        <v>34.196339</v>
      </c>
      <c r="J101" s="13" t="s">
        <v>213</v>
      </c>
      <c r="K101" s="13" t="s">
        <v>734</v>
      </c>
      <c r="L101" s="14">
        <v>7000.0</v>
      </c>
      <c r="M101" s="14">
        <v>7200.0</v>
      </c>
      <c r="N101" s="1">
        <v>6800.0</v>
      </c>
    </row>
    <row r="102">
      <c r="A102" s="12" t="s">
        <v>1293</v>
      </c>
      <c r="B102" s="12" t="s">
        <v>1295</v>
      </c>
      <c r="C102" s="13" t="s">
        <v>195</v>
      </c>
      <c r="D102" s="13" t="s">
        <v>197</v>
      </c>
      <c r="E102" s="13" t="s">
        <v>119</v>
      </c>
      <c r="F102" s="13" t="s">
        <v>121</v>
      </c>
      <c r="G102" s="13" t="s">
        <v>122</v>
      </c>
      <c r="H102" s="14">
        <v>34.7988575</v>
      </c>
      <c r="I102" s="14">
        <v>48.5150224</v>
      </c>
      <c r="J102" s="13" t="s">
        <v>1104</v>
      </c>
      <c r="K102" s="13" t="s">
        <v>1298</v>
      </c>
      <c r="L102" s="14">
        <v>2500.0</v>
      </c>
      <c r="M102" s="14">
        <v>2700.0</v>
      </c>
      <c r="N102" s="1">
        <v>2300.0</v>
      </c>
    </row>
    <row r="103">
      <c r="A103" s="16" t="s">
        <v>1301</v>
      </c>
      <c r="B103" s="16" t="s">
        <v>1302</v>
      </c>
      <c r="C103" s="13" t="s">
        <v>195</v>
      </c>
      <c r="D103" s="13" t="s">
        <v>197</v>
      </c>
      <c r="E103" s="13" t="s">
        <v>119</v>
      </c>
      <c r="F103" s="13" t="s">
        <v>121</v>
      </c>
      <c r="G103" s="13" t="s">
        <v>122</v>
      </c>
      <c r="H103" s="14">
        <v>49.1456391</v>
      </c>
      <c r="I103" s="14">
        <v>8.2135861</v>
      </c>
      <c r="J103" s="13" t="s">
        <v>201</v>
      </c>
      <c r="K103" s="13" t="s">
        <v>783</v>
      </c>
      <c r="L103" s="18">
        <v>2533.0</v>
      </c>
      <c r="M103" s="14">
        <v>2700.0</v>
      </c>
      <c r="N103" s="1">
        <v>2365.0</v>
      </c>
    </row>
    <row r="104">
      <c r="A104" s="12" t="s">
        <v>1308</v>
      </c>
      <c r="B104" s="12" t="s">
        <v>1309</v>
      </c>
      <c r="C104" s="13" t="s">
        <v>1240</v>
      </c>
      <c r="D104" s="13" t="s">
        <v>1310</v>
      </c>
      <c r="E104" s="13" t="s">
        <v>119</v>
      </c>
      <c r="F104" s="13" t="s">
        <v>121</v>
      </c>
      <c r="G104" s="13" t="s">
        <v>122</v>
      </c>
      <c r="H104" s="14">
        <v>36.189444</v>
      </c>
      <c r="I104" s="14">
        <v>49.174444</v>
      </c>
      <c r="J104" s="13" t="s">
        <v>1104</v>
      </c>
      <c r="K104" s="13" t="s">
        <v>1314</v>
      </c>
      <c r="L104" s="14">
        <v>7850.0</v>
      </c>
      <c r="M104" s="14">
        <v>7950.0</v>
      </c>
      <c r="N104" s="1">
        <v>7750.0</v>
      </c>
    </row>
    <row r="105">
      <c r="A105" s="16" t="s">
        <v>1317</v>
      </c>
      <c r="B105" s="16" t="s">
        <v>1319</v>
      </c>
      <c r="C105" s="13" t="s">
        <v>1240</v>
      </c>
      <c r="D105" s="13" t="s">
        <v>1310</v>
      </c>
      <c r="E105" s="13" t="s">
        <v>119</v>
      </c>
      <c r="F105" s="13" t="s">
        <v>121</v>
      </c>
      <c r="G105" s="13" t="s">
        <v>122</v>
      </c>
      <c r="H105" s="14">
        <v>36.189444</v>
      </c>
      <c r="I105" s="14">
        <v>49.174444</v>
      </c>
      <c r="J105" s="13" t="s">
        <v>1104</v>
      </c>
      <c r="K105" s="13" t="s">
        <v>1314</v>
      </c>
      <c r="L105" s="14">
        <v>7850.0</v>
      </c>
      <c r="M105" s="14">
        <v>7950.0</v>
      </c>
      <c r="N105" s="1">
        <v>7750.0</v>
      </c>
    </row>
    <row r="106">
      <c r="A106" s="12" t="s">
        <v>1322</v>
      </c>
      <c r="B106" s="12" t="s">
        <v>1324</v>
      </c>
      <c r="C106" s="13" t="s">
        <v>1240</v>
      </c>
      <c r="D106" s="13" t="s">
        <v>1241</v>
      </c>
      <c r="E106" s="13" t="s">
        <v>119</v>
      </c>
      <c r="F106" s="13" t="s">
        <v>121</v>
      </c>
      <c r="G106" s="13" t="s">
        <v>122</v>
      </c>
      <c r="H106" s="14">
        <v>52.803333</v>
      </c>
      <c r="I106" s="14">
        <v>53.783056</v>
      </c>
      <c r="J106" s="13" t="s">
        <v>1244</v>
      </c>
      <c r="K106" s="13" t="s">
        <v>1328</v>
      </c>
      <c r="L106" s="18">
        <v>3777.0</v>
      </c>
      <c r="M106" s="14">
        <v>3910.0</v>
      </c>
      <c r="N106" s="1">
        <v>3644.0</v>
      </c>
    </row>
    <row r="107">
      <c r="A107" s="16" t="s">
        <v>1329</v>
      </c>
      <c r="B107" s="16" t="s">
        <v>1330</v>
      </c>
      <c r="C107" s="13" t="s">
        <v>195</v>
      </c>
      <c r="D107" s="13" t="s">
        <v>197</v>
      </c>
      <c r="E107" s="13" t="s">
        <v>119</v>
      </c>
      <c r="F107" s="13" t="s">
        <v>121</v>
      </c>
      <c r="G107" s="13" t="s">
        <v>122</v>
      </c>
      <c r="H107" s="14">
        <v>53.23</v>
      </c>
      <c r="I107" s="14">
        <v>5.78</v>
      </c>
      <c r="J107" s="13" t="s">
        <v>1250</v>
      </c>
      <c r="K107" s="13" t="s">
        <v>1331</v>
      </c>
      <c r="L107" s="18">
        <v>2247.0</v>
      </c>
      <c r="M107" s="14">
        <v>2336.0</v>
      </c>
      <c r="N107" s="1">
        <v>2157.0</v>
      </c>
    </row>
    <row r="108">
      <c r="A108" s="12" t="s">
        <v>1336</v>
      </c>
      <c r="B108" s="12" t="s">
        <v>1337</v>
      </c>
      <c r="C108" s="13" t="s">
        <v>195</v>
      </c>
      <c r="D108" s="13" t="s">
        <v>197</v>
      </c>
      <c r="E108" s="13" t="s">
        <v>119</v>
      </c>
      <c r="F108" s="13" t="s">
        <v>121</v>
      </c>
      <c r="G108" s="13" t="s">
        <v>122</v>
      </c>
      <c r="H108" s="14">
        <v>53.23</v>
      </c>
      <c r="I108" s="14">
        <v>5.78</v>
      </c>
      <c r="J108" s="13" t="s">
        <v>1250</v>
      </c>
      <c r="K108" s="13" t="s">
        <v>1331</v>
      </c>
      <c r="L108" s="14">
        <v>2081.0</v>
      </c>
      <c r="M108" s="14">
        <v>2281.0</v>
      </c>
      <c r="N108" s="1">
        <v>1881.0</v>
      </c>
    </row>
    <row r="109">
      <c r="A109" s="16" t="s">
        <v>1340</v>
      </c>
      <c r="B109" s="16" t="s">
        <v>1341</v>
      </c>
      <c r="C109" s="13" t="s">
        <v>195</v>
      </c>
      <c r="D109" s="13" t="s">
        <v>197</v>
      </c>
      <c r="E109" s="13" t="s">
        <v>119</v>
      </c>
      <c r="F109" s="13" t="s">
        <v>121</v>
      </c>
      <c r="G109" s="13" t="s">
        <v>122</v>
      </c>
      <c r="H109" s="4" t="s">
        <v>1343</v>
      </c>
      <c r="I109" s="4" t="s">
        <v>1344</v>
      </c>
      <c r="J109" s="4" t="s">
        <v>1104</v>
      </c>
      <c r="K109" s="4" t="s">
        <v>1346</v>
      </c>
      <c r="L109" s="4" t="s">
        <v>1348</v>
      </c>
      <c r="M109" s="4" t="s">
        <v>1349</v>
      </c>
      <c r="N109" s="1">
        <v>2700.0</v>
      </c>
    </row>
    <row r="110">
      <c r="A110" s="12" t="s">
        <v>1351</v>
      </c>
      <c r="B110" s="12" t="s">
        <v>1352</v>
      </c>
      <c r="C110" s="13" t="s">
        <v>195</v>
      </c>
      <c r="D110" s="13" t="s">
        <v>197</v>
      </c>
      <c r="E110" s="13" t="s">
        <v>1279</v>
      </c>
      <c r="F110" s="13" t="s">
        <v>121</v>
      </c>
      <c r="G110" s="13" t="s">
        <v>1280</v>
      </c>
      <c r="H110" s="14">
        <v>37.81442</v>
      </c>
      <c r="I110" s="14">
        <v>40.98383</v>
      </c>
      <c r="J110" s="13" t="s">
        <v>213</v>
      </c>
      <c r="K110" s="13" t="s">
        <v>1353</v>
      </c>
      <c r="L110" s="18">
        <v>11613.0</v>
      </c>
      <c r="M110" s="14">
        <v>11823.0</v>
      </c>
      <c r="N110" s="1">
        <v>11403.0</v>
      </c>
    </row>
    <row r="111">
      <c r="A111" s="16" t="s">
        <v>1354</v>
      </c>
      <c r="B111" s="16" t="s">
        <v>1355</v>
      </c>
      <c r="C111" s="13" t="s">
        <v>195</v>
      </c>
      <c r="D111" s="13" t="s">
        <v>197</v>
      </c>
      <c r="E111" s="13" t="s">
        <v>119</v>
      </c>
      <c r="F111" s="13" t="s">
        <v>121</v>
      </c>
      <c r="G111" s="13" t="s">
        <v>122</v>
      </c>
      <c r="H111" s="14">
        <v>39.270278</v>
      </c>
      <c r="I111" s="14">
        <v>45.451944</v>
      </c>
      <c r="J111" s="13" t="s">
        <v>1356</v>
      </c>
      <c r="K111" s="13" t="s">
        <v>1357</v>
      </c>
      <c r="L111" s="14">
        <v>7723.0</v>
      </c>
      <c r="M111" s="14">
        <v>7923.0</v>
      </c>
      <c r="N111" s="1">
        <v>7523.0</v>
      </c>
    </row>
    <row r="112">
      <c r="A112" s="12" t="s">
        <v>1358</v>
      </c>
      <c r="B112" s="12" t="s">
        <v>1359</v>
      </c>
      <c r="C112" s="13" t="s">
        <v>195</v>
      </c>
      <c r="D112" s="13" t="s">
        <v>197</v>
      </c>
      <c r="E112" s="13" t="s">
        <v>119</v>
      </c>
      <c r="F112" s="13" t="s">
        <v>121</v>
      </c>
      <c r="G112" s="13" t="s">
        <v>122</v>
      </c>
      <c r="H112" s="14">
        <v>35.776299</v>
      </c>
      <c r="I112" s="14">
        <v>48.12043</v>
      </c>
      <c r="J112" s="13" t="s">
        <v>1104</v>
      </c>
      <c r="K112" s="13" t="s">
        <v>1360</v>
      </c>
      <c r="L112" s="14">
        <v>6000.0</v>
      </c>
      <c r="M112" s="14">
        <v>6200.0</v>
      </c>
      <c r="N112" s="1">
        <v>5800.0</v>
      </c>
    </row>
    <row r="113">
      <c r="A113" s="16" t="s">
        <v>1361</v>
      </c>
      <c r="B113" s="16" t="s">
        <v>1362</v>
      </c>
      <c r="C113" s="13" t="s">
        <v>195</v>
      </c>
      <c r="D113" s="13" t="s">
        <v>197</v>
      </c>
      <c r="E113" s="13" t="s">
        <v>119</v>
      </c>
      <c r="F113" s="13" t="s">
        <v>121</v>
      </c>
      <c r="G113" s="13" t="s">
        <v>122</v>
      </c>
      <c r="H113" s="14">
        <v>33.4499509</v>
      </c>
      <c r="I113" s="14">
        <v>49.4516846</v>
      </c>
      <c r="J113" s="13" t="s">
        <v>1104</v>
      </c>
      <c r="K113" s="13" t="s">
        <v>1363</v>
      </c>
      <c r="L113" s="18">
        <v>7142.0</v>
      </c>
      <c r="M113" s="14">
        <v>7274.0</v>
      </c>
      <c r="N113" s="1">
        <v>7010.0</v>
      </c>
    </row>
    <row r="114">
      <c r="A114" s="12" t="s">
        <v>1364</v>
      </c>
      <c r="B114" s="12" t="s">
        <v>1366</v>
      </c>
      <c r="C114" s="13" t="s">
        <v>195</v>
      </c>
      <c r="D114" s="13" t="s">
        <v>197</v>
      </c>
      <c r="E114" s="13" t="s">
        <v>119</v>
      </c>
      <c r="F114" s="13" t="s">
        <v>121</v>
      </c>
      <c r="G114" s="13" t="s">
        <v>122</v>
      </c>
      <c r="H114" s="14">
        <v>33.4499509</v>
      </c>
      <c r="I114" s="14">
        <v>49.4516846</v>
      </c>
      <c r="J114" s="13" t="s">
        <v>1104</v>
      </c>
      <c r="K114" s="13" t="s">
        <v>1363</v>
      </c>
      <c r="L114" s="14">
        <v>5000.0</v>
      </c>
      <c r="M114" s="14">
        <v>5200.0</v>
      </c>
      <c r="N114" s="1">
        <v>4800.0</v>
      </c>
    </row>
    <row r="115">
      <c r="A115" s="16" t="s">
        <v>1369</v>
      </c>
      <c r="B115" s="16" t="s">
        <v>1370</v>
      </c>
      <c r="C115" s="13" t="s">
        <v>195</v>
      </c>
      <c r="D115" s="13" t="s">
        <v>197</v>
      </c>
      <c r="E115" s="13" t="s">
        <v>119</v>
      </c>
      <c r="F115" s="13" t="s">
        <v>121</v>
      </c>
      <c r="G115" s="13" t="s">
        <v>122</v>
      </c>
      <c r="H115" s="14">
        <v>33.4499509</v>
      </c>
      <c r="I115" s="14">
        <v>49.4516846</v>
      </c>
      <c r="J115" s="13" t="s">
        <v>1104</v>
      </c>
      <c r="K115" s="13" t="s">
        <v>1363</v>
      </c>
      <c r="L115" s="14">
        <v>5000.0</v>
      </c>
      <c r="M115" s="14">
        <v>5200.0</v>
      </c>
      <c r="N115" s="1">
        <v>4800.0</v>
      </c>
    </row>
    <row r="116">
      <c r="A116" s="12" t="s">
        <v>1371</v>
      </c>
      <c r="B116" s="12" t="s">
        <v>1372</v>
      </c>
      <c r="C116" s="13" t="s">
        <v>195</v>
      </c>
      <c r="D116" s="13" t="s">
        <v>197</v>
      </c>
      <c r="E116" s="13" t="s">
        <v>119</v>
      </c>
      <c r="F116" s="13" t="s">
        <v>121</v>
      </c>
      <c r="G116" s="13" t="s">
        <v>122</v>
      </c>
      <c r="H116" s="14">
        <v>49.43146742</v>
      </c>
      <c r="I116" s="14">
        <v>4.004877237</v>
      </c>
      <c r="J116" s="13" t="s">
        <v>1230</v>
      </c>
      <c r="K116" s="13" t="s">
        <v>1374</v>
      </c>
      <c r="L116" s="14">
        <v>6950.0</v>
      </c>
      <c r="M116" s="14">
        <v>7050.0</v>
      </c>
      <c r="N116" s="1">
        <v>6850.0</v>
      </c>
    </row>
    <row r="117">
      <c r="A117" s="16" t="s">
        <v>1376</v>
      </c>
      <c r="B117" s="16" t="s">
        <v>1377</v>
      </c>
      <c r="C117" s="13" t="s">
        <v>195</v>
      </c>
      <c r="D117" s="13" t="s">
        <v>197</v>
      </c>
      <c r="E117" s="13" t="s">
        <v>119</v>
      </c>
      <c r="F117" s="13" t="s">
        <v>121</v>
      </c>
      <c r="G117" s="13" t="s">
        <v>122</v>
      </c>
      <c r="H117" s="14">
        <v>49.482</v>
      </c>
      <c r="I117" s="14">
        <v>103.3662</v>
      </c>
      <c r="J117" s="13" t="s">
        <v>1378</v>
      </c>
      <c r="K117" s="13" t="s">
        <v>1379</v>
      </c>
      <c r="L117" s="18">
        <v>1831.0</v>
      </c>
      <c r="M117" s="14">
        <v>1922.0</v>
      </c>
      <c r="N117" s="1">
        <v>1740.0</v>
      </c>
    </row>
    <row r="118">
      <c r="A118" s="12" t="s">
        <v>1380</v>
      </c>
      <c r="B118" s="12" t="s">
        <v>1381</v>
      </c>
      <c r="C118" s="13" t="s">
        <v>113</v>
      </c>
      <c r="D118" s="13" t="s">
        <v>115</v>
      </c>
      <c r="E118" s="13" t="s">
        <v>119</v>
      </c>
      <c r="F118" s="13" t="s">
        <v>121</v>
      </c>
      <c r="G118" s="13" t="s">
        <v>122</v>
      </c>
      <c r="H118" s="4" t="s">
        <v>1384</v>
      </c>
      <c r="I118" s="4" t="s">
        <v>1385</v>
      </c>
      <c r="J118" s="4" t="s">
        <v>1104</v>
      </c>
      <c r="K118" s="4" t="s">
        <v>1386</v>
      </c>
      <c r="L118" s="18">
        <v>1481.0</v>
      </c>
      <c r="M118" s="14">
        <v>1411.0</v>
      </c>
      <c r="N118" s="1">
        <v>1551.0</v>
      </c>
    </row>
    <row r="119">
      <c r="A119" s="16" t="s">
        <v>1387</v>
      </c>
      <c r="B119" s="16" t="s">
        <v>1388</v>
      </c>
      <c r="C119" s="13" t="s">
        <v>195</v>
      </c>
      <c r="D119" s="13" t="s">
        <v>197</v>
      </c>
      <c r="E119" s="13" t="s">
        <v>1279</v>
      </c>
      <c r="F119" s="13" t="s">
        <v>121</v>
      </c>
      <c r="G119" s="13" t="s">
        <v>1280</v>
      </c>
      <c r="H119" s="14">
        <v>34.0775</v>
      </c>
      <c r="I119" s="14">
        <v>36.347778</v>
      </c>
      <c r="J119" s="13" t="s">
        <v>1391</v>
      </c>
      <c r="K119" s="13" t="s">
        <v>1393</v>
      </c>
      <c r="L119" s="18">
        <v>11476.0</v>
      </c>
      <c r="M119" s="14">
        <v>11684.0</v>
      </c>
      <c r="N119" s="1">
        <v>11268.0</v>
      </c>
    </row>
    <row r="120">
      <c r="A120" s="12" t="s">
        <v>1395</v>
      </c>
      <c r="B120" s="12" t="s">
        <v>1397</v>
      </c>
      <c r="C120" s="13" t="s">
        <v>195</v>
      </c>
      <c r="D120" s="13" t="s">
        <v>197</v>
      </c>
      <c r="E120" s="13" t="s">
        <v>1279</v>
      </c>
      <c r="F120" s="13" t="s">
        <v>121</v>
      </c>
      <c r="G120" s="13" t="s">
        <v>1280</v>
      </c>
      <c r="H120" s="14">
        <v>34.0775</v>
      </c>
      <c r="I120" s="14">
        <v>36.347778</v>
      </c>
      <c r="J120" s="13" t="s">
        <v>1391</v>
      </c>
      <c r="K120" s="13" t="s">
        <v>1393</v>
      </c>
      <c r="L120" s="14">
        <v>12000.0</v>
      </c>
      <c r="M120" s="14">
        <v>12200.0</v>
      </c>
      <c r="N120" s="1">
        <v>11800.0</v>
      </c>
    </row>
    <row r="121">
      <c r="A121" s="16" t="s">
        <v>1400</v>
      </c>
      <c r="B121" s="16" t="s">
        <v>1401</v>
      </c>
      <c r="C121" s="13" t="s">
        <v>195</v>
      </c>
      <c r="D121" s="13" t="s">
        <v>197</v>
      </c>
      <c r="E121" s="13" t="s">
        <v>1279</v>
      </c>
      <c r="F121" s="13" t="s">
        <v>121</v>
      </c>
      <c r="G121" s="13" t="s">
        <v>1280</v>
      </c>
      <c r="H121" s="14">
        <v>34.0775</v>
      </c>
      <c r="I121" s="14">
        <v>36.347778</v>
      </c>
      <c r="J121" s="13" t="s">
        <v>1391</v>
      </c>
      <c r="K121" s="13" t="s">
        <v>1393</v>
      </c>
      <c r="L121" s="14">
        <v>12000.0</v>
      </c>
      <c r="M121" s="14">
        <v>12200.0</v>
      </c>
      <c r="N121" s="1">
        <v>11800.0</v>
      </c>
    </row>
    <row r="122">
      <c r="A122" s="12" t="s">
        <v>1404</v>
      </c>
      <c r="B122" s="12" t="s">
        <v>1405</v>
      </c>
      <c r="C122" s="13" t="s">
        <v>195</v>
      </c>
      <c r="D122" s="13" t="s">
        <v>197</v>
      </c>
      <c r="E122" s="13" t="s">
        <v>119</v>
      </c>
      <c r="F122" s="13" t="s">
        <v>121</v>
      </c>
      <c r="G122" s="13" t="s">
        <v>122</v>
      </c>
      <c r="H122" s="14">
        <v>30.876119</v>
      </c>
      <c r="I122" s="14">
        <v>34.432833</v>
      </c>
      <c r="J122" s="13" t="s">
        <v>1050</v>
      </c>
      <c r="K122" s="13" t="s">
        <v>1407</v>
      </c>
      <c r="L122" s="14">
        <v>1030.0</v>
      </c>
      <c r="M122" s="14">
        <v>1230.0</v>
      </c>
      <c r="N122" s="1">
        <v>830.0</v>
      </c>
    </row>
    <row r="123">
      <c r="A123" s="16" t="s">
        <v>1411</v>
      </c>
      <c r="B123" s="16" t="s">
        <v>1412</v>
      </c>
      <c r="C123" s="13" t="s">
        <v>195</v>
      </c>
      <c r="D123" s="13" t="s">
        <v>197</v>
      </c>
      <c r="E123" s="13" t="s">
        <v>119</v>
      </c>
      <c r="F123" s="13" t="s">
        <v>121</v>
      </c>
      <c r="G123" s="13" t="s">
        <v>122</v>
      </c>
      <c r="H123" s="14">
        <v>30.876119</v>
      </c>
      <c r="I123" s="14">
        <v>34.432833</v>
      </c>
      <c r="J123" s="13" t="s">
        <v>1050</v>
      </c>
      <c r="K123" s="13" t="s">
        <v>1407</v>
      </c>
      <c r="L123" s="14">
        <v>1030.0</v>
      </c>
      <c r="M123" s="14">
        <v>1230.0</v>
      </c>
      <c r="N123" s="1">
        <v>830.0</v>
      </c>
    </row>
    <row r="124">
      <c r="A124" s="19" t="s">
        <v>1415</v>
      </c>
      <c r="B124" s="12" t="s">
        <v>1419</v>
      </c>
      <c r="C124" s="13" t="s">
        <v>1114</v>
      </c>
      <c r="D124" s="13" t="s">
        <v>1115</v>
      </c>
      <c r="E124" s="13" t="s">
        <v>119</v>
      </c>
      <c r="F124" s="13" t="s">
        <v>121</v>
      </c>
      <c r="G124" s="13" t="s">
        <v>122</v>
      </c>
      <c r="H124" s="4" t="s">
        <v>1420</v>
      </c>
      <c r="I124" s="4" t="s">
        <v>1421</v>
      </c>
      <c r="J124" s="13" t="s">
        <v>1422</v>
      </c>
      <c r="K124" s="13" t="s">
        <v>1423</v>
      </c>
      <c r="L124" s="14">
        <v>7817.0</v>
      </c>
      <c r="M124" s="14">
        <v>7933.0</v>
      </c>
      <c r="N124" s="1">
        <v>7701.0</v>
      </c>
    </row>
    <row r="125">
      <c r="A125" s="20" t="s">
        <v>1424</v>
      </c>
      <c r="B125" s="16" t="s">
        <v>1427</v>
      </c>
      <c r="C125" s="13" t="s">
        <v>1114</v>
      </c>
      <c r="D125" s="13" t="s">
        <v>1115</v>
      </c>
      <c r="E125" s="13" t="s">
        <v>119</v>
      </c>
      <c r="F125" s="13" t="s">
        <v>121</v>
      </c>
      <c r="G125" s="13" t="s">
        <v>122</v>
      </c>
      <c r="H125" s="4" t="s">
        <v>1420</v>
      </c>
      <c r="I125" s="4" t="s">
        <v>1421</v>
      </c>
      <c r="J125" s="13" t="s">
        <v>1422</v>
      </c>
      <c r="K125" s="13" t="s">
        <v>1423</v>
      </c>
      <c r="L125" s="14">
        <v>4802.0</v>
      </c>
      <c r="M125" s="14">
        <v>4953.0</v>
      </c>
      <c r="N125" s="1">
        <v>4651.0</v>
      </c>
    </row>
    <row r="126">
      <c r="A126" s="19" t="s">
        <v>1429</v>
      </c>
      <c r="B126" s="12" t="s">
        <v>1430</v>
      </c>
      <c r="C126" s="13" t="s">
        <v>1114</v>
      </c>
      <c r="D126" s="13" t="s">
        <v>1115</v>
      </c>
      <c r="E126" s="13" t="s">
        <v>119</v>
      </c>
      <c r="F126" s="13" t="s">
        <v>121</v>
      </c>
      <c r="G126" s="13" t="s">
        <v>122</v>
      </c>
      <c r="H126" s="4" t="s">
        <v>1420</v>
      </c>
      <c r="I126" s="4" t="s">
        <v>1421</v>
      </c>
      <c r="J126" s="13" t="s">
        <v>1422</v>
      </c>
      <c r="K126" s="13" t="s">
        <v>1423</v>
      </c>
      <c r="L126" s="14">
        <v>7831.0</v>
      </c>
      <c r="M126" s="14">
        <v>7941.0</v>
      </c>
      <c r="N126" s="1">
        <v>7721.0</v>
      </c>
    </row>
    <row r="127">
      <c r="A127" s="16" t="s">
        <v>1431</v>
      </c>
      <c r="B127" s="16" t="s">
        <v>1432</v>
      </c>
      <c r="C127" s="13" t="s">
        <v>195</v>
      </c>
      <c r="D127" s="13" t="s">
        <v>197</v>
      </c>
      <c r="E127" s="13" t="s">
        <v>119</v>
      </c>
      <c r="F127" s="13" t="s">
        <v>121</v>
      </c>
      <c r="G127" s="13" t="s">
        <v>122</v>
      </c>
      <c r="H127" s="14">
        <v>39.5923</v>
      </c>
      <c r="I127" s="14">
        <v>45.0678</v>
      </c>
      <c r="J127" s="13" t="s">
        <v>1356</v>
      </c>
      <c r="K127" s="13" t="s">
        <v>1435</v>
      </c>
      <c r="L127" s="14">
        <v>6075.0</v>
      </c>
      <c r="M127" s="14">
        <v>6275.0</v>
      </c>
      <c r="N127" s="1">
        <v>5875.0</v>
      </c>
    </row>
    <row r="128">
      <c r="A128" s="12" t="s">
        <v>1440</v>
      </c>
      <c r="B128" s="12" t="s">
        <v>1442</v>
      </c>
      <c r="C128" s="13" t="s">
        <v>113</v>
      </c>
      <c r="D128" s="13" t="s">
        <v>115</v>
      </c>
      <c r="E128" s="13" t="s">
        <v>119</v>
      </c>
      <c r="F128" s="13" t="s">
        <v>121</v>
      </c>
      <c r="G128" s="13" t="s">
        <v>122</v>
      </c>
      <c r="H128" s="4" t="s">
        <v>1443</v>
      </c>
      <c r="I128" s="4" t="s">
        <v>1444</v>
      </c>
      <c r="J128" s="4" t="s">
        <v>804</v>
      </c>
      <c r="K128" s="4" t="s">
        <v>1445</v>
      </c>
      <c r="L128" s="4" t="s">
        <v>1446</v>
      </c>
      <c r="M128" s="18">
        <v>349.0</v>
      </c>
      <c r="N128" s="1">
        <v>250.0</v>
      </c>
    </row>
    <row r="129">
      <c r="A129" s="16" t="s">
        <v>1447</v>
      </c>
      <c r="B129" s="16" t="s">
        <v>1448</v>
      </c>
      <c r="C129" s="13" t="s">
        <v>113</v>
      </c>
      <c r="D129" s="13" t="s">
        <v>115</v>
      </c>
      <c r="E129" s="13" t="s">
        <v>119</v>
      </c>
      <c r="F129" s="13" t="s">
        <v>121</v>
      </c>
      <c r="G129" s="13" t="s">
        <v>122</v>
      </c>
      <c r="H129" s="4" t="s">
        <v>1443</v>
      </c>
      <c r="I129" s="4" t="s">
        <v>1444</v>
      </c>
      <c r="J129" s="4" t="s">
        <v>804</v>
      </c>
      <c r="K129" s="4" t="s">
        <v>1445</v>
      </c>
      <c r="L129" s="4" t="s">
        <v>1454</v>
      </c>
      <c r="M129" s="18">
        <v>249.0</v>
      </c>
      <c r="N129" s="1">
        <v>150.0</v>
      </c>
    </row>
    <row r="130">
      <c r="A130" s="12" t="s">
        <v>1457</v>
      </c>
      <c r="B130" s="21" t="s">
        <v>1458</v>
      </c>
      <c r="C130" s="13" t="s">
        <v>195</v>
      </c>
      <c r="D130" s="13" t="s">
        <v>197</v>
      </c>
      <c r="E130" s="13" t="s">
        <v>119</v>
      </c>
      <c r="F130" s="13" t="s">
        <v>121</v>
      </c>
      <c r="G130" s="13" t="s">
        <v>122</v>
      </c>
      <c r="H130" s="14">
        <v>39.142222</v>
      </c>
      <c r="I130" s="14">
        <v>66.770833</v>
      </c>
      <c r="J130" s="13" t="s">
        <v>1461</v>
      </c>
      <c r="K130" s="13" t="s">
        <v>1463</v>
      </c>
      <c r="L130" s="14">
        <v>3000.0</v>
      </c>
      <c r="M130" s="14">
        <v>3200.0</v>
      </c>
      <c r="N130" s="1">
        <v>2800.0</v>
      </c>
    </row>
    <row r="131">
      <c r="A131" s="16" t="s">
        <v>1464</v>
      </c>
      <c r="B131" s="16" t="s">
        <v>1465</v>
      </c>
      <c r="C131" s="13" t="s">
        <v>209</v>
      </c>
      <c r="D131" s="13" t="s">
        <v>1467</v>
      </c>
      <c r="E131" s="13" t="s">
        <v>119</v>
      </c>
      <c r="F131" s="13" t="s">
        <v>121</v>
      </c>
      <c r="G131" s="13" t="s">
        <v>122</v>
      </c>
      <c r="H131" s="14">
        <v>37.4939</v>
      </c>
      <c r="I131" s="14">
        <v>33.0192</v>
      </c>
      <c r="J131" s="13" t="s">
        <v>1230</v>
      </c>
      <c r="K131" s="13" t="s">
        <v>1469</v>
      </c>
      <c r="L131" s="13" t="s">
        <v>1470</v>
      </c>
      <c r="M131" s="13" t="s">
        <v>1472</v>
      </c>
      <c r="N131" s="1" t="s">
        <v>1472</v>
      </c>
    </row>
    <row r="132">
      <c r="A132" s="12" t="s">
        <v>1473</v>
      </c>
      <c r="B132" s="12" t="s">
        <v>1474</v>
      </c>
      <c r="C132" s="13" t="s">
        <v>1240</v>
      </c>
      <c r="D132" s="13" t="s">
        <v>1310</v>
      </c>
      <c r="E132" s="13" t="s">
        <v>119</v>
      </c>
      <c r="F132" s="13" t="s">
        <v>121</v>
      </c>
      <c r="G132" s="13" t="s">
        <v>122</v>
      </c>
      <c r="H132" s="14">
        <v>44.059471</v>
      </c>
      <c r="I132" s="14">
        <v>26.119469</v>
      </c>
      <c r="J132" s="13" t="s">
        <v>1476</v>
      </c>
      <c r="K132" s="13" t="s">
        <v>1477</v>
      </c>
      <c r="L132" s="18">
        <v>6376.0</v>
      </c>
      <c r="M132" s="14">
        <v>6444.0</v>
      </c>
      <c r="N132" s="1">
        <v>6307.0</v>
      </c>
    </row>
    <row r="133">
      <c r="A133" s="16" t="s">
        <v>1481</v>
      </c>
      <c r="B133" s="16" t="s">
        <v>1482</v>
      </c>
      <c r="C133" s="13" t="s">
        <v>1240</v>
      </c>
      <c r="D133" s="13" t="s">
        <v>1310</v>
      </c>
      <c r="E133" s="13" t="s">
        <v>119</v>
      </c>
      <c r="F133" s="13" t="s">
        <v>121</v>
      </c>
      <c r="G133" s="13" t="s">
        <v>122</v>
      </c>
      <c r="H133" s="14">
        <v>44.059471</v>
      </c>
      <c r="I133" s="14">
        <v>26.119469</v>
      </c>
      <c r="J133" s="13" t="s">
        <v>1476</v>
      </c>
      <c r="K133" s="13" t="s">
        <v>1477</v>
      </c>
      <c r="L133" s="14">
        <v>6300.0</v>
      </c>
      <c r="M133" s="14">
        <v>6500.0</v>
      </c>
      <c r="N133" s="1">
        <v>6100.0</v>
      </c>
    </row>
    <row r="134">
      <c r="A134" s="12" t="s">
        <v>1487</v>
      </c>
      <c r="B134" s="21" t="s">
        <v>1488</v>
      </c>
      <c r="C134" s="13" t="s">
        <v>195</v>
      </c>
      <c r="D134" s="13" t="s">
        <v>197</v>
      </c>
      <c r="E134" s="13" t="s">
        <v>119</v>
      </c>
      <c r="F134" s="13" t="s">
        <v>121</v>
      </c>
      <c r="G134" s="13" t="s">
        <v>122</v>
      </c>
      <c r="H134" s="14">
        <v>36.6554022</v>
      </c>
      <c r="I134" s="14">
        <v>49.0400499</v>
      </c>
      <c r="J134" s="13" t="s">
        <v>1104</v>
      </c>
      <c r="K134" s="13" t="s">
        <v>1492</v>
      </c>
      <c r="L134" s="18">
        <v>4282.0</v>
      </c>
      <c r="M134" s="14">
        <v>4406.0</v>
      </c>
      <c r="N134" s="1">
        <v>4158.0</v>
      </c>
    </row>
    <row r="135">
      <c r="A135" s="16" t="s">
        <v>1493</v>
      </c>
      <c r="B135" s="22" t="s">
        <v>1494</v>
      </c>
      <c r="C135" s="13" t="s">
        <v>195</v>
      </c>
      <c r="D135" s="13" t="s">
        <v>197</v>
      </c>
      <c r="E135" s="13" t="s">
        <v>119</v>
      </c>
      <c r="F135" s="13" t="s">
        <v>121</v>
      </c>
      <c r="G135" s="13" t="s">
        <v>122</v>
      </c>
      <c r="H135" s="14">
        <v>34.5965204</v>
      </c>
      <c r="I135" s="14">
        <v>50.9218884</v>
      </c>
      <c r="J135" s="13" t="s">
        <v>1104</v>
      </c>
      <c r="K135" s="13" t="s">
        <v>1497</v>
      </c>
      <c r="L135" s="14">
        <v>3000.0</v>
      </c>
      <c r="M135" s="14">
        <v>3200.0</v>
      </c>
      <c r="N135" s="1">
        <v>2800.0</v>
      </c>
    </row>
    <row r="136">
      <c r="A136" s="12" t="s">
        <v>1499</v>
      </c>
      <c r="B136" s="21" t="s">
        <v>1500</v>
      </c>
      <c r="C136" s="13" t="s">
        <v>195</v>
      </c>
      <c r="D136" s="13" t="s">
        <v>197</v>
      </c>
      <c r="E136" s="13" t="s">
        <v>119</v>
      </c>
      <c r="F136" s="13" t="s">
        <v>121</v>
      </c>
      <c r="G136" s="13" t="s">
        <v>122</v>
      </c>
      <c r="H136" s="14">
        <v>39.127778</v>
      </c>
      <c r="I136" s="14">
        <v>66.773611</v>
      </c>
      <c r="J136" s="13" t="s">
        <v>1461</v>
      </c>
      <c r="K136" s="13" t="s">
        <v>1504</v>
      </c>
      <c r="L136" s="14">
        <v>3000.0</v>
      </c>
      <c r="M136" s="14">
        <v>3200.0</v>
      </c>
      <c r="N136" s="1">
        <v>2800.0</v>
      </c>
    </row>
    <row r="137">
      <c r="A137" s="16" t="s">
        <v>1505</v>
      </c>
      <c r="B137" s="22" t="s">
        <v>1506</v>
      </c>
      <c r="C137" s="13" t="s">
        <v>209</v>
      </c>
      <c r="D137" s="13" t="s">
        <v>1507</v>
      </c>
      <c r="E137" s="13" t="s">
        <v>119</v>
      </c>
      <c r="F137" s="13" t="s">
        <v>121</v>
      </c>
      <c r="G137" s="13" t="s">
        <v>122</v>
      </c>
      <c r="H137" s="14">
        <v>48.178889</v>
      </c>
      <c r="I137" s="14">
        <v>10.755</v>
      </c>
      <c r="J137" s="13" t="s">
        <v>201</v>
      </c>
      <c r="K137" s="13" t="s">
        <v>1510</v>
      </c>
      <c r="L137" s="18">
        <v>3296.0</v>
      </c>
      <c r="M137" s="14">
        <v>3374.0</v>
      </c>
      <c r="N137" s="1">
        <v>3218.0</v>
      </c>
    </row>
    <row r="138">
      <c r="A138" s="12" t="s">
        <v>1512</v>
      </c>
      <c r="B138" s="21" t="s">
        <v>1514</v>
      </c>
      <c r="C138" s="13" t="s">
        <v>195</v>
      </c>
      <c r="D138" s="13" t="s">
        <v>197</v>
      </c>
      <c r="E138" s="13" t="s">
        <v>119</v>
      </c>
      <c r="F138" s="13" t="s">
        <v>121</v>
      </c>
      <c r="G138" s="13" t="s">
        <v>122</v>
      </c>
      <c r="H138" s="14">
        <v>36.52729481</v>
      </c>
      <c r="I138" s="14">
        <v>54.98588562</v>
      </c>
      <c r="J138" s="13" t="s">
        <v>1104</v>
      </c>
      <c r="K138" s="13" t="s">
        <v>1516</v>
      </c>
      <c r="L138" s="14">
        <v>8085.0</v>
      </c>
      <c r="M138" s="14">
        <v>8285.0</v>
      </c>
      <c r="N138" s="1">
        <v>7885.0</v>
      </c>
    </row>
    <row r="139">
      <c r="A139" s="16" t="s">
        <v>1517</v>
      </c>
      <c r="B139" s="22" t="s">
        <v>1518</v>
      </c>
      <c r="C139" s="13" t="s">
        <v>195</v>
      </c>
      <c r="D139" s="13" t="s">
        <v>197</v>
      </c>
      <c r="E139" s="13" t="s">
        <v>119</v>
      </c>
      <c r="F139" s="13" t="s">
        <v>121</v>
      </c>
      <c r="G139" s="13" t="s">
        <v>122</v>
      </c>
      <c r="H139" s="14">
        <v>36.52729481</v>
      </c>
      <c r="I139" s="14">
        <v>54.98588562</v>
      </c>
      <c r="J139" s="13" t="s">
        <v>1104</v>
      </c>
      <c r="K139" s="13" t="s">
        <v>1516</v>
      </c>
      <c r="L139" s="14">
        <v>8085.0</v>
      </c>
      <c r="M139" s="14">
        <v>8285.0</v>
      </c>
      <c r="N139" s="1">
        <v>7885.0</v>
      </c>
    </row>
    <row r="140">
      <c r="A140" s="12" t="s">
        <v>1522</v>
      </c>
      <c r="B140" s="21" t="s">
        <v>1523</v>
      </c>
      <c r="C140" s="13" t="s">
        <v>195</v>
      </c>
      <c r="D140" s="13" t="s">
        <v>197</v>
      </c>
      <c r="E140" s="13" t="s">
        <v>119</v>
      </c>
      <c r="F140" s="13" t="s">
        <v>121</v>
      </c>
      <c r="G140" s="13" t="s">
        <v>122</v>
      </c>
      <c r="H140" s="14">
        <v>36.52729481</v>
      </c>
      <c r="I140" s="14">
        <v>54.98588562</v>
      </c>
      <c r="J140" s="13" t="s">
        <v>1104</v>
      </c>
      <c r="K140" s="13" t="s">
        <v>1516</v>
      </c>
      <c r="L140" s="18">
        <v>8015.0</v>
      </c>
      <c r="M140" s="14">
        <v>8159.0</v>
      </c>
      <c r="N140" s="1">
        <v>7871.0</v>
      </c>
    </row>
    <row r="141">
      <c r="A141" s="16" t="s">
        <v>1524</v>
      </c>
      <c r="B141" s="22" t="s">
        <v>1526</v>
      </c>
      <c r="C141" s="13" t="s">
        <v>195</v>
      </c>
      <c r="D141" s="13" t="s">
        <v>197</v>
      </c>
      <c r="E141" s="13" t="s">
        <v>119</v>
      </c>
      <c r="F141" s="13" t="s">
        <v>121</v>
      </c>
      <c r="G141" s="13" t="s">
        <v>122</v>
      </c>
      <c r="H141" s="14">
        <v>36.52729481</v>
      </c>
      <c r="I141" s="14">
        <v>54.98588562</v>
      </c>
      <c r="J141" s="13" t="s">
        <v>1104</v>
      </c>
      <c r="K141" s="13" t="s">
        <v>1516</v>
      </c>
      <c r="L141" s="14">
        <v>8085.0</v>
      </c>
      <c r="M141" s="14">
        <v>8285.0</v>
      </c>
      <c r="N141" s="1">
        <v>7885.0</v>
      </c>
    </row>
    <row r="142">
      <c r="A142" s="12" t="s">
        <v>1530</v>
      </c>
      <c r="B142" s="21" t="s">
        <v>1531</v>
      </c>
      <c r="C142" s="13" t="s">
        <v>195</v>
      </c>
      <c r="D142" s="13" t="s">
        <v>197</v>
      </c>
      <c r="E142" s="13" t="s">
        <v>119</v>
      </c>
      <c r="F142" s="13" t="s">
        <v>121</v>
      </c>
      <c r="G142" s="13" t="s">
        <v>122</v>
      </c>
      <c r="H142" s="14">
        <v>41.4</v>
      </c>
      <c r="I142" s="14">
        <v>44.8</v>
      </c>
      <c r="J142" s="13" t="s">
        <v>564</v>
      </c>
      <c r="K142" s="13" t="s">
        <v>1532</v>
      </c>
      <c r="L142" s="14">
        <v>7850.0</v>
      </c>
      <c r="M142" s="14">
        <v>8050.0</v>
      </c>
      <c r="N142" s="1">
        <v>7650.0</v>
      </c>
    </row>
    <row r="143">
      <c r="A143" s="16" t="s">
        <v>1534</v>
      </c>
      <c r="B143" s="16" t="s">
        <v>1535</v>
      </c>
      <c r="C143" s="13" t="s">
        <v>1209</v>
      </c>
      <c r="D143" s="13" t="s">
        <v>1209</v>
      </c>
      <c r="E143" s="13" t="s">
        <v>119</v>
      </c>
      <c r="F143" s="13" t="s">
        <v>121</v>
      </c>
      <c r="G143" s="13" t="s">
        <v>122</v>
      </c>
      <c r="H143" s="14">
        <v>37.35156</v>
      </c>
      <c r="I143" s="14">
        <v>31.92696</v>
      </c>
      <c r="J143" s="13" t="s">
        <v>213</v>
      </c>
      <c r="K143" s="13" t="s">
        <v>1537</v>
      </c>
      <c r="L143" s="14">
        <v>9200.0</v>
      </c>
      <c r="M143" s="14">
        <v>9450.0</v>
      </c>
      <c r="N143" s="1">
        <v>8950.0</v>
      </c>
    </row>
    <row r="144">
      <c r="A144" s="12" t="s">
        <v>1543</v>
      </c>
      <c r="B144" s="12" t="s">
        <v>1544</v>
      </c>
      <c r="C144" s="13" t="s">
        <v>195</v>
      </c>
      <c r="D144" s="13" t="s">
        <v>197</v>
      </c>
      <c r="E144" s="13" t="s">
        <v>119</v>
      </c>
      <c r="F144" s="13" t="s">
        <v>121</v>
      </c>
      <c r="G144" s="13" t="s">
        <v>122</v>
      </c>
      <c r="H144" s="14">
        <v>35.86918</v>
      </c>
      <c r="I144" s="14">
        <v>14.511933</v>
      </c>
      <c r="J144" s="13" t="s">
        <v>1549</v>
      </c>
      <c r="K144" s="13" t="s">
        <v>1550</v>
      </c>
      <c r="L144" s="14">
        <v>5000.0</v>
      </c>
      <c r="M144" s="14">
        <v>5200.0</v>
      </c>
      <c r="N144" s="1">
        <v>4800.0</v>
      </c>
    </row>
    <row r="145">
      <c r="A145" s="16" t="s">
        <v>1554</v>
      </c>
      <c r="B145" s="16" t="s">
        <v>1555</v>
      </c>
      <c r="C145" s="13" t="s">
        <v>1240</v>
      </c>
      <c r="D145" s="13" t="s">
        <v>1557</v>
      </c>
      <c r="E145" s="13" t="s">
        <v>119</v>
      </c>
      <c r="F145" s="13" t="s">
        <v>121</v>
      </c>
      <c r="G145" s="13" t="s">
        <v>122</v>
      </c>
      <c r="H145" s="14">
        <v>38.17197459</v>
      </c>
      <c r="I145" s="14">
        <v>34.49402944</v>
      </c>
      <c r="J145" s="13" t="s">
        <v>213</v>
      </c>
      <c r="K145" s="13" t="s">
        <v>1558</v>
      </c>
      <c r="L145" s="14">
        <v>7850.0</v>
      </c>
      <c r="M145" s="14">
        <v>7950.0</v>
      </c>
      <c r="N145" s="1">
        <v>7750.0</v>
      </c>
    </row>
    <row r="146">
      <c r="A146" s="12" t="s">
        <v>1561</v>
      </c>
      <c r="B146" s="12" t="s">
        <v>1563</v>
      </c>
      <c r="C146" s="13" t="s">
        <v>1240</v>
      </c>
      <c r="D146" s="13" t="s">
        <v>1557</v>
      </c>
      <c r="E146" s="13" t="s">
        <v>119</v>
      </c>
      <c r="F146" s="13" t="s">
        <v>121</v>
      </c>
      <c r="G146" s="13" t="s">
        <v>122</v>
      </c>
      <c r="H146" s="14">
        <v>38.17197459</v>
      </c>
      <c r="I146" s="14">
        <v>34.49402944</v>
      </c>
      <c r="J146" s="13" t="s">
        <v>213</v>
      </c>
      <c r="K146" s="13" t="s">
        <v>1558</v>
      </c>
      <c r="L146" s="14">
        <v>8450.0</v>
      </c>
      <c r="M146" s="14">
        <v>8550.0</v>
      </c>
      <c r="N146" s="1">
        <v>8350.0</v>
      </c>
    </row>
    <row r="147">
      <c r="A147" s="16" t="s">
        <v>1567</v>
      </c>
      <c r="B147" s="16" t="s">
        <v>1568</v>
      </c>
      <c r="C147" s="13" t="s">
        <v>209</v>
      </c>
      <c r="D147" s="13" t="s">
        <v>1467</v>
      </c>
      <c r="E147" s="13" t="s">
        <v>119</v>
      </c>
      <c r="F147" s="13" t="s">
        <v>121</v>
      </c>
      <c r="G147" s="13" t="s">
        <v>122</v>
      </c>
      <c r="H147" s="14">
        <v>38.17197459</v>
      </c>
      <c r="I147" s="14">
        <v>34.49402944</v>
      </c>
      <c r="J147" s="13" t="s">
        <v>213</v>
      </c>
      <c r="K147" s="13" t="s">
        <v>1558</v>
      </c>
      <c r="L147" s="14">
        <v>8450.0</v>
      </c>
      <c r="M147" s="14">
        <v>8550.0</v>
      </c>
      <c r="N147" s="1">
        <v>8350.0</v>
      </c>
    </row>
    <row r="148">
      <c r="A148" s="12" t="s">
        <v>1574</v>
      </c>
      <c r="B148" s="12" t="s">
        <v>1576</v>
      </c>
      <c r="C148" s="13" t="s">
        <v>209</v>
      </c>
      <c r="D148" s="13" t="s">
        <v>1467</v>
      </c>
      <c r="E148" s="13" t="s">
        <v>119</v>
      </c>
      <c r="F148" s="13" t="s">
        <v>121</v>
      </c>
      <c r="G148" s="13" t="s">
        <v>122</v>
      </c>
      <c r="H148" s="14">
        <v>38.17197459</v>
      </c>
      <c r="I148" s="14">
        <v>34.49402944</v>
      </c>
      <c r="J148" s="13" t="s">
        <v>213</v>
      </c>
      <c r="K148" s="13" t="s">
        <v>1558</v>
      </c>
      <c r="L148" s="14">
        <v>8857.5</v>
      </c>
      <c r="M148" s="14">
        <v>9009.0</v>
      </c>
      <c r="N148" s="1">
        <v>8706.0</v>
      </c>
    </row>
    <row r="149">
      <c r="A149" s="16" t="s">
        <v>1580</v>
      </c>
      <c r="B149" s="16" t="s">
        <v>1581</v>
      </c>
      <c r="C149" s="13" t="s">
        <v>209</v>
      </c>
      <c r="D149" s="13" t="s">
        <v>1467</v>
      </c>
      <c r="E149" s="13" t="s">
        <v>119</v>
      </c>
      <c r="F149" s="13" t="s">
        <v>121</v>
      </c>
      <c r="G149" s="13" t="s">
        <v>122</v>
      </c>
      <c r="H149" s="14">
        <v>38.17197459</v>
      </c>
      <c r="I149" s="14">
        <v>34.49402944</v>
      </c>
      <c r="J149" s="13" t="s">
        <v>213</v>
      </c>
      <c r="K149" s="13" t="s">
        <v>1558</v>
      </c>
      <c r="L149" s="14">
        <v>8809.0</v>
      </c>
      <c r="M149" s="14">
        <v>8981.0</v>
      </c>
      <c r="N149" s="1">
        <v>8637.0</v>
      </c>
    </row>
    <row r="150">
      <c r="A150" s="12" t="s">
        <v>1583</v>
      </c>
      <c r="B150" s="12" t="s">
        <v>1584</v>
      </c>
      <c r="C150" s="13" t="s">
        <v>209</v>
      </c>
      <c r="D150" s="13" t="s">
        <v>1467</v>
      </c>
      <c r="E150" s="13" t="s">
        <v>119</v>
      </c>
      <c r="F150" s="13" t="s">
        <v>121</v>
      </c>
      <c r="G150" s="13" t="s">
        <v>122</v>
      </c>
      <c r="H150" s="14">
        <v>38.17197459</v>
      </c>
      <c r="I150" s="14">
        <v>34.49402944</v>
      </c>
      <c r="J150" s="13" t="s">
        <v>213</v>
      </c>
      <c r="K150" s="13" t="s">
        <v>1558</v>
      </c>
      <c r="L150" s="14">
        <v>8365.0</v>
      </c>
      <c r="M150" s="14">
        <v>8419.0</v>
      </c>
      <c r="N150" s="1">
        <v>8311.0</v>
      </c>
    </row>
    <row r="151">
      <c r="A151" s="16" t="s">
        <v>1590</v>
      </c>
      <c r="B151" s="16" t="s">
        <v>1592</v>
      </c>
      <c r="C151" s="13" t="s">
        <v>209</v>
      </c>
      <c r="D151" s="13" t="s">
        <v>275</v>
      </c>
      <c r="E151" s="13" t="s">
        <v>119</v>
      </c>
      <c r="F151" s="13" t="s">
        <v>121</v>
      </c>
      <c r="G151" s="13" t="s">
        <v>122</v>
      </c>
      <c r="H151" s="14">
        <v>38.466745</v>
      </c>
      <c r="I151" s="14">
        <v>27.352116</v>
      </c>
      <c r="J151" s="13" t="s">
        <v>213</v>
      </c>
      <c r="K151" s="13" t="s">
        <v>1594</v>
      </c>
      <c r="L151" s="14">
        <v>8099.0</v>
      </c>
      <c r="M151" s="14">
        <v>8177.0</v>
      </c>
      <c r="N151" s="1">
        <v>8021.0</v>
      </c>
    </row>
    <row r="152">
      <c r="A152" s="12" t="s">
        <v>1595</v>
      </c>
      <c r="B152" s="12" t="s">
        <v>1596</v>
      </c>
      <c r="C152" s="13" t="s">
        <v>1209</v>
      </c>
      <c r="D152" s="13" t="s">
        <v>1209</v>
      </c>
      <c r="E152" s="13" t="s">
        <v>119</v>
      </c>
      <c r="F152" s="13" t="s">
        <v>121</v>
      </c>
      <c r="G152" s="13" t="s">
        <v>122</v>
      </c>
      <c r="H152" s="14">
        <v>38.466745</v>
      </c>
      <c r="I152" s="14">
        <v>27.352116</v>
      </c>
      <c r="J152" s="13" t="s">
        <v>213</v>
      </c>
      <c r="K152" s="13" t="s">
        <v>1594</v>
      </c>
      <c r="L152" s="14">
        <v>8700.0</v>
      </c>
      <c r="M152" s="14">
        <v>8950.0</v>
      </c>
      <c r="N152" s="1">
        <v>8450.0</v>
      </c>
    </row>
    <row r="153">
      <c r="A153" s="16" t="s">
        <v>1601</v>
      </c>
      <c r="B153" s="16" t="s">
        <v>1602</v>
      </c>
      <c r="C153" s="13" t="s">
        <v>209</v>
      </c>
      <c r="D153" s="13" t="s">
        <v>1467</v>
      </c>
      <c r="E153" s="13" t="s">
        <v>119</v>
      </c>
      <c r="F153" s="13" t="s">
        <v>121</v>
      </c>
      <c r="G153" s="13" t="s">
        <v>122</v>
      </c>
      <c r="H153" s="14">
        <v>38.466745</v>
      </c>
      <c r="I153" s="14">
        <v>27.352116</v>
      </c>
      <c r="J153" s="13" t="s">
        <v>213</v>
      </c>
      <c r="K153" s="13" t="s">
        <v>1594</v>
      </c>
      <c r="L153" s="14">
        <v>8700.0</v>
      </c>
      <c r="M153" s="14">
        <v>8950.0</v>
      </c>
      <c r="N153" s="1">
        <v>8450.0</v>
      </c>
    </row>
    <row r="154">
      <c r="A154" s="12" t="s">
        <v>1605</v>
      </c>
      <c r="B154" s="12" t="s">
        <v>1606</v>
      </c>
      <c r="C154" s="13" t="s">
        <v>195</v>
      </c>
      <c r="D154" s="13" t="s">
        <v>197</v>
      </c>
      <c r="E154" s="13" t="s">
        <v>119</v>
      </c>
      <c r="F154" s="13" t="s">
        <v>121</v>
      </c>
      <c r="G154" s="13" t="s">
        <v>122</v>
      </c>
      <c r="H154" s="14">
        <v>37.980705</v>
      </c>
      <c r="I154" s="14">
        <v>46.003351</v>
      </c>
      <c r="J154" s="13" t="s">
        <v>1104</v>
      </c>
      <c r="K154" s="13" t="s">
        <v>1608</v>
      </c>
      <c r="L154" s="14">
        <v>4737.0</v>
      </c>
      <c r="M154" s="14">
        <v>4937.0</v>
      </c>
      <c r="N154" s="1">
        <v>4537.0</v>
      </c>
    </row>
    <row r="155">
      <c r="A155" s="16" t="s">
        <v>1609</v>
      </c>
      <c r="B155" s="16" t="s">
        <v>1610</v>
      </c>
      <c r="C155" s="13" t="s">
        <v>195</v>
      </c>
      <c r="D155" s="13" t="s">
        <v>197</v>
      </c>
      <c r="E155" s="13" t="s">
        <v>119</v>
      </c>
      <c r="F155" s="13" t="s">
        <v>121</v>
      </c>
      <c r="G155" s="13" t="s">
        <v>122</v>
      </c>
      <c r="H155" s="14">
        <v>37.980705</v>
      </c>
      <c r="I155" s="14">
        <v>46.003351</v>
      </c>
      <c r="J155" s="13" t="s">
        <v>1104</v>
      </c>
      <c r="K155" s="13" t="s">
        <v>1608</v>
      </c>
      <c r="L155" s="14">
        <v>4737.0</v>
      </c>
      <c r="M155" s="14">
        <v>4937.0</v>
      </c>
      <c r="N155" s="1">
        <v>4537.0</v>
      </c>
    </row>
    <row r="156">
      <c r="A156" s="12" t="s">
        <v>1611</v>
      </c>
      <c r="B156" s="12" t="s">
        <v>1612</v>
      </c>
      <c r="C156" s="13" t="s">
        <v>195</v>
      </c>
      <c r="D156" s="13" t="s">
        <v>197</v>
      </c>
      <c r="E156" s="13" t="s">
        <v>119</v>
      </c>
      <c r="F156" s="13" t="s">
        <v>121</v>
      </c>
      <c r="G156" s="13" t="s">
        <v>122</v>
      </c>
      <c r="H156" s="14">
        <v>37.980705</v>
      </c>
      <c r="I156" s="14">
        <v>46.003351</v>
      </c>
      <c r="J156" s="13" t="s">
        <v>1104</v>
      </c>
      <c r="K156" s="13" t="s">
        <v>1608</v>
      </c>
      <c r="L156" s="14">
        <v>4737.0</v>
      </c>
      <c r="M156" s="14">
        <v>4937.0</v>
      </c>
      <c r="N156" s="1">
        <v>4537.0</v>
      </c>
    </row>
    <row r="157">
      <c r="A157" s="16" t="s">
        <v>1615</v>
      </c>
      <c r="B157" s="16" t="s">
        <v>1616</v>
      </c>
      <c r="C157" s="13" t="s">
        <v>195</v>
      </c>
      <c r="D157" s="13" t="s">
        <v>197</v>
      </c>
      <c r="E157" s="13" t="s">
        <v>119</v>
      </c>
      <c r="F157" s="13" t="s">
        <v>121</v>
      </c>
      <c r="G157" s="13" t="s">
        <v>122</v>
      </c>
      <c r="H157" s="14">
        <v>37.980705</v>
      </c>
      <c r="I157" s="14">
        <v>46.003351</v>
      </c>
      <c r="J157" s="13" t="s">
        <v>1104</v>
      </c>
      <c r="K157" s="13" t="s">
        <v>1608</v>
      </c>
      <c r="L157" s="18">
        <v>4737.0</v>
      </c>
      <c r="M157" s="14">
        <v>4853.0</v>
      </c>
      <c r="N157" s="1">
        <v>4621.0</v>
      </c>
    </row>
    <row r="158">
      <c r="A158" s="12" t="s">
        <v>1618</v>
      </c>
      <c r="B158" s="12" t="s">
        <v>1619</v>
      </c>
      <c r="C158" s="13" t="s">
        <v>195</v>
      </c>
      <c r="D158" s="13" t="s">
        <v>197</v>
      </c>
      <c r="E158" s="13" t="s">
        <v>119</v>
      </c>
      <c r="F158" s="13" t="s">
        <v>121</v>
      </c>
      <c r="G158" s="13" t="s">
        <v>122</v>
      </c>
      <c r="H158" s="14">
        <v>32.4626078</v>
      </c>
      <c r="I158" s="14">
        <v>50.1292303</v>
      </c>
      <c r="J158" s="13" t="s">
        <v>1104</v>
      </c>
      <c r="K158" s="13" t="s">
        <v>1620</v>
      </c>
      <c r="L158" s="14">
        <v>2500.0</v>
      </c>
      <c r="M158" s="14">
        <v>2700.0</v>
      </c>
      <c r="N158" s="1">
        <v>2300.0</v>
      </c>
    </row>
    <row r="159">
      <c r="A159" s="16" t="s">
        <v>1624</v>
      </c>
      <c r="B159" s="16" t="s">
        <v>1625</v>
      </c>
      <c r="C159" s="13" t="s">
        <v>1209</v>
      </c>
      <c r="D159" s="13" t="s">
        <v>1209</v>
      </c>
      <c r="E159" s="13" t="s">
        <v>119</v>
      </c>
      <c r="F159" s="13" t="s">
        <v>121</v>
      </c>
      <c r="G159" s="13" t="s">
        <v>122</v>
      </c>
      <c r="H159" s="14">
        <v>46.57</v>
      </c>
      <c r="I159" s="14">
        <v>45.32</v>
      </c>
      <c r="J159" s="13" t="s">
        <v>1244</v>
      </c>
      <c r="K159" s="13" t="s">
        <v>1627</v>
      </c>
      <c r="L159" s="14">
        <v>4010.0</v>
      </c>
      <c r="M159" s="14">
        <v>4075.0</v>
      </c>
      <c r="N159" s="1">
        <v>3945.0</v>
      </c>
    </row>
    <row r="160">
      <c r="A160" s="23" t="s">
        <v>1631</v>
      </c>
      <c r="B160" s="24" t="s">
        <v>1633</v>
      </c>
      <c r="C160" s="13" t="s">
        <v>195</v>
      </c>
      <c r="D160" s="13" t="s">
        <v>197</v>
      </c>
      <c r="E160" s="13" t="s">
        <v>1439</v>
      </c>
      <c r="F160" s="13" t="s">
        <v>1438</v>
      </c>
      <c r="G160" s="13" t="s">
        <v>1637</v>
      </c>
      <c r="H160" s="14">
        <v>34.066</v>
      </c>
      <c r="I160" s="14">
        <v>48.134</v>
      </c>
      <c r="J160" s="13" t="s">
        <v>1104</v>
      </c>
      <c r="K160" s="13" t="s">
        <v>1639</v>
      </c>
      <c r="L160" s="14">
        <v>9850.0</v>
      </c>
      <c r="M160" s="14">
        <v>10150.0</v>
      </c>
      <c r="N160" s="1">
        <v>9550.0</v>
      </c>
    </row>
    <row r="161">
      <c r="A161" s="23" t="s">
        <v>1641</v>
      </c>
      <c r="B161" s="24" t="s">
        <v>1642</v>
      </c>
      <c r="C161" s="13" t="s">
        <v>195</v>
      </c>
      <c r="D161" s="13" t="s">
        <v>1643</v>
      </c>
      <c r="E161" s="13" t="s">
        <v>1439</v>
      </c>
      <c r="F161" s="13" t="s">
        <v>1438</v>
      </c>
      <c r="G161" s="13" t="s">
        <v>1637</v>
      </c>
      <c r="H161" s="14">
        <v>34.066</v>
      </c>
      <c r="I161" s="14">
        <v>48.134</v>
      </c>
      <c r="J161" s="13" t="s">
        <v>1104</v>
      </c>
      <c r="K161" s="13" t="s">
        <v>1639</v>
      </c>
      <c r="L161" s="14">
        <v>9850.0</v>
      </c>
      <c r="M161" s="14">
        <v>10150.0</v>
      </c>
      <c r="N161" s="1">
        <v>9550.0</v>
      </c>
    </row>
    <row r="162">
      <c r="A162" s="23" t="s">
        <v>1646</v>
      </c>
      <c r="B162" s="24" t="s">
        <v>1647</v>
      </c>
      <c r="C162" s="13" t="s">
        <v>195</v>
      </c>
      <c r="D162" s="13" t="s">
        <v>1649</v>
      </c>
      <c r="E162" s="13" t="s">
        <v>1483</v>
      </c>
      <c r="F162" s="13" t="s">
        <v>1438</v>
      </c>
      <c r="G162" s="13" t="s">
        <v>1651</v>
      </c>
      <c r="H162" s="14">
        <v>34.066</v>
      </c>
      <c r="I162" s="14">
        <v>48.134</v>
      </c>
      <c r="J162" s="13" t="s">
        <v>1104</v>
      </c>
      <c r="K162" s="13" t="s">
        <v>1639</v>
      </c>
      <c r="L162" s="14">
        <v>10066.5</v>
      </c>
      <c r="M162" s="14">
        <v>10225.0</v>
      </c>
      <c r="N162" s="1">
        <v>9908.0</v>
      </c>
    </row>
    <row r="163">
      <c r="A163" s="23" t="s">
        <v>1652</v>
      </c>
      <c r="B163" s="24" t="s">
        <v>1654</v>
      </c>
      <c r="C163" s="13" t="s">
        <v>195</v>
      </c>
      <c r="D163" s="13" t="s">
        <v>1656</v>
      </c>
      <c r="E163" s="13" t="s">
        <v>1439</v>
      </c>
      <c r="F163" s="13" t="s">
        <v>1438</v>
      </c>
      <c r="G163" s="13" t="s">
        <v>1637</v>
      </c>
      <c r="H163" s="14">
        <v>34.066</v>
      </c>
      <c r="I163" s="14">
        <v>48.134</v>
      </c>
      <c r="J163" s="13" t="s">
        <v>1104</v>
      </c>
      <c r="K163" s="13" t="s">
        <v>1639</v>
      </c>
      <c r="L163" s="14">
        <v>9850.0</v>
      </c>
      <c r="M163" s="14">
        <v>10150.0</v>
      </c>
      <c r="N163" s="1">
        <v>9550.0</v>
      </c>
    </row>
    <row r="164">
      <c r="A164" s="23" t="s">
        <v>1659</v>
      </c>
      <c r="B164" s="24" t="s">
        <v>1660</v>
      </c>
      <c r="C164" s="13" t="s">
        <v>195</v>
      </c>
      <c r="D164" s="13" t="s">
        <v>1661</v>
      </c>
      <c r="E164" s="13" t="s">
        <v>1439</v>
      </c>
      <c r="F164" s="13" t="s">
        <v>1438</v>
      </c>
      <c r="G164" s="13" t="s">
        <v>1637</v>
      </c>
      <c r="H164" s="14">
        <v>34.066</v>
      </c>
      <c r="I164" s="14">
        <v>48.134</v>
      </c>
      <c r="J164" s="13" t="s">
        <v>1104</v>
      </c>
      <c r="K164" s="13" t="s">
        <v>1639</v>
      </c>
      <c r="L164" s="14">
        <v>9832.0</v>
      </c>
      <c r="M164" s="14">
        <v>1950.0</v>
      </c>
      <c r="N164" s="1">
        <v>1950.0</v>
      </c>
    </row>
    <row r="165">
      <c r="A165" s="23" t="s">
        <v>1666</v>
      </c>
      <c r="B165" s="24" t="s">
        <v>1667</v>
      </c>
      <c r="C165" s="13" t="s">
        <v>195</v>
      </c>
      <c r="D165" s="13" t="s">
        <v>1668</v>
      </c>
      <c r="E165" s="13" t="s">
        <v>1439</v>
      </c>
      <c r="F165" s="13" t="s">
        <v>1438</v>
      </c>
      <c r="G165" s="13" t="s">
        <v>1637</v>
      </c>
      <c r="H165" s="14">
        <v>34.066</v>
      </c>
      <c r="I165" s="14">
        <v>48.134</v>
      </c>
      <c r="J165" s="13" t="s">
        <v>1104</v>
      </c>
      <c r="K165" s="13" t="s">
        <v>1639</v>
      </c>
      <c r="L165" s="14">
        <v>9850.0</v>
      </c>
      <c r="M165" s="14">
        <v>10150.0</v>
      </c>
      <c r="N165" s="1">
        <v>9550.0</v>
      </c>
    </row>
    <row r="166">
      <c r="A166" s="23" t="s">
        <v>1669</v>
      </c>
      <c r="B166" s="24" t="s">
        <v>1670</v>
      </c>
      <c r="C166" s="13" t="s">
        <v>195</v>
      </c>
      <c r="D166" s="13" t="s">
        <v>1672</v>
      </c>
      <c r="E166" s="13" t="s">
        <v>1439</v>
      </c>
      <c r="F166" s="13" t="s">
        <v>1438</v>
      </c>
      <c r="G166" s="13" t="s">
        <v>1637</v>
      </c>
      <c r="H166" s="14">
        <v>34.066</v>
      </c>
      <c r="I166" s="14">
        <v>48.134</v>
      </c>
      <c r="J166" s="13" t="s">
        <v>1104</v>
      </c>
      <c r="K166" s="13" t="s">
        <v>1639</v>
      </c>
      <c r="L166" s="14">
        <v>9850.0</v>
      </c>
      <c r="M166" s="14">
        <v>10150.0</v>
      </c>
      <c r="N166" s="1">
        <v>9550.0</v>
      </c>
    </row>
    <row r="167">
      <c r="A167" s="23" t="s">
        <v>1674</v>
      </c>
      <c r="B167" s="24" t="s">
        <v>1676</v>
      </c>
      <c r="C167" s="13" t="s">
        <v>195</v>
      </c>
      <c r="D167" s="13" t="s">
        <v>1677</v>
      </c>
      <c r="E167" s="13" t="s">
        <v>1439</v>
      </c>
      <c r="F167" s="13" t="s">
        <v>1438</v>
      </c>
      <c r="G167" s="13" t="s">
        <v>1637</v>
      </c>
      <c r="H167" s="14">
        <v>38.540978</v>
      </c>
      <c r="I167" s="14">
        <v>33.771234</v>
      </c>
      <c r="J167" s="13" t="s">
        <v>213</v>
      </c>
      <c r="K167" s="13" t="s">
        <v>1679</v>
      </c>
      <c r="L167" s="14">
        <v>4168.5</v>
      </c>
      <c r="M167" s="14">
        <v>4348.0</v>
      </c>
      <c r="N167" s="1">
        <v>3989.0</v>
      </c>
    </row>
    <row r="168">
      <c r="A168" s="23" t="s">
        <v>1682</v>
      </c>
      <c r="B168" s="24" t="s">
        <v>1683</v>
      </c>
      <c r="C168" s="13" t="s">
        <v>195</v>
      </c>
      <c r="D168" s="13" t="s">
        <v>1684</v>
      </c>
      <c r="E168" s="13" t="s">
        <v>1439</v>
      </c>
      <c r="F168" s="13" t="s">
        <v>1438</v>
      </c>
      <c r="G168" s="13" t="s">
        <v>1637</v>
      </c>
      <c r="H168" s="14">
        <v>38.540978</v>
      </c>
      <c r="I168" s="14">
        <v>33.771234</v>
      </c>
      <c r="J168" s="13" t="s">
        <v>213</v>
      </c>
      <c r="K168" s="13" t="s">
        <v>1679</v>
      </c>
      <c r="L168" s="14">
        <v>3950.0</v>
      </c>
      <c r="M168" s="14">
        <v>4200.0</v>
      </c>
      <c r="N168" s="1">
        <v>3700.0</v>
      </c>
    </row>
    <row r="169">
      <c r="A169" s="23" t="s">
        <v>1685</v>
      </c>
      <c r="B169" s="24" t="s">
        <v>1686</v>
      </c>
      <c r="C169" s="13" t="s">
        <v>195</v>
      </c>
      <c r="D169" s="13" t="s">
        <v>1688</v>
      </c>
      <c r="E169" s="13" t="s">
        <v>1439</v>
      </c>
      <c r="F169" s="13" t="s">
        <v>1438</v>
      </c>
      <c r="G169" s="13" t="s">
        <v>1637</v>
      </c>
      <c r="H169" s="14">
        <v>31.993514</v>
      </c>
      <c r="I169" s="14">
        <v>35.98115</v>
      </c>
      <c r="J169" s="13" t="s">
        <v>1692</v>
      </c>
      <c r="K169" s="13" t="s">
        <v>1694</v>
      </c>
      <c r="L169" s="14">
        <v>9650.0</v>
      </c>
      <c r="M169" s="14">
        <v>10150.0</v>
      </c>
      <c r="N169" s="1">
        <v>9150.0</v>
      </c>
    </row>
    <row r="170">
      <c r="A170" s="23" t="s">
        <v>1695</v>
      </c>
      <c r="B170" s="24" t="s">
        <v>1696</v>
      </c>
      <c r="C170" s="13" t="s">
        <v>195</v>
      </c>
      <c r="D170" s="13" t="s">
        <v>1697</v>
      </c>
      <c r="E170" s="13" t="s">
        <v>1439</v>
      </c>
      <c r="F170" s="13" t="s">
        <v>1438</v>
      </c>
      <c r="G170" s="13" t="s">
        <v>1637</v>
      </c>
      <c r="H170" s="14">
        <v>31.993514</v>
      </c>
      <c r="I170" s="14">
        <v>35.98115</v>
      </c>
      <c r="J170" s="13" t="s">
        <v>1692</v>
      </c>
      <c r="K170" s="13" t="s">
        <v>1694</v>
      </c>
      <c r="L170" s="14">
        <v>9650.0</v>
      </c>
      <c r="M170" s="14">
        <v>10150.0</v>
      </c>
      <c r="N170" s="1">
        <v>9150.0</v>
      </c>
    </row>
    <row r="171">
      <c r="A171" s="23" t="s">
        <v>1699</v>
      </c>
      <c r="B171" s="24" t="s">
        <v>1700</v>
      </c>
      <c r="C171" s="13" t="s">
        <v>195</v>
      </c>
      <c r="D171" s="13" t="s">
        <v>1702</v>
      </c>
      <c r="E171" s="13" t="s">
        <v>1439</v>
      </c>
      <c r="F171" s="13" t="s">
        <v>1438</v>
      </c>
      <c r="G171" s="13" t="s">
        <v>1637</v>
      </c>
      <c r="H171" s="14">
        <v>31.993514</v>
      </c>
      <c r="I171" s="14">
        <v>35.98115</v>
      </c>
      <c r="J171" s="13" t="s">
        <v>1692</v>
      </c>
      <c r="K171" s="13" t="s">
        <v>1694</v>
      </c>
      <c r="L171" s="14">
        <v>9650.0</v>
      </c>
      <c r="M171" s="14">
        <v>10150.0</v>
      </c>
      <c r="N171" s="1">
        <v>9150.0</v>
      </c>
    </row>
    <row r="172">
      <c r="A172" s="23" t="s">
        <v>1705</v>
      </c>
      <c r="B172" s="24" t="s">
        <v>1706</v>
      </c>
      <c r="C172" s="13" t="s">
        <v>195</v>
      </c>
      <c r="D172" s="13" t="s">
        <v>1414</v>
      </c>
      <c r="E172" s="13" t="s">
        <v>1439</v>
      </c>
      <c r="F172" s="13" t="s">
        <v>1438</v>
      </c>
      <c r="G172" s="13" t="s">
        <v>1637</v>
      </c>
      <c r="H172" s="14">
        <v>31.993514</v>
      </c>
      <c r="I172" s="14">
        <v>35.98115</v>
      </c>
      <c r="J172" s="13" t="s">
        <v>1692</v>
      </c>
      <c r="K172" s="13" t="s">
        <v>1694</v>
      </c>
      <c r="L172" s="14">
        <v>9650.0</v>
      </c>
      <c r="M172" s="14">
        <v>10150.0</v>
      </c>
      <c r="N172" s="1">
        <v>9150.0</v>
      </c>
    </row>
    <row r="173">
      <c r="A173" s="23" t="s">
        <v>1708</v>
      </c>
      <c r="B173" s="24" t="s">
        <v>1710</v>
      </c>
      <c r="C173" s="13" t="s">
        <v>1209</v>
      </c>
      <c r="D173" s="13" t="s">
        <v>1209</v>
      </c>
      <c r="E173" s="13" t="s">
        <v>1439</v>
      </c>
      <c r="F173" s="13" t="s">
        <v>1438</v>
      </c>
      <c r="G173" s="13" t="s">
        <v>1637</v>
      </c>
      <c r="H173" s="14">
        <v>41.721667</v>
      </c>
      <c r="I173" s="14">
        <v>27.225278</v>
      </c>
      <c r="J173" s="13" t="s">
        <v>213</v>
      </c>
      <c r="K173" s="13" t="s">
        <v>1712</v>
      </c>
      <c r="L173" s="14">
        <v>7342.0</v>
      </c>
      <c r="M173" s="14">
        <v>7446.0</v>
      </c>
      <c r="N173" s="1">
        <v>7238.0</v>
      </c>
    </row>
    <row r="174">
      <c r="A174" s="23" t="s">
        <v>1713</v>
      </c>
      <c r="B174" s="24" t="s">
        <v>1714</v>
      </c>
      <c r="C174" s="13" t="s">
        <v>1209</v>
      </c>
      <c r="D174" s="13" t="s">
        <v>1209</v>
      </c>
      <c r="E174" s="13" t="s">
        <v>1439</v>
      </c>
      <c r="F174" s="13" t="s">
        <v>1438</v>
      </c>
      <c r="G174" s="13" t="s">
        <v>1637</v>
      </c>
      <c r="H174" s="14">
        <v>41.721667</v>
      </c>
      <c r="I174" s="14">
        <v>27.225278</v>
      </c>
      <c r="J174" s="13" t="s">
        <v>213</v>
      </c>
      <c r="K174" s="13" t="s">
        <v>1712</v>
      </c>
      <c r="L174" s="14">
        <v>7300.0</v>
      </c>
      <c r="M174" s="14">
        <v>6950.0</v>
      </c>
      <c r="N174" s="1">
        <v>7450.0</v>
      </c>
    </row>
    <row r="175">
      <c r="A175" s="23" t="s">
        <v>1719</v>
      </c>
      <c r="B175" s="24" t="s">
        <v>1720</v>
      </c>
      <c r="C175" s="13" t="s">
        <v>1209</v>
      </c>
      <c r="D175" s="13" t="s">
        <v>1209</v>
      </c>
      <c r="E175" s="13" t="s">
        <v>1439</v>
      </c>
      <c r="F175" s="13" t="s">
        <v>1438</v>
      </c>
      <c r="G175" s="13" t="s">
        <v>1637</v>
      </c>
      <c r="H175" s="14">
        <v>41.721667</v>
      </c>
      <c r="I175" s="14">
        <v>27.225278</v>
      </c>
      <c r="J175" s="13" t="s">
        <v>213</v>
      </c>
      <c r="K175" s="13" t="s">
        <v>1712</v>
      </c>
      <c r="L175" s="14">
        <v>7100.0</v>
      </c>
      <c r="M175" s="14">
        <v>6950.0</v>
      </c>
      <c r="N175" s="1">
        <v>7250.0</v>
      </c>
    </row>
    <row r="176">
      <c r="A176" s="23" t="s">
        <v>1722</v>
      </c>
      <c r="B176" s="24" t="s">
        <v>1723</v>
      </c>
      <c r="C176" s="13" t="s">
        <v>1209</v>
      </c>
      <c r="D176" s="13" t="s">
        <v>1209</v>
      </c>
      <c r="E176" s="13" t="s">
        <v>1439</v>
      </c>
      <c r="F176" s="13" t="s">
        <v>1438</v>
      </c>
      <c r="G176" s="13" t="s">
        <v>1637</v>
      </c>
      <c r="H176" s="14">
        <v>41.721667</v>
      </c>
      <c r="I176" s="14">
        <v>27.225278</v>
      </c>
      <c r="J176" s="13" t="s">
        <v>213</v>
      </c>
      <c r="K176" s="13" t="s">
        <v>1712</v>
      </c>
      <c r="L176" s="14">
        <v>7108.0</v>
      </c>
      <c r="M176" s="14">
        <v>7234.0</v>
      </c>
      <c r="N176" s="1">
        <v>6982.0</v>
      </c>
    </row>
    <row r="177">
      <c r="A177" s="23" t="s">
        <v>1727</v>
      </c>
      <c r="B177" s="24" t="s">
        <v>1728</v>
      </c>
      <c r="C177" s="13" t="s">
        <v>1209</v>
      </c>
      <c r="D177" s="13" t="s">
        <v>1209</v>
      </c>
      <c r="E177" s="13" t="s">
        <v>1439</v>
      </c>
      <c r="F177" s="13" t="s">
        <v>1438</v>
      </c>
      <c r="G177" s="13" t="s">
        <v>1637</v>
      </c>
      <c r="H177" s="14">
        <v>41.721667</v>
      </c>
      <c r="I177" s="14">
        <v>27.225278</v>
      </c>
      <c r="J177" s="13" t="s">
        <v>213</v>
      </c>
      <c r="K177" s="13" t="s">
        <v>1712</v>
      </c>
      <c r="L177" s="14">
        <v>7300.0</v>
      </c>
      <c r="M177" s="14">
        <v>6950.0</v>
      </c>
      <c r="N177" s="1">
        <v>7450.0</v>
      </c>
    </row>
    <row r="178">
      <c r="A178" s="23" t="s">
        <v>1731</v>
      </c>
      <c r="B178" s="24" t="s">
        <v>1732</v>
      </c>
      <c r="C178" s="13" t="s">
        <v>1209</v>
      </c>
      <c r="D178" s="13" t="s">
        <v>1209</v>
      </c>
      <c r="E178" s="13" t="s">
        <v>1439</v>
      </c>
      <c r="F178" s="13" t="s">
        <v>1438</v>
      </c>
      <c r="G178" s="13" t="s">
        <v>1637</v>
      </c>
      <c r="H178" s="14">
        <v>41.721667</v>
      </c>
      <c r="I178" s="14">
        <v>27.225278</v>
      </c>
      <c r="J178" s="13" t="s">
        <v>213</v>
      </c>
      <c r="K178" s="13" t="s">
        <v>1712</v>
      </c>
      <c r="L178" s="14">
        <v>7300.0</v>
      </c>
      <c r="M178" s="14">
        <v>6950.0</v>
      </c>
      <c r="N178" s="1">
        <v>7450.0</v>
      </c>
    </row>
    <row r="179">
      <c r="A179" s="23" t="s">
        <v>1735</v>
      </c>
      <c r="B179" s="24" t="s">
        <v>1736</v>
      </c>
      <c r="C179" s="13" t="s">
        <v>195</v>
      </c>
      <c r="D179" s="13" t="s">
        <v>1414</v>
      </c>
      <c r="E179" s="13" t="s">
        <v>1439</v>
      </c>
      <c r="F179" s="13" t="s">
        <v>1438</v>
      </c>
      <c r="G179" s="13" t="s">
        <v>1637</v>
      </c>
      <c r="H179" s="14">
        <v>37.004831</v>
      </c>
      <c r="I179" s="14">
        <v>45.458892</v>
      </c>
      <c r="J179" s="13" t="s">
        <v>1104</v>
      </c>
      <c r="K179" s="13" t="s">
        <v>1739</v>
      </c>
      <c r="L179" s="14">
        <v>2350.0</v>
      </c>
      <c r="M179" s="14">
        <v>2500.0</v>
      </c>
      <c r="N179" s="1">
        <v>2280.0</v>
      </c>
    </row>
    <row r="180">
      <c r="A180" s="23" t="s">
        <v>1742</v>
      </c>
      <c r="B180" s="24" t="s">
        <v>1743</v>
      </c>
      <c r="C180" s="13" t="s">
        <v>195</v>
      </c>
      <c r="D180" s="13" t="s">
        <v>1414</v>
      </c>
      <c r="E180" s="13" t="s">
        <v>1439</v>
      </c>
      <c r="F180" s="13" t="s">
        <v>1438</v>
      </c>
      <c r="G180" s="13" t="s">
        <v>1637</v>
      </c>
      <c r="H180" s="14">
        <v>36.317948</v>
      </c>
      <c r="I180" s="14">
        <v>48.379355</v>
      </c>
      <c r="J180" s="13" t="s">
        <v>1104</v>
      </c>
      <c r="K180" s="13" t="s">
        <v>1746</v>
      </c>
      <c r="L180" s="14">
        <v>6150.0</v>
      </c>
      <c r="M180" s="14">
        <v>6350.0</v>
      </c>
      <c r="N180" s="1">
        <v>5950.0</v>
      </c>
    </row>
    <row r="181">
      <c r="A181" s="23" t="s">
        <v>1748</v>
      </c>
      <c r="B181" s="24" t="s">
        <v>1750</v>
      </c>
      <c r="C181" s="13" t="s">
        <v>195</v>
      </c>
      <c r="D181" s="13" t="s">
        <v>1414</v>
      </c>
      <c r="E181" s="13" t="s">
        <v>1439</v>
      </c>
      <c r="F181" s="13" t="s">
        <v>1438</v>
      </c>
      <c r="G181" s="13" t="s">
        <v>1637</v>
      </c>
      <c r="H181" s="14">
        <v>43.723286</v>
      </c>
      <c r="I181" s="14">
        <v>21.099449</v>
      </c>
      <c r="J181" s="13" t="s">
        <v>295</v>
      </c>
      <c r="K181" s="13" t="s">
        <v>1753</v>
      </c>
      <c r="L181" s="14">
        <v>8190.0</v>
      </c>
      <c r="M181" s="14">
        <v>8344.0</v>
      </c>
      <c r="N181" s="1">
        <v>8036.0</v>
      </c>
    </row>
    <row r="182">
      <c r="A182" s="23" t="s">
        <v>1754</v>
      </c>
      <c r="B182" s="24" t="s">
        <v>1755</v>
      </c>
      <c r="C182" s="13" t="s">
        <v>195</v>
      </c>
      <c r="D182" s="13" t="s">
        <v>1414</v>
      </c>
      <c r="E182" s="13" t="s">
        <v>1439</v>
      </c>
      <c r="F182" s="13" t="s">
        <v>1438</v>
      </c>
      <c r="G182" s="13" t="s">
        <v>1637</v>
      </c>
      <c r="H182" s="14">
        <v>43.723286</v>
      </c>
      <c r="I182" s="14">
        <v>21.099449</v>
      </c>
      <c r="J182" s="13" t="s">
        <v>295</v>
      </c>
      <c r="K182" s="13" t="s">
        <v>1753</v>
      </c>
      <c r="L182" s="14">
        <v>8177.5</v>
      </c>
      <c r="M182" s="14">
        <v>8328.0</v>
      </c>
      <c r="N182" s="1">
        <v>8027.0</v>
      </c>
    </row>
    <row r="183">
      <c r="A183" s="23" t="s">
        <v>1757</v>
      </c>
      <c r="B183" s="24" t="s">
        <v>1758</v>
      </c>
      <c r="C183" s="13" t="s">
        <v>195</v>
      </c>
      <c r="D183" s="13" t="s">
        <v>1414</v>
      </c>
      <c r="E183" s="13" t="s">
        <v>1439</v>
      </c>
      <c r="F183" s="13" t="s">
        <v>1438</v>
      </c>
      <c r="G183" s="13" t="s">
        <v>1637</v>
      </c>
      <c r="H183" s="14">
        <v>43.723286</v>
      </c>
      <c r="I183" s="14">
        <v>21.099449</v>
      </c>
      <c r="J183" s="13" t="s">
        <v>295</v>
      </c>
      <c r="K183" s="13" t="s">
        <v>1753</v>
      </c>
      <c r="L183" s="14">
        <v>7936.0</v>
      </c>
      <c r="M183" s="14">
        <v>8031.0</v>
      </c>
      <c r="N183" s="1">
        <v>7841.0</v>
      </c>
    </row>
    <row r="184">
      <c r="A184" s="23" t="s">
        <v>1762</v>
      </c>
      <c r="B184" s="24" t="s">
        <v>1763</v>
      </c>
      <c r="C184" s="13" t="s">
        <v>195</v>
      </c>
      <c r="D184" s="13" t="s">
        <v>1414</v>
      </c>
      <c r="E184" s="13" t="s">
        <v>1439</v>
      </c>
      <c r="F184" s="13" t="s">
        <v>1438</v>
      </c>
      <c r="G184" s="13" t="s">
        <v>1637</v>
      </c>
      <c r="H184" s="14">
        <v>43.723286</v>
      </c>
      <c r="I184" s="14">
        <v>21.099449</v>
      </c>
      <c r="J184" s="13" t="s">
        <v>295</v>
      </c>
      <c r="K184" s="13" t="s">
        <v>1753</v>
      </c>
      <c r="L184" s="14">
        <v>8100.0</v>
      </c>
      <c r="M184" s="14">
        <v>8300.0</v>
      </c>
      <c r="N184" s="1">
        <v>7900.0</v>
      </c>
    </row>
    <row r="185">
      <c r="A185" s="23" t="s">
        <v>1766</v>
      </c>
      <c r="B185" s="24" t="s">
        <v>1767</v>
      </c>
      <c r="C185" s="13" t="s">
        <v>195</v>
      </c>
      <c r="D185" s="13" t="s">
        <v>1414</v>
      </c>
      <c r="E185" s="13" t="s">
        <v>1439</v>
      </c>
      <c r="F185" s="13" t="s">
        <v>1438</v>
      </c>
      <c r="G185" s="13" t="s">
        <v>1637</v>
      </c>
      <c r="H185" s="14">
        <v>37.7</v>
      </c>
      <c r="I185" s="14">
        <v>66.8</v>
      </c>
      <c r="J185" s="13" t="s">
        <v>1461</v>
      </c>
      <c r="K185" s="13" t="s">
        <v>1770</v>
      </c>
      <c r="L185" s="14">
        <v>3800.0</v>
      </c>
      <c r="M185" s="14">
        <v>3950.0</v>
      </c>
      <c r="N185" s="1">
        <v>3650.0</v>
      </c>
    </row>
    <row r="186">
      <c r="A186" s="23" t="s">
        <v>1772</v>
      </c>
      <c r="B186" s="24" t="s">
        <v>1773</v>
      </c>
      <c r="C186" s="13" t="s">
        <v>195</v>
      </c>
      <c r="D186" s="13" t="s">
        <v>1414</v>
      </c>
      <c r="E186" s="13" t="s">
        <v>1439</v>
      </c>
      <c r="F186" s="13" t="s">
        <v>1438</v>
      </c>
      <c r="G186" s="13" t="s">
        <v>1637</v>
      </c>
      <c r="H186" s="14">
        <v>37.7</v>
      </c>
      <c r="I186" s="14">
        <v>66.8</v>
      </c>
      <c r="J186" s="13" t="s">
        <v>1461</v>
      </c>
      <c r="K186" s="13" t="s">
        <v>1770</v>
      </c>
      <c r="L186" s="14">
        <v>3800.0</v>
      </c>
      <c r="M186" s="14">
        <v>3950.0</v>
      </c>
      <c r="N186" s="1">
        <v>3650.0</v>
      </c>
    </row>
    <row r="187">
      <c r="A187" s="23" t="s">
        <v>1776</v>
      </c>
      <c r="B187" s="24" t="s">
        <v>1778</v>
      </c>
      <c r="C187" s="13" t="s">
        <v>195</v>
      </c>
      <c r="D187" s="13" t="s">
        <v>1414</v>
      </c>
      <c r="E187" s="13" t="s">
        <v>1439</v>
      </c>
      <c r="F187" s="13" t="s">
        <v>1438</v>
      </c>
      <c r="G187" s="13" t="s">
        <v>1637</v>
      </c>
      <c r="H187" s="14">
        <v>37.7</v>
      </c>
      <c r="I187" s="14">
        <v>66.8</v>
      </c>
      <c r="J187" s="13" t="s">
        <v>1461</v>
      </c>
      <c r="K187" s="13" t="s">
        <v>1770</v>
      </c>
      <c r="L187" s="14">
        <v>3800.0</v>
      </c>
      <c r="M187" s="14">
        <v>3950.0</v>
      </c>
      <c r="N187" s="1">
        <v>3650.0</v>
      </c>
    </row>
    <row r="188">
      <c r="A188" s="23" t="s">
        <v>1781</v>
      </c>
      <c r="B188" s="24" t="s">
        <v>1782</v>
      </c>
      <c r="C188" s="13" t="s">
        <v>195</v>
      </c>
      <c r="D188" s="13" t="s">
        <v>1414</v>
      </c>
      <c r="E188" s="13" t="s">
        <v>1439</v>
      </c>
      <c r="F188" s="13" t="s">
        <v>1438</v>
      </c>
      <c r="G188" s="13" t="s">
        <v>1637</v>
      </c>
      <c r="H188" s="14">
        <v>37.7</v>
      </c>
      <c r="I188" s="14">
        <v>66.8</v>
      </c>
      <c r="J188" s="13" t="s">
        <v>1461</v>
      </c>
      <c r="K188" s="13" t="s">
        <v>1770</v>
      </c>
      <c r="L188" s="14">
        <v>3800.0</v>
      </c>
      <c r="M188" s="14">
        <v>3950.0</v>
      </c>
      <c r="N188" s="1">
        <v>3650.0</v>
      </c>
    </row>
    <row r="189">
      <c r="A189" s="23" t="s">
        <v>1799</v>
      </c>
      <c r="B189" s="24" t="s">
        <v>1800</v>
      </c>
      <c r="C189" s="13" t="s">
        <v>195</v>
      </c>
      <c r="D189" s="13" t="s">
        <v>1414</v>
      </c>
      <c r="E189" s="13" t="s">
        <v>1439</v>
      </c>
      <c r="F189" s="13" t="s">
        <v>1438</v>
      </c>
      <c r="G189" s="13" t="s">
        <v>1637</v>
      </c>
      <c r="H189" s="14">
        <v>37.7</v>
      </c>
      <c r="I189" s="14">
        <v>66.8</v>
      </c>
      <c r="J189" s="13" t="s">
        <v>1461</v>
      </c>
      <c r="K189" s="13" t="s">
        <v>1770</v>
      </c>
      <c r="L189" s="14">
        <v>3800.0</v>
      </c>
      <c r="M189" s="14">
        <v>3950.0</v>
      </c>
      <c r="N189" s="1">
        <v>3650.0</v>
      </c>
    </row>
    <row r="190">
      <c r="A190" s="23" t="s">
        <v>1803</v>
      </c>
      <c r="B190" s="24" t="s">
        <v>1804</v>
      </c>
      <c r="C190" s="13" t="s">
        <v>209</v>
      </c>
      <c r="D190" s="13" t="s">
        <v>1805</v>
      </c>
      <c r="E190" s="13" t="s">
        <v>1806</v>
      </c>
      <c r="F190" s="13" t="s">
        <v>1438</v>
      </c>
      <c r="G190" s="13" t="s">
        <v>1808</v>
      </c>
      <c r="H190" s="14">
        <v>42.746109</v>
      </c>
      <c r="I190" s="14">
        <v>44.623487</v>
      </c>
      <c r="J190" s="13" t="s">
        <v>564</v>
      </c>
      <c r="K190" s="13" t="s">
        <v>1809</v>
      </c>
      <c r="L190" s="14">
        <v>300.0</v>
      </c>
      <c r="M190" s="14">
        <v>550.0</v>
      </c>
      <c r="N190" s="1">
        <v>50.0</v>
      </c>
    </row>
    <row r="191">
      <c r="A191" s="23" t="s">
        <v>1811</v>
      </c>
      <c r="B191" s="24" t="s">
        <v>1812</v>
      </c>
      <c r="C191" s="13" t="s">
        <v>209</v>
      </c>
      <c r="D191" s="13" t="s">
        <v>1507</v>
      </c>
      <c r="E191" s="13" t="s">
        <v>1806</v>
      </c>
      <c r="F191" s="13" t="s">
        <v>1438</v>
      </c>
      <c r="G191" s="13" t="s">
        <v>1808</v>
      </c>
      <c r="H191" s="14">
        <v>42.746109</v>
      </c>
      <c r="I191" s="14">
        <v>44.623487</v>
      </c>
      <c r="J191" s="13" t="s">
        <v>564</v>
      </c>
      <c r="K191" s="13" t="s">
        <v>1809</v>
      </c>
      <c r="L191" s="14">
        <v>300.0</v>
      </c>
      <c r="M191" s="14">
        <v>550.0</v>
      </c>
      <c r="N191" s="1">
        <v>50.0</v>
      </c>
    </row>
    <row r="192">
      <c r="A192" s="23" t="s">
        <v>1814</v>
      </c>
      <c r="B192" s="24" t="s">
        <v>1815</v>
      </c>
      <c r="C192" s="13" t="s">
        <v>1240</v>
      </c>
      <c r="D192" s="13" t="s">
        <v>1310</v>
      </c>
      <c r="E192" s="13" t="s">
        <v>1806</v>
      </c>
      <c r="F192" s="13" t="s">
        <v>1438</v>
      </c>
      <c r="G192" s="13" t="s">
        <v>1808</v>
      </c>
      <c r="H192" s="25">
        <v>42.75</v>
      </c>
      <c r="I192" s="25">
        <v>44.62</v>
      </c>
      <c r="J192" s="13" t="s">
        <v>564</v>
      </c>
      <c r="K192" s="13" t="s">
        <v>1809</v>
      </c>
      <c r="L192" s="14">
        <v>300.0</v>
      </c>
      <c r="M192" s="14">
        <v>550.0</v>
      </c>
      <c r="N192" s="1">
        <v>50.0</v>
      </c>
    </row>
    <row r="193">
      <c r="A193" s="23" t="s">
        <v>1818</v>
      </c>
      <c r="B193" s="24" t="s">
        <v>1819</v>
      </c>
      <c r="C193" s="13" t="s">
        <v>1209</v>
      </c>
      <c r="D193" s="13" t="s">
        <v>1209</v>
      </c>
      <c r="E193" s="13" t="s">
        <v>1439</v>
      </c>
      <c r="F193" s="13" t="s">
        <v>1438</v>
      </c>
      <c r="G193" s="13" t="s">
        <v>1637</v>
      </c>
      <c r="H193" s="14">
        <v>42.6602</v>
      </c>
      <c r="I193" s="14">
        <v>24.0558</v>
      </c>
      <c r="J193" s="13" t="s">
        <v>479</v>
      </c>
      <c r="K193" s="13" t="s">
        <v>1822</v>
      </c>
      <c r="L193" s="14">
        <v>7700.0</v>
      </c>
      <c r="M193" s="14">
        <v>7950.0</v>
      </c>
      <c r="N193" s="1">
        <v>7450.0</v>
      </c>
    </row>
    <row r="194">
      <c r="A194" s="23" t="s">
        <v>1452</v>
      </c>
      <c r="B194" s="24" t="s">
        <v>1824</v>
      </c>
      <c r="C194" s="13" t="s">
        <v>195</v>
      </c>
      <c r="D194" s="13" t="s">
        <v>1414</v>
      </c>
      <c r="E194" s="13" t="s">
        <v>1439</v>
      </c>
      <c r="F194" s="13" t="s">
        <v>1438</v>
      </c>
      <c r="G194" s="13" t="s">
        <v>1637</v>
      </c>
      <c r="H194" s="14">
        <v>37.10355</v>
      </c>
      <c r="I194" s="14">
        <v>56.885281</v>
      </c>
      <c r="J194" s="13" t="s">
        <v>1104</v>
      </c>
      <c r="K194" s="13" t="s">
        <v>1459</v>
      </c>
      <c r="L194" s="14">
        <v>4100.0</v>
      </c>
      <c r="M194" s="14">
        <v>4250.0</v>
      </c>
      <c r="N194" s="1">
        <v>3950.0</v>
      </c>
    </row>
    <row r="195">
      <c r="A195" s="23" t="s">
        <v>1826</v>
      </c>
      <c r="B195" s="24" t="s">
        <v>1828</v>
      </c>
      <c r="C195" s="13" t="s">
        <v>195</v>
      </c>
      <c r="D195" s="13" t="s">
        <v>1830</v>
      </c>
      <c r="E195" s="13" t="s">
        <v>1439</v>
      </c>
      <c r="F195" s="13" t="s">
        <v>1438</v>
      </c>
      <c r="G195" s="13" t="s">
        <v>1637</v>
      </c>
      <c r="H195" s="14">
        <v>30.2033</v>
      </c>
      <c r="I195" s="14">
        <v>53.179</v>
      </c>
      <c r="J195" s="13" t="s">
        <v>1104</v>
      </c>
      <c r="K195" s="13" t="s">
        <v>1831</v>
      </c>
      <c r="L195" s="14">
        <v>6450.0</v>
      </c>
      <c r="M195" s="14">
        <v>5950.0</v>
      </c>
      <c r="N195" s="1">
        <v>6950.0</v>
      </c>
    </row>
    <row r="196">
      <c r="A196" s="23" t="s">
        <v>1833</v>
      </c>
      <c r="B196" s="24" t="s">
        <v>1834</v>
      </c>
      <c r="C196" s="13" t="s">
        <v>195</v>
      </c>
      <c r="D196" s="13" t="s">
        <v>1484</v>
      </c>
      <c r="E196" s="13" t="s">
        <v>1439</v>
      </c>
      <c r="F196" s="13" t="s">
        <v>1438</v>
      </c>
      <c r="G196" s="13" t="s">
        <v>1637</v>
      </c>
      <c r="H196" s="14">
        <v>30.2033</v>
      </c>
      <c r="I196" s="14">
        <v>53.179</v>
      </c>
      <c r="J196" s="13" t="s">
        <v>1104</v>
      </c>
      <c r="K196" s="13" t="s">
        <v>1831</v>
      </c>
      <c r="L196" s="14">
        <v>393.0</v>
      </c>
      <c r="M196" s="14">
        <v>475.0</v>
      </c>
      <c r="N196" s="1">
        <v>311.0</v>
      </c>
    </row>
    <row r="197">
      <c r="A197" s="23" t="s">
        <v>1837</v>
      </c>
      <c r="B197" s="24" t="s">
        <v>1838</v>
      </c>
      <c r="C197" s="13" t="s">
        <v>195</v>
      </c>
      <c r="D197" s="13" t="s">
        <v>1484</v>
      </c>
      <c r="E197" s="13" t="s">
        <v>1483</v>
      </c>
      <c r="F197" s="13" t="s">
        <v>1438</v>
      </c>
      <c r="G197" s="13" t="s">
        <v>1651</v>
      </c>
      <c r="H197" s="14">
        <v>37.8578</v>
      </c>
      <c r="I197" s="14">
        <v>36.653883</v>
      </c>
      <c r="J197" s="13" t="s">
        <v>213</v>
      </c>
      <c r="K197" s="13" t="s">
        <v>1490</v>
      </c>
      <c r="L197" s="14">
        <v>13243.5</v>
      </c>
      <c r="M197" s="14">
        <v>13317.0</v>
      </c>
      <c r="N197" s="1">
        <v>13170.0</v>
      </c>
    </row>
    <row r="198">
      <c r="A198" s="23" t="s">
        <v>1480</v>
      </c>
      <c r="B198" s="24" t="s">
        <v>1841</v>
      </c>
      <c r="C198" s="13" t="s">
        <v>195</v>
      </c>
      <c r="D198" s="13" t="s">
        <v>1484</v>
      </c>
      <c r="E198" s="13" t="s">
        <v>1483</v>
      </c>
      <c r="F198" s="13" t="s">
        <v>1438</v>
      </c>
      <c r="G198" s="13" t="s">
        <v>1651</v>
      </c>
      <c r="H198" s="14">
        <v>37.8578</v>
      </c>
      <c r="I198" s="14">
        <v>36.653883</v>
      </c>
      <c r="J198" s="13" t="s">
        <v>213</v>
      </c>
      <c r="K198" s="13" t="s">
        <v>1490</v>
      </c>
      <c r="L198" s="14">
        <v>13243.5</v>
      </c>
      <c r="M198" s="14">
        <v>13317.0</v>
      </c>
      <c r="N198" s="1">
        <v>13170.0</v>
      </c>
    </row>
    <row r="199">
      <c r="A199" s="23" t="s">
        <v>1844</v>
      </c>
      <c r="B199" s="24" t="s">
        <v>1845</v>
      </c>
      <c r="C199" s="13" t="s">
        <v>195</v>
      </c>
      <c r="D199" s="13" t="s">
        <v>1484</v>
      </c>
      <c r="E199" s="13" t="s">
        <v>1848</v>
      </c>
      <c r="F199" s="13" t="s">
        <v>1438</v>
      </c>
      <c r="G199" s="13" t="s">
        <v>1849</v>
      </c>
      <c r="H199" s="14">
        <v>37.8578</v>
      </c>
      <c r="I199" s="14">
        <v>36.653883</v>
      </c>
      <c r="J199" s="13" t="s">
        <v>213</v>
      </c>
      <c r="K199" s="13" t="s">
        <v>1490</v>
      </c>
      <c r="L199" s="14">
        <v>13964.0</v>
      </c>
      <c r="M199" s="14">
        <v>14114.0</v>
      </c>
      <c r="N199" s="1">
        <v>13814.0</v>
      </c>
    </row>
    <row r="200">
      <c r="A200" s="23" t="s">
        <v>1853</v>
      </c>
      <c r="B200" s="24" t="s">
        <v>1854</v>
      </c>
      <c r="C200" s="13" t="s">
        <v>195</v>
      </c>
      <c r="D200" s="13" t="s">
        <v>1484</v>
      </c>
      <c r="E200" s="13" t="s">
        <v>1483</v>
      </c>
      <c r="F200" s="13" t="s">
        <v>1438</v>
      </c>
      <c r="G200" s="13" t="s">
        <v>1651</v>
      </c>
      <c r="H200" s="14">
        <v>37.8578</v>
      </c>
      <c r="I200" s="14">
        <v>36.653883</v>
      </c>
      <c r="J200" s="13" t="s">
        <v>213</v>
      </c>
      <c r="K200" s="13" t="s">
        <v>1490</v>
      </c>
      <c r="L200" s="14">
        <v>11450.0</v>
      </c>
      <c r="M200" s="14">
        <v>11950.0</v>
      </c>
      <c r="N200" s="1">
        <v>10950.0</v>
      </c>
    </row>
    <row r="201">
      <c r="A201" s="23" t="s">
        <v>1858</v>
      </c>
      <c r="B201" s="24" t="s">
        <v>1859</v>
      </c>
      <c r="C201" s="13" t="s">
        <v>195</v>
      </c>
      <c r="D201" s="13" t="s">
        <v>1484</v>
      </c>
      <c r="E201" s="13" t="s">
        <v>1483</v>
      </c>
      <c r="F201" s="13" t="s">
        <v>1438</v>
      </c>
      <c r="G201" s="13" t="s">
        <v>1651</v>
      </c>
      <c r="H201" s="14">
        <v>37.8578</v>
      </c>
      <c r="I201" s="14">
        <v>36.653883</v>
      </c>
      <c r="J201" s="13" t="s">
        <v>213</v>
      </c>
      <c r="K201" s="13" t="s">
        <v>1490</v>
      </c>
      <c r="L201" s="14">
        <v>11450.0</v>
      </c>
      <c r="M201" s="14">
        <v>11950.0</v>
      </c>
      <c r="N201" s="1">
        <v>10950.0</v>
      </c>
    </row>
    <row r="202">
      <c r="A202" s="23" t="s">
        <v>1862</v>
      </c>
      <c r="B202" s="24" t="s">
        <v>1863</v>
      </c>
      <c r="C202" s="13" t="s">
        <v>1240</v>
      </c>
      <c r="D202" s="13" t="s">
        <v>1310</v>
      </c>
      <c r="E202" s="13" t="s">
        <v>1483</v>
      </c>
      <c r="F202" s="13" t="s">
        <v>1438</v>
      </c>
      <c r="G202" s="13" t="s">
        <v>1651</v>
      </c>
      <c r="H202" s="14">
        <v>37.8578</v>
      </c>
      <c r="I202" s="14">
        <v>36.653883</v>
      </c>
      <c r="J202" s="13" t="s">
        <v>213</v>
      </c>
      <c r="K202" s="13" t="s">
        <v>1490</v>
      </c>
      <c r="L202" s="14">
        <v>11450.0</v>
      </c>
      <c r="M202" s="14">
        <v>11950.0</v>
      </c>
      <c r="N202" s="1">
        <v>10950.0</v>
      </c>
    </row>
    <row r="203">
      <c r="A203" s="23" t="s">
        <v>1866</v>
      </c>
      <c r="B203" s="24" t="s">
        <v>1867</v>
      </c>
      <c r="C203" s="13" t="s">
        <v>1240</v>
      </c>
      <c r="D203" s="13" t="s">
        <v>1310</v>
      </c>
      <c r="E203" s="13" t="s">
        <v>1483</v>
      </c>
      <c r="F203" s="13" t="s">
        <v>1438</v>
      </c>
      <c r="G203" s="13" t="s">
        <v>1651</v>
      </c>
      <c r="H203" s="14">
        <v>37.8578</v>
      </c>
      <c r="I203" s="14">
        <v>36.653883</v>
      </c>
      <c r="J203" s="13" t="s">
        <v>213</v>
      </c>
      <c r="K203" s="13" t="s">
        <v>1490</v>
      </c>
      <c r="L203" s="14">
        <v>11450.0</v>
      </c>
      <c r="M203" s="14">
        <v>11950.0</v>
      </c>
      <c r="N203" s="1">
        <v>10950.0</v>
      </c>
    </row>
    <row r="204">
      <c r="A204" s="23" t="s">
        <v>1869</v>
      </c>
      <c r="B204" s="24" t="s">
        <v>1870</v>
      </c>
      <c r="C204" s="13" t="s">
        <v>1240</v>
      </c>
      <c r="D204" s="13" t="s">
        <v>1871</v>
      </c>
      <c r="E204" s="13" t="s">
        <v>1483</v>
      </c>
      <c r="F204" s="13" t="s">
        <v>1438</v>
      </c>
      <c r="G204" s="13" t="s">
        <v>1651</v>
      </c>
      <c r="H204" s="14">
        <v>37.8578</v>
      </c>
      <c r="I204" s="14">
        <v>36.653883</v>
      </c>
      <c r="J204" s="13" t="s">
        <v>213</v>
      </c>
      <c r="K204" s="13" t="s">
        <v>1490</v>
      </c>
      <c r="L204" s="14">
        <v>11450.0</v>
      </c>
      <c r="M204" s="14">
        <v>11950.0</v>
      </c>
      <c r="N204" s="1">
        <v>10950.0</v>
      </c>
    </row>
    <row r="205">
      <c r="A205" s="23" t="s">
        <v>1872</v>
      </c>
      <c r="B205" s="24" t="s">
        <v>1873</v>
      </c>
      <c r="C205" s="13" t="s">
        <v>1240</v>
      </c>
      <c r="D205" s="13" t="s">
        <v>1874</v>
      </c>
      <c r="E205" s="13" t="s">
        <v>1483</v>
      </c>
      <c r="F205" s="13" t="s">
        <v>1438</v>
      </c>
      <c r="G205" s="13" t="s">
        <v>1651</v>
      </c>
      <c r="H205" s="14">
        <v>37.8578</v>
      </c>
      <c r="I205" s="14">
        <v>36.653883</v>
      </c>
      <c r="J205" s="13" t="s">
        <v>213</v>
      </c>
      <c r="K205" s="13" t="s">
        <v>1490</v>
      </c>
      <c r="L205" s="14">
        <v>11450.0</v>
      </c>
      <c r="M205" s="14">
        <v>11950.0</v>
      </c>
      <c r="N205" s="1">
        <v>10950.0</v>
      </c>
    </row>
    <row r="206">
      <c r="A206" s="23" t="s">
        <v>1876</v>
      </c>
      <c r="B206" s="24" t="s">
        <v>1877</v>
      </c>
      <c r="C206" s="13" t="s">
        <v>1240</v>
      </c>
      <c r="D206" s="13" t="s">
        <v>1878</v>
      </c>
      <c r="E206" s="13" t="s">
        <v>1483</v>
      </c>
      <c r="F206" s="13" t="s">
        <v>1438</v>
      </c>
      <c r="G206" s="13" t="s">
        <v>1651</v>
      </c>
      <c r="H206" s="14">
        <v>37.8578</v>
      </c>
      <c r="I206" s="14">
        <v>36.653883</v>
      </c>
      <c r="J206" s="13" t="s">
        <v>213</v>
      </c>
      <c r="K206" s="13" t="s">
        <v>1490</v>
      </c>
      <c r="L206" s="14">
        <v>11450.0</v>
      </c>
      <c r="M206" s="14">
        <v>11950.0</v>
      </c>
      <c r="N206" s="1">
        <v>10950.0</v>
      </c>
    </row>
    <row r="207">
      <c r="A207" s="23" t="s">
        <v>1882</v>
      </c>
      <c r="B207" s="24" t="s">
        <v>1883</v>
      </c>
      <c r="C207" s="13" t="s">
        <v>1240</v>
      </c>
      <c r="D207" s="13" t="s">
        <v>1885</v>
      </c>
      <c r="E207" s="13" t="s">
        <v>1848</v>
      </c>
      <c r="F207" s="13" t="s">
        <v>1438</v>
      </c>
      <c r="G207" s="13" t="s">
        <v>1849</v>
      </c>
      <c r="H207" s="14">
        <v>37.8578</v>
      </c>
      <c r="I207" s="14">
        <v>36.653883</v>
      </c>
      <c r="J207" s="13" t="s">
        <v>213</v>
      </c>
      <c r="K207" s="13" t="s">
        <v>1490</v>
      </c>
      <c r="L207" s="14">
        <v>11450.0</v>
      </c>
      <c r="M207" s="14">
        <v>11950.0</v>
      </c>
      <c r="N207" s="1">
        <v>10950.0</v>
      </c>
    </row>
    <row r="208">
      <c r="A208" s="23" t="s">
        <v>1887</v>
      </c>
      <c r="B208" s="24" t="s">
        <v>1888</v>
      </c>
      <c r="C208" s="13" t="s">
        <v>1240</v>
      </c>
      <c r="D208" s="13" t="s">
        <v>1889</v>
      </c>
      <c r="E208" s="13" t="s">
        <v>1848</v>
      </c>
      <c r="F208" s="13" t="s">
        <v>1438</v>
      </c>
      <c r="G208" s="13" t="s">
        <v>1849</v>
      </c>
      <c r="H208" s="14">
        <v>37.8578</v>
      </c>
      <c r="I208" s="14">
        <v>36.653883</v>
      </c>
      <c r="J208" s="13" t="s">
        <v>213</v>
      </c>
      <c r="K208" s="13" t="s">
        <v>1490</v>
      </c>
      <c r="L208" s="14">
        <v>11450.0</v>
      </c>
      <c r="M208" s="14">
        <v>11950.0</v>
      </c>
      <c r="N208" s="1">
        <v>10950.0</v>
      </c>
    </row>
    <row r="209">
      <c r="A209" s="23" t="s">
        <v>1892</v>
      </c>
      <c r="B209" s="24" t="s">
        <v>1893</v>
      </c>
      <c r="C209" s="13" t="s">
        <v>1209</v>
      </c>
      <c r="D209" s="13" t="s">
        <v>1209</v>
      </c>
      <c r="E209" s="13" t="s">
        <v>1439</v>
      </c>
      <c r="F209" s="13" t="s">
        <v>1438</v>
      </c>
      <c r="G209" s="13" t="s">
        <v>1637</v>
      </c>
      <c r="H209" s="14">
        <v>42.481</v>
      </c>
      <c r="I209" s="14">
        <v>26.499</v>
      </c>
      <c r="J209" s="13" t="s">
        <v>479</v>
      </c>
      <c r="K209" s="13" t="s">
        <v>1894</v>
      </c>
      <c r="L209" s="14">
        <v>6420.0</v>
      </c>
      <c r="M209" s="14">
        <v>6537.0</v>
      </c>
      <c r="N209" s="1">
        <v>6303.0</v>
      </c>
    </row>
    <row r="210">
      <c r="A210" s="23" t="s">
        <v>1511</v>
      </c>
      <c r="B210" s="24" t="s">
        <v>1895</v>
      </c>
      <c r="C210" s="13" t="s">
        <v>1114</v>
      </c>
      <c r="D210" s="13" t="s">
        <v>1115</v>
      </c>
      <c r="E210" s="13" t="s">
        <v>1513</v>
      </c>
      <c r="F210" s="13" t="s">
        <v>1438</v>
      </c>
      <c r="G210" s="13" t="s">
        <v>1849</v>
      </c>
      <c r="H210" s="14">
        <v>48.504</v>
      </c>
      <c r="I210" s="14">
        <v>2.2136</v>
      </c>
      <c r="J210" s="13" t="s">
        <v>1209</v>
      </c>
      <c r="K210" s="13" t="s">
        <v>1519</v>
      </c>
      <c r="L210" s="14">
        <v>-38.0</v>
      </c>
      <c r="M210" s="14">
        <v>-37.5</v>
      </c>
      <c r="N210" s="1">
        <v>-38.5</v>
      </c>
    </row>
    <row r="211">
      <c r="A211" s="23" t="s">
        <v>1896</v>
      </c>
      <c r="B211" s="24" t="s">
        <v>1897</v>
      </c>
      <c r="C211" s="13" t="s">
        <v>195</v>
      </c>
      <c r="D211" s="13" t="s">
        <v>1484</v>
      </c>
      <c r="E211" s="13" t="s">
        <v>1439</v>
      </c>
      <c r="F211" s="13" t="s">
        <v>1438</v>
      </c>
      <c r="G211" s="13" t="s">
        <v>1637</v>
      </c>
      <c r="H211" s="14">
        <v>30.112083</v>
      </c>
      <c r="I211" s="14">
        <v>53.057747</v>
      </c>
      <c r="J211" s="13" t="s">
        <v>1104</v>
      </c>
      <c r="K211" s="13" t="s">
        <v>1899</v>
      </c>
      <c r="L211" s="14">
        <v>6550.0</v>
      </c>
      <c r="M211" s="14">
        <v>7050.0</v>
      </c>
      <c r="N211" s="1">
        <v>6050.0</v>
      </c>
    </row>
    <row r="212">
      <c r="A212" s="23" t="s">
        <v>1901</v>
      </c>
      <c r="B212" s="24" t="s">
        <v>1902</v>
      </c>
      <c r="C212" s="13" t="s">
        <v>195</v>
      </c>
      <c r="D212" s="13" t="s">
        <v>1484</v>
      </c>
      <c r="E212" s="13" t="s">
        <v>1439</v>
      </c>
      <c r="F212" s="13" t="s">
        <v>1438</v>
      </c>
      <c r="G212" s="13" t="s">
        <v>1637</v>
      </c>
      <c r="H212" s="14">
        <v>30.112083</v>
      </c>
      <c r="I212" s="14">
        <v>53.057747</v>
      </c>
      <c r="J212" s="13" t="s">
        <v>1104</v>
      </c>
      <c r="K212" s="13" t="s">
        <v>1899</v>
      </c>
      <c r="L212" s="14">
        <v>8824.0</v>
      </c>
      <c r="M212" s="14">
        <v>8996.0</v>
      </c>
      <c r="N212" s="1">
        <v>8652.0</v>
      </c>
    </row>
    <row r="213">
      <c r="A213" s="23" t="s">
        <v>1905</v>
      </c>
      <c r="B213" s="24" t="s">
        <v>1906</v>
      </c>
      <c r="C213" s="13" t="s">
        <v>195</v>
      </c>
      <c r="D213" s="13" t="s">
        <v>1484</v>
      </c>
      <c r="E213" s="13" t="s">
        <v>1439</v>
      </c>
      <c r="F213" s="13" t="s">
        <v>1438</v>
      </c>
      <c r="G213" s="13" t="s">
        <v>1637</v>
      </c>
      <c r="H213" s="14">
        <v>29.882819</v>
      </c>
      <c r="I213" s="14">
        <v>52.809877</v>
      </c>
      <c r="J213" s="13" t="s">
        <v>1104</v>
      </c>
      <c r="K213" s="13" t="s">
        <v>1907</v>
      </c>
      <c r="L213" s="14">
        <v>7284.0</v>
      </c>
      <c r="M213" s="14">
        <v>7409.0</v>
      </c>
      <c r="N213" s="1">
        <v>7159.0</v>
      </c>
    </row>
    <row r="214">
      <c r="A214" s="23" t="s">
        <v>1909</v>
      </c>
      <c r="B214" s="24" t="s">
        <v>1911</v>
      </c>
      <c r="C214" s="13" t="s">
        <v>195</v>
      </c>
      <c r="D214" s="13" t="s">
        <v>1484</v>
      </c>
      <c r="E214" s="13" t="s">
        <v>1439</v>
      </c>
      <c r="F214" s="13" t="s">
        <v>1438</v>
      </c>
      <c r="G214" s="13" t="s">
        <v>1637</v>
      </c>
      <c r="H214" s="14">
        <v>34.27218</v>
      </c>
      <c r="I214" s="14">
        <v>47.476423</v>
      </c>
      <c r="J214" s="13" t="s">
        <v>1104</v>
      </c>
      <c r="K214" s="13" t="s">
        <v>1573</v>
      </c>
      <c r="L214" s="14">
        <v>9850.0</v>
      </c>
      <c r="M214" s="14">
        <v>10150.0</v>
      </c>
      <c r="N214" s="1">
        <v>9550.0</v>
      </c>
    </row>
    <row r="215">
      <c r="A215" s="23" t="s">
        <v>1914</v>
      </c>
      <c r="B215" s="24" t="s">
        <v>1915</v>
      </c>
      <c r="C215" s="13" t="s">
        <v>195</v>
      </c>
      <c r="D215" s="13" t="s">
        <v>1916</v>
      </c>
      <c r="E215" s="13" t="s">
        <v>1439</v>
      </c>
      <c r="F215" s="13" t="s">
        <v>1438</v>
      </c>
      <c r="G215" s="13" t="s">
        <v>1637</v>
      </c>
      <c r="H215" s="14">
        <v>34.27218</v>
      </c>
      <c r="I215" s="14">
        <v>47.476423</v>
      </c>
      <c r="J215" s="13" t="s">
        <v>1104</v>
      </c>
      <c r="K215" s="13" t="s">
        <v>1573</v>
      </c>
      <c r="L215" s="14">
        <v>9850.0</v>
      </c>
      <c r="M215" s="14">
        <v>10150.0</v>
      </c>
      <c r="N215" s="1">
        <v>9550.0</v>
      </c>
    </row>
    <row r="216">
      <c r="A216" s="23" t="s">
        <v>1918</v>
      </c>
      <c r="B216" s="24" t="s">
        <v>1919</v>
      </c>
      <c r="C216" s="13" t="s">
        <v>195</v>
      </c>
      <c r="D216" s="13" t="s">
        <v>1921</v>
      </c>
      <c r="E216" s="13" t="s">
        <v>1439</v>
      </c>
      <c r="F216" s="13" t="s">
        <v>1438</v>
      </c>
      <c r="G216" s="13" t="s">
        <v>1637</v>
      </c>
      <c r="H216" s="14">
        <v>34.27218</v>
      </c>
      <c r="I216" s="14">
        <v>47.476423</v>
      </c>
      <c r="J216" s="13" t="s">
        <v>1104</v>
      </c>
      <c r="K216" s="13" t="s">
        <v>1573</v>
      </c>
      <c r="L216" s="14">
        <v>9716.0</v>
      </c>
      <c r="M216" s="14">
        <v>9890.0</v>
      </c>
      <c r="N216" s="1">
        <v>9542.0</v>
      </c>
    </row>
    <row r="217">
      <c r="A217" s="23" t="s">
        <v>1923</v>
      </c>
      <c r="B217" s="24" t="s">
        <v>1924</v>
      </c>
      <c r="C217" s="13" t="s">
        <v>195</v>
      </c>
      <c r="D217" s="13" t="s">
        <v>1925</v>
      </c>
      <c r="E217" s="13" t="s">
        <v>1439</v>
      </c>
      <c r="F217" s="13" t="s">
        <v>1438</v>
      </c>
      <c r="G217" s="13" t="s">
        <v>1637</v>
      </c>
      <c r="H217" s="14">
        <v>34.27218</v>
      </c>
      <c r="I217" s="14">
        <v>47.476423</v>
      </c>
      <c r="J217" s="13" t="s">
        <v>1104</v>
      </c>
      <c r="K217" s="13" t="s">
        <v>1573</v>
      </c>
      <c r="L217" s="14">
        <v>9850.0</v>
      </c>
      <c r="M217" s="14">
        <v>10150.0</v>
      </c>
      <c r="N217" s="1">
        <v>9550.0</v>
      </c>
    </row>
    <row r="218">
      <c r="A218" s="23" t="s">
        <v>1927</v>
      </c>
      <c r="B218" s="24" t="s">
        <v>1929</v>
      </c>
      <c r="C218" s="13" t="s">
        <v>195</v>
      </c>
      <c r="D218" s="13" t="s">
        <v>1930</v>
      </c>
      <c r="E218" s="13" t="s">
        <v>1439</v>
      </c>
      <c r="F218" s="13" t="s">
        <v>1438</v>
      </c>
      <c r="G218" s="13" t="s">
        <v>1637</v>
      </c>
      <c r="H218" s="14">
        <v>34.27218</v>
      </c>
      <c r="I218" s="14">
        <v>47.476423</v>
      </c>
      <c r="J218" s="13" t="s">
        <v>1104</v>
      </c>
      <c r="K218" s="13" t="s">
        <v>1573</v>
      </c>
      <c r="L218" s="14">
        <v>9850.0</v>
      </c>
      <c r="M218" s="14">
        <v>10150.0</v>
      </c>
      <c r="N218" s="1">
        <v>9550.0</v>
      </c>
    </row>
    <row r="219">
      <c r="A219" s="23" t="s">
        <v>1931</v>
      </c>
      <c r="B219" s="24" t="s">
        <v>1932</v>
      </c>
      <c r="C219" s="13" t="s">
        <v>195</v>
      </c>
      <c r="D219" s="13" t="s">
        <v>1933</v>
      </c>
      <c r="E219" s="13" t="s">
        <v>1439</v>
      </c>
      <c r="F219" s="13" t="s">
        <v>1438</v>
      </c>
      <c r="G219" s="13" t="s">
        <v>1637</v>
      </c>
      <c r="H219" s="14">
        <v>34.27218</v>
      </c>
      <c r="I219" s="14">
        <v>47.476423</v>
      </c>
      <c r="J219" s="13" t="s">
        <v>1104</v>
      </c>
      <c r="K219" s="13" t="s">
        <v>1573</v>
      </c>
      <c r="L219" s="14">
        <v>9850.0</v>
      </c>
      <c r="M219" s="14">
        <v>10150.0</v>
      </c>
      <c r="N219" s="1">
        <v>9550.0</v>
      </c>
    </row>
    <row r="220">
      <c r="A220" s="23" t="s">
        <v>1935</v>
      </c>
      <c r="B220" s="24" t="s">
        <v>1937</v>
      </c>
      <c r="C220" s="13" t="s">
        <v>195</v>
      </c>
      <c r="D220" s="13" t="s">
        <v>1938</v>
      </c>
      <c r="E220" s="13" t="s">
        <v>1439</v>
      </c>
      <c r="F220" s="13" t="s">
        <v>1438</v>
      </c>
      <c r="G220" s="13" t="s">
        <v>1637</v>
      </c>
      <c r="H220" s="14">
        <v>34.27218</v>
      </c>
      <c r="I220" s="14">
        <v>47.476423</v>
      </c>
      <c r="J220" s="13" t="s">
        <v>1104</v>
      </c>
      <c r="K220" s="13" t="s">
        <v>1573</v>
      </c>
      <c r="L220" s="14">
        <v>9850.0</v>
      </c>
      <c r="M220" s="14">
        <v>10150.0</v>
      </c>
      <c r="N220" s="1">
        <v>9550.0</v>
      </c>
    </row>
    <row r="221">
      <c r="A221" s="23" t="s">
        <v>1940</v>
      </c>
      <c r="B221" s="24" t="s">
        <v>1941</v>
      </c>
      <c r="C221" s="13" t="s">
        <v>195</v>
      </c>
      <c r="D221" s="13" t="s">
        <v>1942</v>
      </c>
      <c r="E221" s="13" t="s">
        <v>1439</v>
      </c>
      <c r="F221" s="13" t="s">
        <v>1438</v>
      </c>
      <c r="G221" s="13" t="s">
        <v>1637</v>
      </c>
      <c r="H221" s="14">
        <v>34.27218</v>
      </c>
      <c r="I221" s="14">
        <v>47.476423</v>
      </c>
      <c r="J221" s="13" t="s">
        <v>1104</v>
      </c>
      <c r="K221" s="13" t="s">
        <v>1573</v>
      </c>
      <c r="L221" s="14">
        <v>9850.0</v>
      </c>
      <c r="M221" s="14">
        <v>10150.0</v>
      </c>
      <c r="N221" s="1">
        <v>9550.0</v>
      </c>
    </row>
    <row r="222">
      <c r="A222" s="23" t="s">
        <v>1944</v>
      </c>
      <c r="B222" s="24" t="s">
        <v>1946</v>
      </c>
      <c r="C222" s="13" t="s">
        <v>195</v>
      </c>
      <c r="D222" s="13" t="s">
        <v>1947</v>
      </c>
      <c r="E222" s="13" t="s">
        <v>1439</v>
      </c>
      <c r="F222" s="13" t="s">
        <v>1438</v>
      </c>
      <c r="G222" s="13" t="s">
        <v>1637</v>
      </c>
      <c r="H222" s="14">
        <v>34.27218</v>
      </c>
      <c r="I222" s="14">
        <v>47.476423</v>
      </c>
      <c r="J222" s="13" t="s">
        <v>1104</v>
      </c>
      <c r="K222" s="13" t="s">
        <v>1573</v>
      </c>
      <c r="L222" s="14">
        <v>9850.0</v>
      </c>
      <c r="M222" s="14">
        <v>10150.0</v>
      </c>
      <c r="N222" s="1">
        <v>9550.0</v>
      </c>
    </row>
    <row r="223">
      <c r="A223" s="23" t="s">
        <v>1949</v>
      </c>
      <c r="B223" s="24" t="s">
        <v>1950</v>
      </c>
      <c r="C223" s="13" t="s">
        <v>195</v>
      </c>
      <c r="D223" s="13" t="s">
        <v>1904</v>
      </c>
      <c r="E223" s="13" t="s">
        <v>1439</v>
      </c>
      <c r="F223" s="13" t="s">
        <v>1438</v>
      </c>
      <c r="G223" s="13" t="s">
        <v>1637</v>
      </c>
      <c r="H223" s="14">
        <v>34.27218</v>
      </c>
      <c r="I223" s="14">
        <v>47.476423</v>
      </c>
      <c r="J223" s="13" t="s">
        <v>1104</v>
      </c>
      <c r="K223" s="13" t="s">
        <v>1573</v>
      </c>
      <c r="L223" s="14">
        <v>9850.0</v>
      </c>
      <c r="M223" s="14">
        <v>10150.0</v>
      </c>
      <c r="N223" s="1">
        <v>9550.0</v>
      </c>
    </row>
    <row r="224">
      <c r="A224" s="23" t="s">
        <v>1954</v>
      </c>
      <c r="B224" s="24" t="s">
        <v>1956</v>
      </c>
      <c r="C224" s="13" t="s">
        <v>195</v>
      </c>
      <c r="D224" s="13" t="s">
        <v>1958</v>
      </c>
      <c r="E224" s="13" t="s">
        <v>1439</v>
      </c>
      <c r="F224" s="13" t="s">
        <v>1438</v>
      </c>
      <c r="G224" s="13" t="s">
        <v>1637</v>
      </c>
      <c r="H224" s="14">
        <v>34.27218</v>
      </c>
      <c r="I224" s="14">
        <v>47.476423</v>
      </c>
      <c r="J224" s="13" t="s">
        <v>1104</v>
      </c>
      <c r="K224" s="13" t="s">
        <v>1573</v>
      </c>
      <c r="L224" s="14">
        <v>9850.0</v>
      </c>
      <c r="M224" s="14">
        <v>10150.0</v>
      </c>
      <c r="N224" s="1">
        <v>9550.0</v>
      </c>
    </row>
    <row r="225">
      <c r="A225" s="23" t="s">
        <v>1959</v>
      </c>
      <c r="B225" s="24" t="s">
        <v>1960</v>
      </c>
      <c r="C225" s="13" t="s">
        <v>195</v>
      </c>
      <c r="D225" s="13" t="s">
        <v>1962</v>
      </c>
      <c r="E225" s="13" t="s">
        <v>1439</v>
      </c>
      <c r="F225" s="13" t="s">
        <v>1438</v>
      </c>
      <c r="G225" s="13" t="s">
        <v>1637</v>
      </c>
      <c r="H225" s="14">
        <v>34.27218</v>
      </c>
      <c r="I225" s="14">
        <v>47.476423</v>
      </c>
      <c r="J225" s="13" t="s">
        <v>1104</v>
      </c>
      <c r="K225" s="13" t="s">
        <v>1573</v>
      </c>
      <c r="L225" s="14">
        <v>9850.0</v>
      </c>
      <c r="M225" s="14">
        <v>10150.0</v>
      </c>
      <c r="N225" s="1">
        <v>9550.0</v>
      </c>
    </row>
    <row r="226">
      <c r="A226" s="23" t="s">
        <v>1965</v>
      </c>
      <c r="B226" s="24" t="s">
        <v>1966</v>
      </c>
      <c r="C226" s="13" t="s">
        <v>195</v>
      </c>
      <c r="D226" s="13" t="s">
        <v>1968</v>
      </c>
      <c r="E226" s="13" t="s">
        <v>1439</v>
      </c>
      <c r="F226" s="13" t="s">
        <v>1438</v>
      </c>
      <c r="G226" s="13" t="s">
        <v>1637</v>
      </c>
      <c r="H226" s="14">
        <v>34.27218</v>
      </c>
      <c r="I226" s="14">
        <v>47.476423</v>
      </c>
      <c r="J226" s="13" t="s">
        <v>1104</v>
      </c>
      <c r="K226" s="13" t="s">
        <v>1573</v>
      </c>
      <c r="L226" s="14">
        <v>9931.5</v>
      </c>
      <c r="M226" s="14">
        <v>10155.0</v>
      </c>
      <c r="N226" s="1">
        <v>9708.0</v>
      </c>
    </row>
    <row r="227">
      <c r="A227" s="23" t="s">
        <v>1970</v>
      </c>
      <c r="B227" s="24" t="s">
        <v>1972</v>
      </c>
      <c r="C227" s="13" t="s">
        <v>195</v>
      </c>
      <c r="D227" s="13" t="s">
        <v>1973</v>
      </c>
      <c r="E227" s="13" t="s">
        <v>1439</v>
      </c>
      <c r="F227" s="13" t="s">
        <v>1438</v>
      </c>
      <c r="G227" s="13" t="s">
        <v>1637</v>
      </c>
      <c r="H227" s="14">
        <v>34.27218</v>
      </c>
      <c r="I227" s="14">
        <v>47.476423</v>
      </c>
      <c r="J227" s="13" t="s">
        <v>1104</v>
      </c>
      <c r="K227" s="13" t="s">
        <v>1573</v>
      </c>
      <c r="L227" s="14">
        <v>9850.0</v>
      </c>
      <c r="M227" s="14">
        <v>10150.0</v>
      </c>
      <c r="N227" s="1">
        <v>9550.0</v>
      </c>
    </row>
    <row r="228">
      <c r="A228" s="23" t="s">
        <v>1974</v>
      </c>
      <c r="B228" s="24" t="s">
        <v>1975</v>
      </c>
      <c r="C228" s="13" t="s">
        <v>195</v>
      </c>
      <c r="D228" s="13" t="s">
        <v>1976</v>
      </c>
      <c r="E228" s="13" t="s">
        <v>1439</v>
      </c>
      <c r="F228" s="13" t="s">
        <v>1438</v>
      </c>
      <c r="G228" s="13" t="s">
        <v>1637</v>
      </c>
      <c r="H228" s="14">
        <v>34.27218</v>
      </c>
      <c r="I228" s="14">
        <v>47.476423</v>
      </c>
      <c r="J228" s="13" t="s">
        <v>1104</v>
      </c>
      <c r="K228" s="13" t="s">
        <v>1573</v>
      </c>
      <c r="L228" s="14">
        <v>9850.0</v>
      </c>
      <c r="M228" s="14">
        <v>10150.0</v>
      </c>
      <c r="N228" s="1">
        <v>9550.0</v>
      </c>
    </row>
    <row r="229">
      <c r="A229" s="23" t="s">
        <v>1981</v>
      </c>
      <c r="B229" s="24" t="s">
        <v>1982</v>
      </c>
      <c r="C229" s="13" t="s">
        <v>195</v>
      </c>
      <c r="D229" s="13" t="s">
        <v>1983</v>
      </c>
      <c r="E229" s="13" t="s">
        <v>1439</v>
      </c>
      <c r="F229" s="13" t="s">
        <v>1438</v>
      </c>
      <c r="G229" s="13" t="s">
        <v>1637</v>
      </c>
      <c r="H229" s="14">
        <v>34.27218</v>
      </c>
      <c r="I229" s="14">
        <v>47.476423</v>
      </c>
      <c r="J229" s="13" t="s">
        <v>1104</v>
      </c>
      <c r="K229" s="13" t="s">
        <v>1573</v>
      </c>
      <c r="L229" s="14">
        <v>9850.0</v>
      </c>
      <c r="M229" s="14">
        <v>10150.0</v>
      </c>
      <c r="N229" s="1">
        <v>9550.0</v>
      </c>
    </row>
    <row r="230">
      <c r="A230" s="23" t="s">
        <v>1986</v>
      </c>
      <c r="B230" s="24" t="s">
        <v>1987</v>
      </c>
      <c r="C230" s="13" t="s">
        <v>195</v>
      </c>
      <c r="D230" s="13" t="s">
        <v>1989</v>
      </c>
      <c r="E230" s="13" t="s">
        <v>1439</v>
      </c>
      <c r="F230" s="13" t="s">
        <v>1438</v>
      </c>
      <c r="G230" s="13" t="s">
        <v>1637</v>
      </c>
      <c r="H230" s="14">
        <v>34.27218</v>
      </c>
      <c r="I230" s="14">
        <v>47.476423</v>
      </c>
      <c r="J230" s="13" t="s">
        <v>1104</v>
      </c>
      <c r="K230" s="13" t="s">
        <v>1573</v>
      </c>
      <c r="L230" s="14">
        <v>9850.0</v>
      </c>
      <c r="M230" s="14">
        <v>10150.0</v>
      </c>
      <c r="N230" s="1">
        <v>9550.0</v>
      </c>
    </row>
    <row r="231">
      <c r="A231" s="23" t="s">
        <v>1991</v>
      </c>
      <c r="B231" s="24" t="s">
        <v>1992</v>
      </c>
      <c r="C231" s="13" t="s">
        <v>195</v>
      </c>
      <c r="D231" s="13" t="s">
        <v>1993</v>
      </c>
      <c r="E231" s="13" t="s">
        <v>1439</v>
      </c>
      <c r="F231" s="13" t="s">
        <v>1438</v>
      </c>
      <c r="G231" s="13" t="s">
        <v>1637</v>
      </c>
      <c r="H231" s="14">
        <v>34.27218</v>
      </c>
      <c r="I231" s="14">
        <v>47.476423</v>
      </c>
      <c r="J231" s="13" t="s">
        <v>1104</v>
      </c>
      <c r="K231" s="13" t="s">
        <v>1573</v>
      </c>
      <c r="L231" s="14">
        <v>9850.0</v>
      </c>
      <c r="M231" s="14">
        <v>10150.0</v>
      </c>
      <c r="N231" s="1">
        <v>9550.0</v>
      </c>
    </row>
    <row r="232">
      <c r="A232" s="23" t="s">
        <v>1565</v>
      </c>
      <c r="B232" s="24" t="s">
        <v>1996</v>
      </c>
      <c r="C232" s="13" t="s">
        <v>195</v>
      </c>
      <c r="D232" s="13" t="s">
        <v>1566</v>
      </c>
      <c r="E232" s="13" t="s">
        <v>1439</v>
      </c>
      <c r="F232" s="13" t="s">
        <v>1438</v>
      </c>
      <c r="G232" s="13" t="s">
        <v>1637</v>
      </c>
      <c r="H232" s="14">
        <v>34.27218</v>
      </c>
      <c r="I232" s="14">
        <v>47.476423</v>
      </c>
      <c r="J232" s="13" t="s">
        <v>1104</v>
      </c>
      <c r="K232" s="13" t="s">
        <v>1573</v>
      </c>
      <c r="L232" s="14">
        <v>9850.0</v>
      </c>
      <c r="M232" s="14">
        <v>10150.0</v>
      </c>
      <c r="N232" s="1">
        <v>9550.0</v>
      </c>
    </row>
    <row r="233">
      <c r="A233" s="23" t="s">
        <v>1575</v>
      </c>
      <c r="B233" s="24" t="s">
        <v>1999</v>
      </c>
      <c r="C233" s="13" t="s">
        <v>195</v>
      </c>
      <c r="D233" s="13" t="s">
        <v>1577</v>
      </c>
      <c r="E233" s="13" t="s">
        <v>1439</v>
      </c>
      <c r="F233" s="13" t="s">
        <v>1438</v>
      </c>
      <c r="G233" s="13" t="s">
        <v>1637</v>
      </c>
      <c r="H233" s="14">
        <v>34.27218</v>
      </c>
      <c r="I233" s="14">
        <v>47.476423</v>
      </c>
      <c r="J233" s="13" t="s">
        <v>1104</v>
      </c>
      <c r="K233" s="13" t="s">
        <v>1573</v>
      </c>
      <c r="L233" s="14">
        <v>9850.0</v>
      </c>
      <c r="M233" s="14">
        <v>10150.0</v>
      </c>
      <c r="N233" s="1">
        <v>9550.0</v>
      </c>
    </row>
    <row r="234">
      <c r="A234" s="23" t="s">
        <v>1585</v>
      </c>
      <c r="B234" s="24" t="s">
        <v>2001</v>
      </c>
      <c r="C234" s="13" t="s">
        <v>195</v>
      </c>
      <c r="D234" s="13" t="s">
        <v>1588</v>
      </c>
      <c r="E234" s="13" t="s">
        <v>1439</v>
      </c>
      <c r="F234" s="13" t="s">
        <v>1438</v>
      </c>
      <c r="G234" s="13" t="s">
        <v>1637</v>
      </c>
      <c r="H234" s="14">
        <v>34.27218</v>
      </c>
      <c r="I234" s="14">
        <v>47.476423</v>
      </c>
      <c r="J234" s="13" t="s">
        <v>1104</v>
      </c>
      <c r="K234" s="13" t="s">
        <v>1573</v>
      </c>
      <c r="L234" s="14">
        <v>9850.0</v>
      </c>
      <c r="M234" s="14">
        <v>10150.0</v>
      </c>
      <c r="N234" s="1">
        <v>9550.0</v>
      </c>
    </row>
    <row r="235">
      <c r="A235" s="23" t="s">
        <v>2004</v>
      </c>
      <c r="B235" s="24" t="s">
        <v>2005</v>
      </c>
      <c r="C235" s="13" t="s">
        <v>195</v>
      </c>
      <c r="D235" s="13" t="s">
        <v>2006</v>
      </c>
      <c r="E235" s="13" t="s">
        <v>1439</v>
      </c>
      <c r="F235" s="13" t="s">
        <v>1438</v>
      </c>
      <c r="G235" s="13" t="s">
        <v>1637</v>
      </c>
      <c r="H235" s="14">
        <v>34.27218</v>
      </c>
      <c r="I235" s="14">
        <v>47.476423</v>
      </c>
      <c r="J235" s="13" t="s">
        <v>1104</v>
      </c>
      <c r="K235" s="13" t="s">
        <v>1573</v>
      </c>
      <c r="L235" s="14">
        <v>9850.0</v>
      </c>
      <c r="M235" s="14">
        <v>10150.0</v>
      </c>
      <c r="N235" s="1">
        <v>9550.0</v>
      </c>
    </row>
    <row r="236">
      <c r="A236" s="23" t="s">
        <v>2009</v>
      </c>
      <c r="B236" s="24" t="s">
        <v>2011</v>
      </c>
      <c r="C236" s="13" t="s">
        <v>195</v>
      </c>
      <c r="D236" s="13" t="s">
        <v>2012</v>
      </c>
      <c r="E236" s="13" t="s">
        <v>1439</v>
      </c>
      <c r="F236" s="13" t="s">
        <v>1438</v>
      </c>
      <c r="G236" s="13" t="s">
        <v>1637</v>
      </c>
      <c r="H236" s="14">
        <v>34.27218</v>
      </c>
      <c r="I236" s="14">
        <v>47.476423</v>
      </c>
      <c r="J236" s="13" t="s">
        <v>1104</v>
      </c>
      <c r="K236" s="13" t="s">
        <v>1573</v>
      </c>
      <c r="L236" s="14">
        <v>9850.0</v>
      </c>
      <c r="M236" s="14">
        <v>10150.0</v>
      </c>
      <c r="N236" s="1">
        <v>9550.0</v>
      </c>
    </row>
    <row r="237">
      <c r="A237" s="23" t="s">
        <v>2014</v>
      </c>
      <c r="B237" s="24" t="s">
        <v>2015</v>
      </c>
      <c r="C237" s="13" t="s">
        <v>195</v>
      </c>
      <c r="D237" s="13" t="s">
        <v>2017</v>
      </c>
      <c r="E237" s="13" t="s">
        <v>1439</v>
      </c>
      <c r="F237" s="13" t="s">
        <v>1438</v>
      </c>
      <c r="G237" s="13" t="s">
        <v>1637</v>
      </c>
      <c r="H237" s="14">
        <v>34.27218</v>
      </c>
      <c r="I237" s="14">
        <v>47.476423</v>
      </c>
      <c r="J237" s="13" t="s">
        <v>1104</v>
      </c>
      <c r="K237" s="13" t="s">
        <v>1573</v>
      </c>
      <c r="L237" s="14">
        <v>9850.0</v>
      </c>
      <c r="M237" s="14">
        <v>10150.0</v>
      </c>
      <c r="N237" s="1">
        <v>9550.0</v>
      </c>
    </row>
    <row r="238">
      <c r="A238" s="23" t="s">
        <v>2021</v>
      </c>
      <c r="B238" s="24" t="s">
        <v>2022</v>
      </c>
      <c r="C238" s="13" t="s">
        <v>195</v>
      </c>
      <c r="D238" s="13" t="s">
        <v>2023</v>
      </c>
      <c r="E238" s="13" t="s">
        <v>1483</v>
      </c>
      <c r="F238" s="13" t="s">
        <v>1438</v>
      </c>
      <c r="G238" s="13" t="s">
        <v>1651</v>
      </c>
      <c r="H238" s="14">
        <v>34.27218</v>
      </c>
      <c r="I238" s="14">
        <v>47.476423</v>
      </c>
      <c r="J238" s="13" t="s">
        <v>1104</v>
      </c>
      <c r="K238" s="13" t="s">
        <v>1573</v>
      </c>
      <c r="L238" s="14">
        <v>9882.0</v>
      </c>
      <c r="M238" s="14">
        <v>10154.0</v>
      </c>
      <c r="N238" s="1">
        <v>9550.0</v>
      </c>
    </row>
    <row r="239">
      <c r="A239" s="23" t="s">
        <v>2026</v>
      </c>
      <c r="B239" s="24" t="s">
        <v>2027</v>
      </c>
      <c r="C239" s="13" t="s">
        <v>195</v>
      </c>
      <c r="D239" s="13" t="s">
        <v>1484</v>
      </c>
      <c r="E239" s="13" t="s">
        <v>1439</v>
      </c>
      <c r="F239" s="13" t="s">
        <v>1438</v>
      </c>
      <c r="G239" s="13" t="s">
        <v>1637</v>
      </c>
      <c r="H239" s="14">
        <v>42.746109</v>
      </c>
      <c r="I239" s="14">
        <v>44.623487</v>
      </c>
      <c r="J239" s="13" t="s">
        <v>564</v>
      </c>
      <c r="K239" s="13" t="s">
        <v>1809</v>
      </c>
      <c r="L239" s="25">
        <v>400.0</v>
      </c>
      <c r="M239" s="14">
        <v>600.0</v>
      </c>
      <c r="N239" s="1">
        <v>200.0</v>
      </c>
    </row>
    <row r="240">
      <c r="A240" s="23" t="s">
        <v>2029</v>
      </c>
      <c r="B240" s="24" t="s">
        <v>2030</v>
      </c>
      <c r="C240" s="13" t="s">
        <v>195</v>
      </c>
      <c r="D240" s="13" t="s">
        <v>1484</v>
      </c>
      <c r="E240" s="13" t="s">
        <v>1439</v>
      </c>
      <c r="F240" s="13" t="s">
        <v>1438</v>
      </c>
      <c r="G240" s="13" t="s">
        <v>1637</v>
      </c>
      <c r="H240" s="14">
        <v>31.8048</v>
      </c>
      <c r="I240" s="14">
        <v>35.1124</v>
      </c>
      <c r="J240" s="13" t="s">
        <v>1050</v>
      </c>
      <c r="K240" s="13" t="s">
        <v>2035</v>
      </c>
      <c r="L240" s="14">
        <v>9850.0</v>
      </c>
      <c r="M240" s="14">
        <v>10250.0</v>
      </c>
      <c r="N240" s="1">
        <v>9450.0</v>
      </c>
    </row>
    <row r="241">
      <c r="A241" s="23" t="s">
        <v>2038</v>
      </c>
      <c r="B241" s="24" t="s">
        <v>2039</v>
      </c>
      <c r="C241" s="13" t="s">
        <v>195</v>
      </c>
      <c r="D241" s="13" t="s">
        <v>1484</v>
      </c>
      <c r="E241" s="13" t="s">
        <v>1439</v>
      </c>
      <c r="F241" s="13" t="s">
        <v>1438</v>
      </c>
      <c r="G241" s="13" t="s">
        <v>1637</v>
      </c>
      <c r="H241" s="14">
        <v>31.324646</v>
      </c>
      <c r="I241" s="14">
        <v>34.652585</v>
      </c>
      <c r="J241" s="13" t="s">
        <v>1050</v>
      </c>
      <c r="K241" s="13" t="s">
        <v>2041</v>
      </c>
      <c r="L241" s="14">
        <v>6300.0</v>
      </c>
      <c r="M241" s="14">
        <v>6450.0</v>
      </c>
      <c r="N241" s="1">
        <v>6150.0</v>
      </c>
    </row>
    <row r="242">
      <c r="A242" s="23" t="s">
        <v>2042</v>
      </c>
      <c r="B242" s="24" t="s">
        <v>2043</v>
      </c>
      <c r="C242" s="13" t="s">
        <v>195</v>
      </c>
      <c r="D242" s="13" t="s">
        <v>1484</v>
      </c>
      <c r="E242" s="13" t="s">
        <v>1439</v>
      </c>
      <c r="F242" s="13" t="s">
        <v>1438</v>
      </c>
      <c r="G242" s="13" t="s">
        <v>1637</v>
      </c>
      <c r="H242" s="14">
        <v>31.324646</v>
      </c>
      <c r="I242" s="14">
        <v>34.652585</v>
      </c>
      <c r="J242" s="13" t="s">
        <v>1050</v>
      </c>
      <c r="K242" s="13" t="s">
        <v>2041</v>
      </c>
      <c r="L242" s="14">
        <v>6300.0</v>
      </c>
      <c r="M242" s="14">
        <v>6450.0</v>
      </c>
      <c r="N242" s="1">
        <v>6150.0</v>
      </c>
    </row>
    <row r="243">
      <c r="A243" s="23" t="s">
        <v>2049</v>
      </c>
      <c r="B243" s="24" t="s">
        <v>2050</v>
      </c>
      <c r="C243" s="13" t="s">
        <v>195</v>
      </c>
      <c r="D243" s="13" t="s">
        <v>1484</v>
      </c>
      <c r="E243" s="13" t="s">
        <v>1439</v>
      </c>
      <c r="F243" s="13" t="s">
        <v>1438</v>
      </c>
      <c r="G243" s="13" t="s">
        <v>1637</v>
      </c>
      <c r="H243" s="14">
        <v>31.324646</v>
      </c>
      <c r="I243" s="14">
        <v>34.652585</v>
      </c>
      <c r="J243" s="13" t="s">
        <v>1050</v>
      </c>
      <c r="K243" s="13" t="s">
        <v>2041</v>
      </c>
      <c r="L243" s="14">
        <v>6300.0</v>
      </c>
      <c r="M243" s="14">
        <v>6450.0</v>
      </c>
      <c r="N243" s="1">
        <v>6150.0</v>
      </c>
    </row>
    <row r="244">
      <c r="A244" s="23" t="s">
        <v>2052</v>
      </c>
      <c r="B244" s="24" t="s">
        <v>2054</v>
      </c>
      <c r="C244" s="13" t="s">
        <v>195</v>
      </c>
      <c r="D244" s="13" t="s">
        <v>1484</v>
      </c>
      <c r="E244" s="13" t="s">
        <v>1483</v>
      </c>
      <c r="F244" s="13" t="s">
        <v>1438</v>
      </c>
      <c r="G244" s="13" t="s">
        <v>1651</v>
      </c>
      <c r="H244" s="14">
        <v>40.8251</v>
      </c>
      <c r="I244" s="14">
        <v>45.0585</v>
      </c>
      <c r="J244" s="13" t="s">
        <v>2058</v>
      </c>
      <c r="K244" s="13" t="s">
        <v>2059</v>
      </c>
      <c r="L244" s="14">
        <v>75500.0</v>
      </c>
      <c r="M244" s="14">
        <v>104000.0</v>
      </c>
      <c r="N244" s="1">
        <v>47000.0</v>
      </c>
    </row>
    <row r="245">
      <c r="A245" s="23" t="s">
        <v>1623</v>
      </c>
      <c r="B245" s="24" t="s">
        <v>2060</v>
      </c>
      <c r="C245" s="13" t="s">
        <v>1114</v>
      </c>
      <c r="D245" s="13" t="s">
        <v>1115</v>
      </c>
      <c r="E245" s="13" t="s">
        <v>1626</v>
      </c>
      <c r="F245" s="13" t="s">
        <v>1438</v>
      </c>
      <c r="G245" s="13" t="s">
        <v>2061</v>
      </c>
      <c r="H245" s="13" t="s">
        <v>1209</v>
      </c>
      <c r="I245" s="13" t="s">
        <v>1209</v>
      </c>
      <c r="J245" s="13" t="s">
        <v>1209</v>
      </c>
      <c r="K245" s="13" t="s">
        <v>1209</v>
      </c>
      <c r="L245" s="14">
        <v>51.0</v>
      </c>
      <c r="M245" s="14">
        <v>71.0</v>
      </c>
      <c r="N245" s="1">
        <v>51.0</v>
      </c>
    </row>
    <row r="246">
      <c r="A246" s="23" t="s">
        <v>2064</v>
      </c>
      <c r="B246" s="24" t="s">
        <v>2065</v>
      </c>
      <c r="C246" s="13" t="s">
        <v>1114</v>
      </c>
      <c r="D246" s="13" t="s">
        <v>1115</v>
      </c>
      <c r="E246" s="13" t="s">
        <v>1626</v>
      </c>
      <c r="F246" s="13" t="s">
        <v>1438</v>
      </c>
      <c r="G246" s="13" t="s">
        <v>2061</v>
      </c>
      <c r="H246" s="13" t="s">
        <v>1209</v>
      </c>
      <c r="I246" s="13" t="s">
        <v>1209</v>
      </c>
      <c r="J246" s="13" t="s">
        <v>1209</v>
      </c>
      <c r="K246" s="13" t="s">
        <v>2066</v>
      </c>
      <c r="L246" s="14">
        <v>12.0</v>
      </c>
      <c r="M246" s="14">
        <v>32.0</v>
      </c>
      <c r="N246" s="1">
        <v>12.0</v>
      </c>
    </row>
    <row r="247">
      <c r="A247" s="23" t="s">
        <v>2067</v>
      </c>
      <c r="B247" s="24" t="s">
        <v>2068</v>
      </c>
      <c r="C247" s="13" t="s">
        <v>1209</v>
      </c>
      <c r="D247" s="13" t="s">
        <v>1209</v>
      </c>
      <c r="E247" s="13" t="s">
        <v>1439</v>
      </c>
      <c r="F247" s="13" t="s">
        <v>1438</v>
      </c>
      <c r="G247" s="13" t="s">
        <v>1637</v>
      </c>
      <c r="H247" s="14">
        <v>41.719808</v>
      </c>
      <c r="I247" s="14">
        <v>27.220493</v>
      </c>
      <c r="J247" s="13" t="s">
        <v>213</v>
      </c>
      <c r="K247" s="13" t="s">
        <v>2071</v>
      </c>
      <c r="L247" s="14">
        <v>4400.0</v>
      </c>
      <c r="M247" s="14">
        <v>4650.0</v>
      </c>
      <c r="N247" s="1">
        <v>4150.0</v>
      </c>
    </row>
    <row r="248">
      <c r="A248" s="23" t="s">
        <v>2072</v>
      </c>
      <c r="B248" s="24" t="s">
        <v>2073</v>
      </c>
      <c r="C248" s="13" t="s">
        <v>1209</v>
      </c>
      <c r="D248" s="13" t="s">
        <v>1209</v>
      </c>
      <c r="E248" s="13" t="s">
        <v>1439</v>
      </c>
      <c r="F248" s="13" t="s">
        <v>1438</v>
      </c>
      <c r="G248" s="13" t="s">
        <v>1637</v>
      </c>
      <c r="H248" s="14">
        <v>41.719808</v>
      </c>
      <c r="I248" s="14">
        <v>27.220493</v>
      </c>
      <c r="J248" s="13" t="s">
        <v>213</v>
      </c>
      <c r="K248" s="13" t="s">
        <v>2071</v>
      </c>
      <c r="L248" s="14">
        <v>4495.0</v>
      </c>
      <c r="M248" s="14">
        <v>4589.0</v>
      </c>
      <c r="N248" s="1">
        <v>4401.0</v>
      </c>
    </row>
    <row r="249">
      <c r="A249" s="23" t="s">
        <v>2076</v>
      </c>
      <c r="B249" s="24" t="s">
        <v>2077</v>
      </c>
      <c r="C249" s="13" t="s">
        <v>1209</v>
      </c>
      <c r="D249" s="13" t="s">
        <v>1209</v>
      </c>
      <c r="E249" s="13" t="s">
        <v>1439</v>
      </c>
      <c r="F249" s="13" t="s">
        <v>1438</v>
      </c>
      <c r="G249" s="13" t="s">
        <v>1637</v>
      </c>
      <c r="H249" s="14">
        <v>41.719808</v>
      </c>
      <c r="I249" s="14">
        <v>27.220493</v>
      </c>
      <c r="J249" s="13" t="s">
        <v>213</v>
      </c>
      <c r="K249" s="13" t="s">
        <v>2071</v>
      </c>
      <c r="L249" s="14">
        <v>4400.0</v>
      </c>
      <c r="M249" s="14">
        <v>4650.0</v>
      </c>
      <c r="N249" s="1">
        <v>4150.0</v>
      </c>
    </row>
    <row r="250">
      <c r="A250" s="23" t="s">
        <v>2079</v>
      </c>
      <c r="B250" s="24" t="s">
        <v>2080</v>
      </c>
      <c r="C250" s="13" t="s">
        <v>195</v>
      </c>
      <c r="D250" s="13" t="s">
        <v>1484</v>
      </c>
      <c r="E250" s="13" t="s">
        <v>1439</v>
      </c>
      <c r="F250" s="13" t="s">
        <v>1438</v>
      </c>
      <c r="G250" s="13" t="s">
        <v>1637</v>
      </c>
      <c r="H250" s="14">
        <v>42.746109</v>
      </c>
      <c r="I250" s="14">
        <v>44.623487</v>
      </c>
      <c r="J250" s="13" t="s">
        <v>564</v>
      </c>
      <c r="K250" s="13" t="s">
        <v>1809</v>
      </c>
      <c r="L250" s="14">
        <v>1000.0</v>
      </c>
      <c r="M250" s="14">
        <v>1050.0</v>
      </c>
      <c r="N250" s="1">
        <v>950.0</v>
      </c>
    </row>
    <row r="251">
      <c r="A251" s="23" t="s">
        <v>2083</v>
      </c>
      <c r="B251" s="24" t="s">
        <v>2085</v>
      </c>
      <c r="C251" s="13" t="s">
        <v>195</v>
      </c>
      <c r="D251" s="13" t="s">
        <v>1484</v>
      </c>
      <c r="E251" s="13" t="s">
        <v>1439</v>
      </c>
      <c r="F251" s="13" t="s">
        <v>1438</v>
      </c>
      <c r="G251" s="13" t="s">
        <v>1637</v>
      </c>
      <c r="H251" s="14">
        <v>38.899559</v>
      </c>
      <c r="I251" s="14">
        <v>46.612424</v>
      </c>
      <c r="J251" s="13" t="s">
        <v>1104</v>
      </c>
      <c r="K251" s="13" t="s">
        <v>2087</v>
      </c>
      <c r="L251" s="14">
        <v>5100.0</v>
      </c>
      <c r="M251" s="14">
        <v>5250.0</v>
      </c>
      <c r="N251" s="1">
        <v>4950.0</v>
      </c>
    </row>
    <row r="252">
      <c r="A252" s="23" t="s">
        <v>2088</v>
      </c>
      <c r="B252" s="24" t="s">
        <v>2089</v>
      </c>
      <c r="C252" s="13" t="s">
        <v>1209</v>
      </c>
      <c r="D252" s="13" t="s">
        <v>1209</v>
      </c>
      <c r="E252" s="13" t="s">
        <v>1439</v>
      </c>
      <c r="F252" s="13" t="s">
        <v>1438</v>
      </c>
      <c r="G252" s="13" t="s">
        <v>1637</v>
      </c>
      <c r="H252" s="14">
        <v>41.5</v>
      </c>
      <c r="I252" s="14">
        <v>23.4833</v>
      </c>
      <c r="J252" s="13" t="s">
        <v>479</v>
      </c>
      <c r="K252" s="13" t="s">
        <v>2094</v>
      </c>
      <c r="L252" s="14">
        <v>7850.0</v>
      </c>
      <c r="M252" s="14">
        <v>8150.0</v>
      </c>
      <c r="N252" s="1">
        <v>7550.0</v>
      </c>
    </row>
    <row r="253">
      <c r="A253" s="23" t="s">
        <v>2096</v>
      </c>
      <c r="B253" s="24" t="s">
        <v>2097</v>
      </c>
      <c r="C253" s="13" t="s">
        <v>1209</v>
      </c>
      <c r="D253" s="13" t="s">
        <v>1209</v>
      </c>
      <c r="E253" s="13" t="s">
        <v>1439</v>
      </c>
      <c r="F253" s="13" t="s">
        <v>1438</v>
      </c>
      <c r="G253" s="13" t="s">
        <v>1637</v>
      </c>
      <c r="H253" s="14">
        <v>41.5</v>
      </c>
      <c r="I253" s="14">
        <v>23.4833</v>
      </c>
      <c r="J253" s="13" t="s">
        <v>479</v>
      </c>
      <c r="K253" s="13" t="s">
        <v>2094</v>
      </c>
      <c r="L253" s="14">
        <v>7850.0</v>
      </c>
      <c r="M253" s="14">
        <v>8150.0</v>
      </c>
      <c r="N253" s="1">
        <v>7550.0</v>
      </c>
    </row>
    <row r="254">
      <c r="A254" s="23" t="s">
        <v>2100</v>
      </c>
      <c r="B254" s="24" t="s">
        <v>2101</v>
      </c>
      <c r="C254" s="13" t="s">
        <v>1209</v>
      </c>
      <c r="D254" s="13" t="s">
        <v>1209</v>
      </c>
      <c r="E254" s="13" t="s">
        <v>1439</v>
      </c>
      <c r="F254" s="13" t="s">
        <v>1438</v>
      </c>
      <c r="G254" s="13" t="s">
        <v>1637</v>
      </c>
      <c r="H254" s="14">
        <v>41.5</v>
      </c>
      <c r="I254" s="14">
        <v>23.4833</v>
      </c>
      <c r="J254" s="13" t="s">
        <v>479</v>
      </c>
      <c r="K254" s="13" t="s">
        <v>2094</v>
      </c>
      <c r="L254" s="14">
        <v>7850.0</v>
      </c>
      <c r="M254" s="14">
        <v>8150.0</v>
      </c>
      <c r="N254" s="1">
        <v>7550.0</v>
      </c>
    </row>
    <row r="255">
      <c r="A255" s="23" t="s">
        <v>2103</v>
      </c>
      <c r="B255" s="24" t="s">
        <v>2104</v>
      </c>
      <c r="C255" s="13" t="s">
        <v>195</v>
      </c>
      <c r="D255" s="13" t="s">
        <v>1484</v>
      </c>
      <c r="E255" s="13" t="s">
        <v>1439</v>
      </c>
      <c r="F255" s="13" t="s">
        <v>1438</v>
      </c>
      <c r="G255" s="13" t="s">
        <v>1637</v>
      </c>
      <c r="H255" s="14">
        <v>34.066</v>
      </c>
      <c r="I255" s="14">
        <v>48.134</v>
      </c>
      <c r="J255" s="13" t="s">
        <v>1104</v>
      </c>
      <c r="K255" s="13" t="s">
        <v>1639</v>
      </c>
      <c r="L255" s="14">
        <v>9905.0</v>
      </c>
      <c r="M255" s="14">
        <v>10120.0</v>
      </c>
      <c r="N255" s="1">
        <v>9690.0</v>
      </c>
    </row>
    <row r="256">
      <c r="A256" s="23" t="s">
        <v>2108</v>
      </c>
      <c r="B256" s="24" t="s">
        <v>2110</v>
      </c>
      <c r="C256" s="13" t="s">
        <v>195</v>
      </c>
      <c r="D256" s="13" t="s">
        <v>1484</v>
      </c>
      <c r="E256" s="13" t="s">
        <v>1439</v>
      </c>
      <c r="F256" s="13" t="s">
        <v>1438</v>
      </c>
      <c r="G256" s="13" t="s">
        <v>1637</v>
      </c>
      <c r="H256" s="14">
        <v>33.150986</v>
      </c>
      <c r="I256" s="14">
        <v>47.508483</v>
      </c>
      <c r="J256" s="13" t="s">
        <v>1104</v>
      </c>
      <c r="K256" s="13" t="s">
        <v>2111</v>
      </c>
      <c r="L256" s="14">
        <v>10300.0</v>
      </c>
      <c r="M256" s="14">
        <v>10550.0</v>
      </c>
      <c r="N256" s="1">
        <v>10050.0</v>
      </c>
    </row>
    <row r="257">
      <c r="A257" s="23" t="s">
        <v>2112</v>
      </c>
      <c r="B257" s="24" t="s">
        <v>2114</v>
      </c>
      <c r="C257" s="13" t="s">
        <v>195</v>
      </c>
      <c r="D257" s="13" t="s">
        <v>1484</v>
      </c>
      <c r="E257" s="13" t="s">
        <v>1439</v>
      </c>
      <c r="F257" s="13" t="s">
        <v>1438</v>
      </c>
      <c r="G257" s="13" t="s">
        <v>1637</v>
      </c>
      <c r="H257" s="14">
        <v>31.77889</v>
      </c>
      <c r="I257" s="14">
        <v>34.84992</v>
      </c>
      <c r="J257" s="13" t="s">
        <v>1050</v>
      </c>
      <c r="K257" s="13" t="s">
        <v>2117</v>
      </c>
      <c r="L257" s="14">
        <v>2650.0</v>
      </c>
      <c r="M257" s="14">
        <v>2900.0</v>
      </c>
      <c r="N257" s="1">
        <v>2400.0</v>
      </c>
    </row>
    <row r="258">
      <c r="A258" s="23" t="s">
        <v>1900</v>
      </c>
      <c r="B258" s="24" t="s">
        <v>2120</v>
      </c>
      <c r="C258" s="13" t="s">
        <v>195</v>
      </c>
      <c r="D258" s="13" t="s">
        <v>1904</v>
      </c>
      <c r="E258" s="13" t="s">
        <v>1439</v>
      </c>
      <c r="F258" s="13" t="s">
        <v>1438</v>
      </c>
      <c r="G258" s="13" t="s">
        <v>1637</v>
      </c>
      <c r="H258" s="14">
        <v>36.8485</v>
      </c>
      <c r="I258" s="14">
        <v>60.4181</v>
      </c>
      <c r="J258" s="13" t="s">
        <v>1764</v>
      </c>
      <c r="K258" s="13" t="s">
        <v>1908</v>
      </c>
      <c r="L258" s="14">
        <v>6750.0</v>
      </c>
      <c r="M258" s="14">
        <v>7050.0</v>
      </c>
      <c r="N258" s="1">
        <v>6450.0</v>
      </c>
    </row>
    <row r="259">
      <c r="A259" s="23" t="s">
        <v>2124</v>
      </c>
      <c r="B259" s="24" t="s">
        <v>2126</v>
      </c>
      <c r="C259" s="13" t="s">
        <v>195</v>
      </c>
      <c r="D259" s="13" t="s">
        <v>1958</v>
      </c>
      <c r="E259" s="13" t="s">
        <v>1439</v>
      </c>
      <c r="F259" s="13" t="s">
        <v>1438</v>
      </c>
      <c r="G259" s="13" t="s">
        <v>1637</v>
      </c>
      <c r="H259" s="14">
        <v>36.8485</v>
      </c>
      <c r="I259" s="14">
        <v>60.4181</v>
      </c>
      <c r="J259" s="13" t="s">
        <v>1764</v>
      </c>
      <c r="K259" s="13" t="s">
        <v>1908</v>
      </c>
      <c r="L259" s="14">
        <v>6750.0</v>
      </c>
      <c r="M259" s="14">
        <v>7050.0</v>
      </c>
      <c r="N259" s="1">
        <v>6450.0</v>
      </c>
    </row>
    <row r="260">
      <c r="A260" s="23" t="s">
        <v>2127</v>
      </c>
      <c r="B260" s="24" t="s">
        <v>2128</v>
      </c>
      <c r="C260" s="13" t="s">
        <v>195</v>
      </c>
      <c r="D260" s="13" t="s">
        <v>1962</v>
      </c>
      <c r="E260" s="13" t="s">
        <v>1439</v>
      </c>
      <c r="F260" s="13" t="s">
        <v>1438</v>
      </c>
      <c r="G260" s="13" t="s">
        <v>1637</v>
      </c>
      <c r="H260" s="14">
        <v>36.8485</v>
      </c>
      <c r="I260" s="14">
        <v>60.4181</v>
      </c>
      <c r="J260" s="13" t="s">
        <v>1764</v>
      </c>
      <c r="K260" s="13" t="s">
        <v>1908</v>
      </c>
      <c r="L260" s="14">
        <v>6750.0</v>
      </c>
      <c r="M260" s="14">
        <v>7050.0</v>
      </c>
      <c r="N260" s="1">
        <v>6450.0</v>
      </c>
    </row>
    <row r="261">
      <c r="A261" s="23" t="s">
        <v>2130</v>
      </c>
      <c r="B261" s="24" t="s">
        <v>2131</v>
      </c>
      <c r="C261" s="13" t="s">
        <v>195</v>
      </c>
      <c r="D261" s="13" t="s">
        <v>1968</v>
      </c>
      <c r="E261" s="13" t="s">
        <v>1439</v>
      </c>
      <c r="F261" s="13" t="s">
        <v>1438</v>
      </c>
      <c r="G261" s="13" t="s">
        <v>1637</v>
      </c>
      <c r="H261" s="14">
        <v>36.8485</v>
      </c>
      <c r="I261" s="14">
        <v>60.4181</v>
      </c>
      <c r="J261" s="13" t="s">
        <v>1764</v>
      </c>
      <c r="K261" s="13" t="s">
        <v>1908</v>
      </c>
      <c r="L261" s="14">
        <v>8100.0</v>
      </c>
      <c r="M261" s="14">
        <v>8350.0</v>
      </c>
      <c r="N261" s="1">
        <v>7850.0</v>
      </c>
    </row>
    <row r="262">
      <c r="A262" s="23" t="s">
        <v>2132</v>
      </c>
      <c r="B262" s="24" t="s">
        <v>2133</v>
      </c>
      <c r="C262" s="13" t="s">
        <v>195</v>
      </c>
      <c r="D262" s="13" t="s">
        <v>1973</v>
      </c>
      <c r="E262" s="13" t="s">
        <v>1439</v>
      </c>
      <c r="F262" s="13" t="s">
        <v>1438</v>
      </c>
      <c r="G262" s="13" t="s">
        <v>1637</v>
      </c>
      <c r="H262" s="14">
        <v>36.8485</v>
      </c>
      <c r="I262" s="14">
        <v>60.4181</v>
      </c>
      <c r="J262" s="13" t="s">
        <v>1764</v>
      </c>
      <c r="K262" s="13" t="s">
        <v>1908</v>
      </c>
      <c r="L262" s="14">
        <v>8100.0</v>
      </c>
      <c r="M262" s="14">
        <v>8350.0</v>
      </c>
      <c r="N262" s="1">
        <v>7850.0</v>
      </c>
    </row>
    <row r="263">
      <c r="A263" s="23" t="s">
        <v>2135</v>
      </c>
      <c r="B263" s="24" t="s">
        <v>2136</v>
      </c>
      <c r="C263" s="13" t="s">
        <v>195</v>
      </c>
      <c r="D263" s="13" t="s">
        <v>1916</v>
      </c>
      <c r="E263" s="13" t="s">
        <v>1439</v>
      </c>
      <c r="F263" s="13" t="s">
        <v>1438</v>
      </c>
      <c r="G263" s="13" t="s">
        <v>1637</v>
      </c>
      <c r="H263" s="14">
        <v>36.8485</v>
      </c>
      <c r="I263" s="14">
        <v>60.4181</v>
      </c>
      <c r="J263" s="13" t="s">
        <v>1764</v>
      </c>
      <c r="K263" s="13" t="s">
        <v>1908</v>
      </c>
      <c r="L263" s="14">
        <v>8100.0</v>
      </c>
      <c r="M263" s="14">
        <v>8350.0</v>
      </c>
      <c r="N263" s="1">
        <v>7850.0</v>
      </c>
    </row>
    <row r="264">
      <c r="A264" s="23" t="s">
        <v>2138</v>
      </c>
      <c r="B264" s="24" t="s">
        <v>2139</v>
      </c>
      <c r="C264" s="13" t="s">
        <v>195</v>
      </c>
      <c r="D264" s="13" t="s">
        <v>1947</v>
      </c>
      <c r="E264" s="13" t="s">
        <v>1439</v>
      </c>
      <c r="F264" s="13" t="s">
        <v>1438</v>
      </c>
      <c r="G264" s="13" t="s">
        <v>1637</v>
      </c>
      <c r="H264" s="14">
        <v>36.8485</v>
      </c>
      <c r="I264" s="14">
        <v>60.4181</v>
      </c>
      <c r="J264" s="13" t="s">
        <v>1764</v>
      </c>
      <c r="K264" s="13" t="s">
        <v>1908</v>
      </c>
      <c r="L264" s="14">
        <v>6750.0</v>
      </c>
      <c r="M264" s="14">
        <v>7050.0</v>
      </c>
      <c r="N264" s="1">
        <v>6450.0</v>
      </c>
    </row>
    <row r="265">
      <c r="A265" s="23" t="s">
        <v>2140</v>
      </c>
      <c r="B265" s="24" t="s">
        <v>2141</v>
      </c>
      <c r="C265" s="13" t="s">
        <v>1114</v>
      </c>
      <c r="D265" s="13" t="s">
        <v>1115</v>
      </c>
      <c r="E265" s="13" t="s">
        <v>2142</v>
      </c>
      <c r="F265" s="13" t="s">
        <v>1438</v>
      </c>
      <c r="G265" s="13" t="s">
        <v>2143</v>
      </c>
      <c r="H265" s="13" t="s">
        <v>1209</v>
      </c>
      <c r="I265" s="13" t="s">
        <v>1209</v>
      </c>
      <c r="J265" s="13" t="s">
        <v>1209</v>
      </c>
      <c r="K265" s="13" t="s">
        <v>2145</v>
      </c>
      <c r="L265" s="14">
        <v>-60.0</v>
      </c>
      <c r="M265" s="14">
        <v>-59.5</v>
      </c>
      <c r="N265" s="1">
        <v>-60.5</v>
      </c>
    </row>
    <row r="266">
      <c r="A266" s="23" t="s">
        <v>2146</v>
      </c>
      <c r="B266" s="24" t="s">
        <v>2147</v>
      </c>
      <c r="C266" s="13" t="s">
        <v>1114</v>
      </c>
      <c r="D266" s="13" t="s">
        <v>1115</v>
      </c>
      <c r="E266" s="13" t="s">
        <v>1439</v>
      </c>
      <c r="F266" s="13" t="s">
        <v>1438</v>
      </c>
      <c r="G266" s="13" t="s">
        <v>1637</v>
      </c>
      <c r="H266" s="13" t="s">
        <v>1209</v>
      </c>
      <c r="I266" s="13" t="s">
        <v>1209</v>
      </c>
      <c r="J266" s="13" t="s">
        <v>1422</v>
      </c>
      <c r="K266" s="13" t="s">
        <v>2150</v>
      </c>
      <c r="L266" s="14">
        <v>2890.0</v>
      </c>
      <c r="M266" s="14">
        <v>2995.0</v>
      </c>
      <c r="N266" s="1">
        <v>2785.0</v>
      </c>
    </row>
    <row r="267">
      <c r="A267" s="23" t="s">
        <v>2153</v>
      </c>
      <c r="B267" s="24" t="s">
        <v>2154</v>
      </c>
      <c r="C267" s="13" t="s">
        <v>1209</v>
      </c>
      <c r="D267" s="13" t="s">
        <v>1209</v>
      </c>
      <c r="E267" s="13" t="s">
        <v>1439</v>
      </c>
      <c r="F267" s="13" t="s">
        <v>1438</v>
      </c>
      <c r="G267" s="13" t="s">
        <v>1637</v>
      </c>
      <c r="H267" s="14">
        <v>43.1141</v>
      </c>
      <c r="I267" s="14">
        <v>26.3824</v>
      </c>
      <c r="J267" s="13" t="s">
        <v>479</v>
      </c>
      <c r="K267" s="13" t="s">
        <v>2155</v>
      </c>
      <c r="L267" s="14">
        <v>7550.0</v>
      </c>
      <c r="M267" s="14">
        <v>7650.0</v>
      </c>
      <c r="N267" s="1">
        <v>7450.0</v>
      </c>
    </row>
    <row r="268">
      <c r="A268" s="23" t="s">
        <v>2156</v>
      </c>
      <c r="B268" s="24" t="s">
        <v>2157</v>
      </c>
      <c r="C268" s="13" t="s">
        <v>1209</v>
      </c>
      <c r="D268" s="13" t="s">
        <v>1209</v>
      </c>
      <c r="E268" s="13" t="s">
        <v>1439</v>
      </c>
      <c r="F268" s="13" t="s">
        <v>1438</v>
      </c>
      <c r="G268" s="13" t="s">
        <v>1637</v>
      </c>
      <c r="H268" s="14">
        <v>44.059471</v>
      </c>
      <c r="I268" s="14">
        <v>26.119469</v>
      </c>
      <c r="J268" s="13" t="s">
        <v>1476</v>
      </c>
      <c r="K268" s="13" t="s">
        <v>2160</v>
      </c>
      <c r="L268" s="14">
        <v>6300.0</v>
      </c>
      <c r="M268" s="14">
        <v>6400.0</v>
      </c>
      <c r="N268" s="1">
        <v>6200.0</v>
      </c>
    </row>
    <row r="269">
      <c r="A269" s="23" t="s">
        <v>1939</v>
      </c>
      <c r="B269" s="24" t="s">
        <v>2161</v>
      </c>
      <c r="C269" s="13" t="s">
        <v>195</v>
      </c>
      <c r="D269" s="13" t="s">
        <v>1484</v>
      </c>
      <c r="E269" s="13" t="s">
        <v>1439</v>
      </c>
      <c r="F269" s="13" t="s">
        <v>1438</v>
      </c>
      <c r="G269" s="13" t="s">
        <v>1637</v>
      </c>
      <c r="H269" s="14">
        <v>51.324387</v>
      </c>
      <c r="I269" s="14">
        <v>-2.008906</v>
      </c>
      <c r="J269" s="13" t="s">
        <v>804</v>
      </c>
      <c r="K269" s="13" t="s">
        <v>1945</v>
      </c>
      <c r="L269" s="14">
        <v>2900.0</v>
      </c>
      <c r="M269" s="14">
        <v>3200.0</v>
      </c>
      <c r="N269" s="1">
        <v>2600.0</v>
      </c>
    </row>
    <row r="270">
      <c r="A270" s="23" t="s">
        <v>2164</v>
      </c>
      <c r="B270" s="24" t="s">
        <v>2166</v>
      </c>
      <c r="C270" s="13" t="s">
        <v>1114</v>
      </c>
      <c r="D270" s="13" t="s">
        <v>1115</v>
      </c>
      <c r="E270" s="13" t="s">
        <v>2167</v>
      </c>
      <c r="F270" s="13" t="s">
        <v>1438</v>
      </c>
      <c r="G270" s="13" t="s">
        <v>2168</v>
      </c>
      <c r="H270" s="13" t="s">
        <v>1209</v>
      </c>
      <c r="I270" s="13" t="s">
        <v>1209</v>
      </c>
      <c r="J270" s="13" t="s">
        <v>1209</v>
      </c>
      <c r="K270" s="13" t="s">
        <v>1209</v>
      </c>
      <c r="L270" s="14">
        <v>4.0</v>
      </c>
      <c r="M270" s="14">
        <v>24.0</v>
      </c>
      <c r="N270" s="1">
        <v>4.0</v>
      </c>
    </row>
    <row r="271">
      <c r="A271" s="23" t="s">
        <v>2169</v>
      </c>
      <c r="B271" s="24" t="s">
        <v>2170</v>
      </c>
      <c r="C271" s="13" t="s">
        <v>195</v>
      </c>
      <c r="D271" s="13" t="s">
        <v>1484</v>
      </c>
      <c r="E271" s="13" t="s">
        <v>1439</v>
      </c>
      <c r="F271" s="13" t="s">
        <v>1438</v>
      </c>
      <c r="G271" s="13" t="s">
        <v>1637</v>
      </c>
      <c r="H271" s="14">
        <v>35.783</v>
      </c>
      <c r="I271" s="14">
        <v>49.416</v>
      </c>
      <c r="J271" s="13" t="s">
        <v>1104</v>
      </c>
      <c r="K271" s="13" t="s">
        <v>2174</v>
      </c>
      <c r="L271" s="14">
        <v>4100.0</v>
      </c>
      <c r="M271" s="14">
        <v>4350.0</v>
      </c>
      <c r="N271" s="1">
        <v>3850.0</v>
      </c>
    </row>
    <row r="272">
      <c r="A272" s="23" t="s">
        <v>2175</v>
      </c>
      <c r="B272" s="24" t="s">
        <v>2177</v>
      </c>
      <c r="C272" s="13" t="s">
        <v>195</v>
      </c>
      <c r="D272" s="13" t="s">
        <v>1484</v>
      </c>
      <c r="E272" s="13" t="s">
        <v>1439</v>
      </c>
      <c r="F272" s="13" t="s">
        <v>1438</v>
      </c>
      <c r="G272" s="13" t="s">
        <v>1637</v>
      </c>
      <c r="H272" s="14">
        <v>31.699722</v>
      </c>
      <c r="I272" s="14">
        <v>34.846944</v>
      </c>
      <c r="J272" s="13" t="s">
        <v>1050</v>
      </c>
      <c r="K272" s="13" t="s">
        <v>2178</v>
      </c>
      <c r="L272" s="14">
        <v>4685.0</v>
      </c>
      <c r="M272" s="14">
        <v>4850.0</v>
      </c>
      <c r="N272" s="1">
        <v>4520.0</v>
      </c>
    </row>
    <row r="273">
      <c r="A273" s="23" t="s">
        <v>2180</v>
      </c>
      <c r="B273" s="24" t="s">
        <v>2182</v>
      </c>
      <c r="C273" s="13" t="s">
        <v>195</v>
      </c>
      <c r="D273" s="13" t="s">
        <v>1484</v>
      </c>
      <c r="E273" s="13" t="s">
        <v>1439</v>
      </c>
      <c r="F273" s="13" t="s">
        <v>1438</v>
      </c>
      <c r="G273" s="13" t="s">
        <v>1637</v>
      </c>
      <c r="H273" s="14">
        <v>36.504158</v>
      </c>
      <c r="I273" s="14">
        <v>55.000786</v>
      </c>
      <c r="J273" s="13" t="s">
        <v>1104</v>
      </c>
      <c r="K273" s="13" t="s">
        <v>2183</v>
      </c>
      <c r="L273" s="14">
        <v>9144.0</v>
      </c>
      <c r="M273" s="14">
        <v>9409.0</v>
      </c>
      <c r="N273" s="1">
        <v>8789.0</v>
      </c>
    </row>
    <row r="274">
      <c r="A274" s="23" t="s">
        <v>2184</v>
      </c>
      <c r="B274" s="24" t="s">
        <v>2185</v>
      </c>
      <c r="C274" s="13" t="s">
        <v>195</v>
      </c>
      <c r="D274" s="13" t="s">
        <v>1484</v>
      </c>
      <c r="E274" s="13" t="s">
        <v>1439</v>
      </c>
      <c r="F274" s="13" t="s">
        <v>1438</v>
      </c>
      <c r="G274" s="13" t="s">
        <v>1637</v>
      </c>
      <c r="H274" s="14">
        <v>36.504158</v>
      </c>
      <c r="I274" s="14">
        <v>55.000786</v>
      </c>
      <c r="J274" s="13" t="s">
        <v>1104</v>
      </c>
      <c r="K274" s="13" t="s">
        <v>2183</v>
      </c>
      <c r="L274" s="14">
        <v>9144.0</v>
      </c>
      <c r="M274" s="14">
        <v>9409.0</v>
      </c>
      <c r="N274" s="1">
        <v>8789.0</v>
      </c>
    </row>
    <row r="275">
      <c r="A275" s="23" t="s">
        <v>2188</v>
      </c>
      <c r="B275" s="24" t="s">
        <v>2189</v>
      </c>
      <c r="C275" s="13" t="s">
        <v>195</v>
      </c>
      <c r="D275" s="13" t="s">
        <v>1962</v>
      </c>
      <c r="E275" s="13" t="s">
        <v>1439</v>
      </c>
      <c r="F275" s="13" t="s">
        <v>1438</v>
      </c>
      <c r="G275" s="13" t="s">
        <v>1637</v>
      </c>
      <c r="H275" s="14">
        <v>36.504158</v>
      </c>
      <c r="I275" s="14">
        <v>55.000786</v>
      </c>
      <c r="J275" s="13" t="s">
        <v>1104</v>
      </c>
      <c r="K275" s="13" t="s">
        <v>2183</v>
      </c>
      <c r="L275" s="14">
        <v>8055.5</v>
      </c>
      <c r="M275" s="14">
        <v>8171.0</v>
      </c>
      <c r="N275" s="1">
        <v>7940.0</v>
      </c>
    </row>
    <row r="276">
      <c r="A276" s="23" t="s">
        <v>2190</v>
      </c>
      <c r="B276" s="24" t="s">
        <v>2191</v>
      </c>
      <c r="C276" s="13" t="s">
        <v>195</v>
      </c>
      <c r="D276" s="13" t="s">
        <v>1968</v>
      </c>
      <c r="E276" s="13" t="s">
        <v>1439</v>
      </c>
      <c r="F276" s="13" t="s">
        <v>1438</v>
      </c>
      <c r="G276" s="13" t="s">
        <v>1637</v>
      </c>
      <c r="H276" s="14">
        <v>36.504158</v>
      </c>
      <c r="I276" s="14">
        <v>55.000786</v>
      </c>
      <c r="J276" s="13" t="s">
        <v>1104</v>
      </c>
      <c r="K276" s="13" t="s">
        <v>2183</v>
      </c>
      <c r="L276" s="14">
        <v>7950.0</v>
      </c>
      <c r="M276" s="14">
        <v>8200.0</v>
      </c>
      <c r="N276" s="1">
        <v>7700.0</v>
      </c>
    </row>
    <row r="277">
      <c r="A277" s="23" t="s">
        <v>2192</v>
      </c>
      <c r="B277" s="24" t="s">
        <v>2194</v>
      </c>
      <c r="C277" s="13" t="s">
        <v>195</v>
      </c>
      <c r="D277" s="13" t="s">
        <v>1973</v>
      </c>
      <c r="E277" s="13" t="s">
        <v>1439</v>
      </c>
      <c r="F277" s="13" t="s">
        <v>1438</v>
      </c>
      <c r="G277" s="13" t="s">
        <v>1637</v>
      </c>
      <c r="H277" s="14">
        <v>36.504158</v>
      </c>
      <c r="I277" s="14">
        <v>55.000786</v>
      </c>
      <c r="J277" s="13" t="s">
        <v>1104</v>
      </c>
      <c r="K277" s="13" t="s">
        <v>2183</v>
      </c>
      <c r="L277" s="14">
        <v>7950.0</v>
      </c>
      <c r="M277" s="14">
        <v>8200.0</v>
      </c>
      <c r="N277" s="1">
        <v>7700.0</v>
      </c>
    </row>
    <row r="278">
      <c r="A278" s="23" t="s">
        <v>2195</v>
      </c>
      <c r="B278" s="24" t="s">
        <v>2196</v>
      </c>
      <c r="C278" s="13" t="s">
        <v>195</v>
      </c>
      <c r="D278" s="13" t="s">
        <v>1916</v>
      </c>
      <c r="E278" s="13" t="s">
        <v>1439</v>
      </c>
      <c r="F278" s="13" t="s">
        <v>1438</v>
      </c>
      <c r="G278" s="13" t="s">
        <v>1637</v>
      </c>
      <c r="H278" s="14">
        <v>36.504158</v>
      </c>
      <c r="I278" s="14">
        <v>55.000786</v>
      </c>
      <c r="J278" s="13" t="s">
        <v>1104</v>
      </c>
      <c r="K278" s="13" t="s">
        <v>2183</v>
      </c>
      <c r="L278" s="14">
        <v>7950.0</v>
      </c>
      <c r="M278" s="14">
        <v>8200.0</v>
      </c>
      <c r="N278" s="1">
        <v>7700.0</v>
      </c>
    </row>
    <row r="279">
      <c r="A279" s="23" t="s">
        <v>2199</v>
      </c>
      <c r="B279" s="24" t="s">
        <v>2200</v>
      </c>
      <c r="C279" s="13" t="s">
        <v>195</v>
      </c>
      <c r="D279" s="13" t="s">
        <v>1947</v>
      </c>
      <c r="E279" s="13" t="s">
        <v>1439</v>
      </c>
      <c r="F279" s="13" t="s">
        <v>1438</v>
      </c>
      <c r="G279" s="13" t="s">
        <v>1637</v>
      </c>
      <c r="H279" s="14">
        <v>36.504158</v>
      </c>
      <c r="I279" s="14">
        <v>55.000786</v>
      </c>
      <c r="J279" s="13" t="s">
        <v>1104</v>
      </c>
      <c r="K279" s="13" t="s">
        <v>2183</v>
      </c>
      <c r="L279" s="14">
        <v>7950.0</v>
      </c>
      <c r="M279" s="14">
        <v>8200.0</v>
      </c>
      <c r="N279" s="1">
        <v>7700.0</v>
      </c>
    </row>
    <row r="280">
      <c r="A280" s="23" t="s">
        <v>2201</v>
      </c>
      <c r="B280" s="24" t="s">
        <v>2202</v>
      </c>
      <c r="C280" s="13" t="s">
        <v>195</v>
      </c>
      <c r="D280" s="13" t="s">
        <v>1904</v>
      </c>
      <c r="E280" s="13" t="s">
        <v>1439</v>
      </c>
      <c r="F280" s="13" t="s">
        <v>1438</v>
      </c>
      <c r="G280" s="13" t="s">
        <v>1637</v>
      </c>
      <c r="H280" s="14">
        <v>36.504158</v>
      </c>
      <c r="I280" s="14">
        <v>55.000786</v>
      </c>
      <c r="J280" s="13" t="s">
        <v>1104</v>
      </c>
      <c r="K280" s="13" t="s">
        <v>2183</v>
      </c>
      <c r="L280" s="14">
        <v>7950.0</v>
      </c>
      <c r="M280" s="14">
        <v>8200.0</v>
      </c>
      <c r="N280" s="1">
        <v>7700.0</v>
      </c>
    </row>
    <row r="281">
      <c r="A281" s="23" t="s">
        <v>2204</v>
      </c>
      <c r="B281" s="24" t="s">
        <v>2205</v>
      </c>
      <c r="C281" s="13" t="s">
        <v>195</v>
      </c>
      <c r="D281" s="13" t="s">
        <v>1958</v>
      </c>
      <c r="E281" s="13" t="s">
        <v>1439</v>
      </c>
      <c r="F281" s="13" t="s">
        <v>1438</v>
      </c>
      <c r="G281" s="13" t="s">
        <v>1637</v>
      </c>
      <c r="H281" s="14">
        <v>36.504158</v>
      </c>
      <c r="I281" s="14">
        <v>55.000786</v>
      </c>
      <c r="J281" s="13" t="s">
        <v>1104</v>
      </c>
      <c r="K281" s="13" t="s">
        <v>2183</v>
      </c>
      <c r="L281" s="14">
        <v>7950.0</v>
      </c>
      <c r="M281" s="14">
        <v>8200.0</v>
      </c>
      <c r="N281" s="1">
        <v>7700.0</v>
      </c>
    </row>
    <row r="282">
      <c r="A282" s="23" t="s">
        <v>2206</v>
      </c>
      <c r="B282" s="24" t="s">
        <v>2207</v>
      </c>
      <c r="C282" s="13" t="s">
        <v>195</v>
      </c>
      <c r="D282" s="13" t="s">
        <v>1976</v>
      </c>
      <c r="E282" s="13" t="s">
        <v>1439</v>
      </c>
      <c r="F282" s="13" t="s">
        <v>1438</v>
      </c>
      <c r="G282" s="13" t="s">
        <v>1637</v>
      </c>
      <c r="H282" s="14">
        <v>31.194641</v>
      </c>
      <c r="I282" s="14">
        <v>34.627068</v>
      </c>
      <c r="J282" s="13" t="s">
        <v>1050</v>
      </c>
      <c r="K282" s="13" t="s">
        <v>2208</v>
      </c>
      <c r="L282" s="14">
        <v>5950.0</v>
      </c>
      <c r="M282" s="14">
        <v>6250.0</v>
      </c>
      <c r="N282" s="1">
        <v>5650.0</v>
      </c>
    </row>
    <row r="283">
      <c r="A283" s="23" t="s">
        <v>2209</v>
      </c>
      <c r="B283" s="24" t="s">
        <v>2210</v>
      </c>
      <c r="C283" s="13" t="s">
        <v>195</v>
      </c>
      <c r="D283" s="13" t="s">
        <v>1983</v>
      </c>
      <c r="E283" s="13" t="s">
        <v>1439</v>
      </c>
      <c r="F283" s="13" t="s">
        <v>1438</v>
      </c>
      <c r="G283" s="13" t="s">
        <v>1637</v>
      </c>
      <c r="H283" s="14">
        <v>31.194641</v>
      </c>
      <c r="I283" s="14">
        <v>34.627068</v>
      </c>
      <c r="J283" s="13" t="s">
        <v>1050</v>
      </c>
      <c r="K283" s="13" t="s">
        <v>2208</v>
      </c>
      <c r="L283" s="14">
        <v>5950.0</v>
      </c>
      <c r="M283" s="14">
        <v>6250.0</v>
      </c>
      <c r="N283" s="1">
        <v>5650.0</v>
      </c>
    </row>
    <row r="284">
      <c r="A284" s="23" t="s">
        <v>2212</v>
      </c>
      <c r="B284" s="24" t="s">
        <v>2213</v>
      </c>
      <c r="C284" s="13" t="s">
        <v>1114</v>
      </c>
      <c r="D284" s="13" t="s">
        <v>1115</v>
      </c>
      <c r="E284" s="13" t="s">
        <v>1513</v>
      </c>
      <c r="F284" s="13" t="s">
        <v>1438</v>
      </c>
      <c r="G284" s="13" t="s">
        <v>1849</v>
      </c>
      <c r="H284" s="14">
        <v>48.504</v>
      </c>
      <c r="I284" s="14">
        <v>2.2136</v>
      </c>
      <c r="J284" s="13" t="s">
        <v>1209</v>
      </c>
      <c r="K284" s="13" t="s">
        <v>1519</v>
      </c>
      <c r="L284" s="14">
        <v>-47.0</v>
      </c>
      <c r="M284" s="14">
        <v>-27.0</v>
      </c>
      <c r="N284" s="1">
        <v>-47.0</v>
      </c>
    </row>
    <row r="285">
      <c r="A285" s="23" t="s">
        <v>2062</v>
      </c>
      <c r="B285" s="24" t="s">
        <v>2215</v>
      </c>
      <c r="C285" s="13" t="s">
        <v>1114</v>
      </c>
      <c r="D285" s="13" t="s">
        <v>1115</v>
      </c>
      <c r="E285" s="13" t="s">
        <v>1513</v>
      </c>
      <c r="F285" s="13" t="s">
        <v>1438</v>
      </c>
      <c r="G285" s="13" t="s">
        <v>1849</v>
      </c>
      <c r="H285" s="14">
        <v>48.504</v>
      </c>
      <c r="I285" s="14">
        <v>2.2136</v>
      </c>
      <c r="J285" s="13" t="s">
        <v>1209</v>
      </c>
      <c r="K285" s="13" t="s">
        <v>1519</v>
      </c>
      <c r="L285" s="14">
        <v>-24.0</v>
      </c>
      <c r="M285" s="14">
        <v>-4.0</v>
      </c>
      <c r="N285" s="1">
        <v>-24.0</v>
      </c>
    </row>
    <row r="286">
      <c r="A286" s="23" t="s">
        <v>2216</v>
      </c>
      <c r="B286" s="24" t="s">
        <v>2217</v>
      </c>
      <c r="C286" s="13" t="s">
        <v>1209</v>
      </c>
      <c r="D286" s="13" t="s">
        <v>1209</v>
      </c>
      <c r="E286" s="13" t="s">
        <v>1439</v>
      </c>
      <c r="F286" s="13" t="s">
        <v>1438</v>
      </c>
      <c r="G286" s="13" t="s">
        <v>1637</v>
      </c>
      <c r="H286" s="14">
        <v>41.471809</v>
      </c>
      <c r="I286" s="14">
        <v>46.011955</v>
      </c>
      <c r="J286" s="13" t="s">
        <v>564</v>
      </c>
      <c r="K286" s="13" t="s">
        <v>2218</v>
      </c>
      <c r="L286" s="14">
        <v>3150.0</v>
      </c>
      <c r="M286" s="14">
        <v>3350.0</v>
      </c>
      <c r="N286" s="1">
        <v>2950.0</v>
      </c>
    </row>
    <row r="287">
      <c r="A287" s="23" t="s">
        <v>2220</v>
      </c>
      <c r="B287" s="24" t="s">
        <v>2221</v>
      </c>
      <c r="C287" s="13" t="s">
        <v>1209</v>
      </c>
      <c r="D287" s="13" t="s">
        <v>1209</v>
      </c>
      <c r="E287" s="13" t="s">
        <v>1439</v>
      </c>
      <c r="F287" s="13" t="s">
        <v>1438</v>
      </c>
      <c r="G287" s="13" t="s">
        <v>1637</v>
      </c>
      <c r="H287" s="14">
        <v>41.471809</v>
      </c>
      <c r="I287" s="14">
        <v>46.011955</v>
      </c>
      <c r="J287" s="13" t="s">
        <v>564</v>
      </c>
      <c r="K287" s="13" t="s">
        <v>2218</v>
      </c>
      <c r="L287" s="14">
        <v>2800.0</v>
      </c>
      <c r="M287" s="14">
        <v>2950.0</v>
      </c>
      <c r="N287" s="1">
        <v>2650.0</v>
      </c>
    </row>
    <row r="288">
      <c r="A288" s="23" t="s">
        <v>2222</v>
      </c>
      <c r="B288" s="24" t="s">
        <v>2223</v>
      </c>
      <c r="C288" s="13" t="s">
        <v>1209</v>
      </c>
      <c r="D288" s="13" t="s">
        <v>1209</v>
      </c>
      <c r="E288" s="13" t="s">
        <v>1439</v>
      </c>
      <c r="F288" s="13" t="s">
        <v>1438</v>
      </c>
      <c r="G288" s="13" t="s">
        <v>1637</v>
      </c>
      <c r="H288" s="14">
        <v>41.471809</v>
      </c>
      <c r="I288" s="14">
        <v>46.011955</v>
      </c>
      <c r="J288" s="13" t="s">
        <v>564</v>
      </c>
      <c r="K288" s="13" t="s">
        <v>2218</v>
      </c>
      <c r="L288" s="14">
        <v>3150.0</v>
      </c>
      <c r="M288" s="14">
        <v>3350.0</v>
      </c>
      <c r="N288" s="1">
        <v>2950.0</v>
      </c>
    </row>
    <row r="289">
      <c r="A289" s="23" t="s">
        <v>2224</v>
      </c>
      <c r="B289" s="24" t="s">
        <v>2225</v>
      </c>
      <c r="C289" s="13" t="s">
        <v>1114</v>
      </c>
      <c r="D289" s="13" t="s">
        <v>1115</v>
      </c>
      <c r="E289" s="13" t="s">
        <v>2226</v>
      </c>
      <c r="F289" s="13" t="s">
        <v>1438</v>
      </c>
      <c r="G289" s="13" t="s">
        <v>2227</v>
      </c>
      <c r="H289" s="13" t="s">
        <v>1209</v>
      </c>
      <c r="I289" s="13" t="s">
        <v>1209</v>
      </c>
      <c r="J289" s="13" t="s">
        <v>1209</v>
      </c>
      <c r="K289" s="13" t="s">
        <v>1209</v>
      </c>
      <c r="L289" s="14">
        <v>-32.0</v>
      </c>
      <c r="M289" s="14">
        <v>-12.0</v>
      </c>
      <c r="N289" s="1">
        <v>-32.0</v>
      </c>
    </row>
    <row r="290">
      <c r="A290" s="23" t="s">
        <v>2228</v>
      </c>
      <c r="B290" s="24" t="s">
        <v>2229</v>
      </c>
      <c r="C290" s="13" t="s">
        <v>1114</v>
      </c>
      <c r="D290" s="13" t="s">
        <v>1115</v>
      </c>
      <c r="E290" s="13" t="s">
        <v>1806</v>
      </c>
      <c r="F290" s="13" t="s">
        <v>1438</v>
      </c>
      <c r="G290" s="13" t="s">
        <v>1808</v>
      </c>
      <c r="H290" s="13" t="s">
        <v>1209</v>
      </c>
      <c r="I290" s="13" t="s">
        <v>1209</v>
      </c>
      <c r="J290" s="13" t="s">
        <v>1209</v>
      </c>
      <c r="K290" s="13" t="s">
        <v>1209</v>
      </c>
      <c r="L290" s="14">
        <v>5.0</v>
      </c>
      <c r="M290" s="14">
        <v>25.0</v>
      </c>
      <c r="N290" s="1">
        <v>5.0</v>
      </c>
    </row>
    <row r="291">
      <c r="A291" s="23" t="s">
        <v>2230</v>
      </c>
      <c r="B291" s="24" t="s">
        <v>2231</v>
      </c>
      <c r="C291" s="13" t="s">
        <v>1209</v>
      </c>
      <c r="D291" s="13" t="s">
        <v>1209</v>
      </c>
      <c r="E291" s="13" t="s">
        <v>1439</v>
      </c>
      <c r="F291" s="13" t="s">
        <v>1438</v>
      </c>
      <c r="G291" s="13" t="s">
        <v>1637</v>
      </c>
      <c r="H291" s="14">
        <v>45.6618</v>
      </c>
      <c r="I291" s="14">
        <v>20.9032</v>
      </c>
      <c r="J291" s="13" t="s">
        <v>1476</v>
      </c>
      <c r="K291" s="13" t="s">
        <v>2232</v>
      </c>
      <c r="L291" s="14">
        <v>7100.0</v>
      </c>
      <c r="M291" s="14">
        <v>7200.0</v>
      </c>
      <c r="N291" s="1">
        <v>7000.0</v>
      </c>
    </row>
    <row r="292">
      <c r="A292" s="23" t="s">
        <v>2233</v>
      </c>
      <c r="B292" s="24" t="s">
        <v>2234</v>
      </c>
      <c r="C292" s="13" t="s">
        <v>1209</v>
      </c>
      <c r="D292" s="13" t="s">
        <v>1209</v>
      </c>
      <c r="E292" s="13" t="s">
        <v>1439</v>
      </c>
      <c r="F292" s="13" t="s">
        <v>1438</v>
      </c>
      <c r="G292" s="13" t="s">
        <v>1637</v>
      </c>
      <c r="H292" s="14">
        <v>38.466745</v>
      </c>
      <c r="I292" s="14">
        <v>27.352116</v>
      </c>
      <c r="J292" s="13" t="s">
        <v>213</v>
      </c>
      <c r="K292" s="13" t="s">
        <v>2236</v>
      </c>
      <c r="L292" s="14">
        <v>8200.0</v>
      </c>
      <c r="M292" s="14">
        <v>8350.0</v>
      </c>
      <c r="N292" s="1">
        <v>8050.0</v>
      </c>
    </row>
    <row r="293">
      <c r="A293" s="23" t="s">
        <v>2093</v>
      </c>
      <c r="B293" s="24" t="s">
        <v>2237</v>
      </c>
      <c r="C293" s="13" t="s">
        <v>1114</v>
      </c>
      <c r="D293" s="13" t="s">
        <v>1115</v>
      </c>
      <c r="E293" s="13" t="s">
        <v>2095</v>
      </c>
      <c r="F293" s="13" t="s">
        <v>1438</v>
      </c>
      <c r="G293" s="13" t="s">
        <v>2238</v>
      </c>
      <c r="H293" s="14">
        <v>48.504</v>
      </c>
      <c r="I293" s="14">
        <v>2.2136</v>
      </c>
      <c r="J293" s="13" t="s">
        <v>1209</v>
      </c>
      <c r="K293" s="13" t="s">
        <v>1519</v>
      </c>
      <c r="L293" s="14">
        <v>0.0</v>
      </c>
      <c r="M293" s="14">
        <v>20.0</v>
      </c>
      <c r="N293" s="1">
        <v>-20.0</v>
      </c>
    </row>
    <row r="294">
      <c r="A294" s="23" t="s">
        <v>2151</v>
      </c>
      <c r="B294" s="24" t="s">
        <v>2241</v>
      </c>
      <c r="C294" s="13" t="s">
        <v>195</v>
      </c>
      <c r="D294" s="13" t="s">
        <v>1484</v>
      </c>
      <c r="E294" s="13" t="s">
        <v>1439</v>
      </c>
      <c r="F294" s="13" t="s">
        <v>1438</v>
      </c>
      <c r="G294" s="13" t="s">
        <v>1637</v>
      </c>
      <c r="H294" s="14">
        <v>31.707985</v>
      </c>
      <c r="I294" s="14">
        <v>34.975283</v>
      </c>
      <c r="J294" s="13" t="s">
        <v>1050</v>
      </c>
      <c r="K294" s="13" t="s">
        <v>2158</v>
      </c>
      <c r="L294" s="14">
        <v>4550.0</v>
      </c>
      <c r="M294" s="14">
        <v>4650.0</v>
      </c>
      <c r="N294" s="1">
        <v>4450.0</v>
      </c>
    </row>
    <row r="295">
      <c r="A295" s="23" t="s">
        <v>2243</v>
      </c>
      <c r="B295" s="24" t="s">
        <v>2244</v>
      </c>
      <c r="C295" s="13" t="s">
        <v>195</v>
      </c>
      <c r="D295" s="13" t="s">
        <v>1947</v>
      </c>
      <c r="E295" s="13" t="s">
        <v>1439</v>
      </c>
      <c r="F295" s="13" t="s">
        <v>1438</v>
      </c>
      <c r="G295" s="13" t="s">
        <v>1637</v>
      </c>
      <c r="H295" s="14">
        <v>31.707985</v>
      </c>
      <c r="I295" s="14">
        <v>34.975283</v>
      </c>
      <c r="J295" s="13" t="s">
        <v>1050</v>
      </c>
      <c r="K295" s="13" t="s">
        <v>2158</v>
      </c>
      <c r="L295" s="14">
        <v>4400.0</v>
      </c>
      <c r="M295" s="14">
        <v>4600.0</v>
      </c>
      <c r="N295" s="1">
        <v>4150.0</v>
      </c>
    </row>
    <row r="296">
      <c r="A296" s="23" t="s">
        <v>2245</v>
      </c>
      <c r="B296" s="24" t="s">
        <v>2246</v>
      </c>
      <c r="C296" s="13" t="s">
        <v>195</v>
      </c>
      <c r="D296" s="13" t="s">
        <v>1904</v>
      </c>
      <c r="E296" s="13" t="s">
        <v>1439</v>
      </c>
      <c r="F296" s="13" t="s">
        <v>1438</v>
      </c>
      <c r="G296" s="13" t="s">
        <v>1637</v>
      </c>
      <c r="H296" s="14">
        <v>32.6641</v>
      </c>
      <c r="I296" s="14">
        <v>35.1083</v>
      </c>
      <c r="J296" s="13" t="s">
        <v>1050</v>
      </c>
      <c r="K296" s="13" t="s">
        <v>2247</v>
      </c>
      <c r="L296" s="14">
        <v>3550.0</v>
      </c>
      <c r="M296" s="14">
        <v>3600.0</v>
      </c>
      <c r="N296" s="1">
        <v>3500.0</v>
      </c>
    </row>
    <row r="297">
      <c r="A297" s="13" t="s">
        <v>2248</v>
      </c>
      <c r="B297" s="13" t="s">
        <v>2249</v>
      </c>
      <c r="C297" s="13" t="s">
        <v>209</v>
      </c>
      <c r="D297" s="13" t="s">
        <v>1805</v>
      </c>
      <c r="E297" s="13" t="s">
        <v>1439</v>
      </c>
      <c r="F297" s="13" t="s">
        <v>1438</v>
      </c>
      <c r="G297" s="13" t="s">
        <v>1637</v>
      </c>
      <c r="H297" s="14">
        <v>54.345</v>
      </c>
      <c r="I297" s="14">
        <v>-6.759</v>
      </c>
      <c r="J297" s="13" t="s">
        <v>437</v>
      </c>
      <c r="K297" s="13" t="s">
        <v>2251</v>
      </c>
      <c r="L297" s="14">
        <v>2969.5</v>
      </c>
      <c r="M297" s="14">
        <v>3062.0</v>
      </c>
      <c r="N297" s="1">
        <v>2877.0</v>
      </c>
    </row>
    <row r="298">
      <c r="A298" s="13" t="s">
        <v>2252</v>
      </c>
      <c r="B298" s="26" t="s">
        <v>2253</v>
      </c>
      <c r="C298" s="13" t="s">
        <v>1114</v>
      </c>
      <c r="D298" s="13" t="s">
        <v>1115</v>
      </c>
      <c r="E298" s="13" t="s">
        <v>1439</v>
      </c>
      <c r="F298" s="13" t="s">
        <v>1438</v>
      </c>
      <c r="G298" s="13" t="s">
        <v>1637</v>
      </c>
      <c r="H298" s="14">
        <v>54.345</v>
      </c>
      <c r="I298" s="14">
        <v>-6.759</v>
      </c>
      <c r="J298" s="13" t="s">
        <v>437</v>
      </c>
      <c r="K298" s="13" t="s">
        <v>2251</v>
      </c>
      <c r="L298" s="14">
        <v>2950.0</v>
      </c>
      <c r="M298" s="14">
        <v>3050.0</v>
      </c>
      <c r="N298" s="1">
        <v>2850.0</v>
      </c>
    </row>
    <row r="299">
      <c r="A299" s="13" t="s">
        <v>2255</v>
      </c>
      <c r="B299" s="26" t="s">
        <v>2256</v>
      </c>
      <c r="C299" s="13" t="s">
        <v>1240</v>
      </c>
      <c r="D299" s="13" t="s">
        <v>1259</v>
      </c>
      <c r="E299" s="13" t="s">
        <v>1439</v>
      </c>
      <c r="F299" s="13" t="s">
        <v>1438</v>
      </c>
      <c r="G299" s="13" t="s">
        <v>1637</v>
      </c>
      <c r="H299" s="14">
        <v>54.345</v>
      </c>
      <c r="I299" s="14">
        <v>-6.759</v>
      </c>
      <c r="J299" s="13" t="s">
        <v>437</v>
      </c>
      <c r="K299" s="13" t="s">
        <v>2251</v>
      </c>
      <c r="L299" s="14">
        <v>2950.0</v>
      </c>
      <c r="M299" s="14">
        <v>3050.0</v>
      </c>
      <c r="N299" s="1">
        <v>2850.0</v>
      </c>
    </row>
    <row r="300">
      <c r="A300" s="13" t="s">
        <v>2257</v>
      </c>
      <c r="B300" s="27" t="s">
        <v>2259</v>
      </c>
      <c r="C300" s="13" t="s">
        <v>1240</v>
      </c>
      <c r="D300" s="13" t="s">
        <v>2260</v>
      </c>
      <c r="E300" s="13" t="s">
        <v>1439</v>
      </c>
      <c r="F300" s="13" t="s">
        <v>1438</v>
      </c>
      <c r="G300" s="13" t="s">
        <v>1637</v>
      </c>
      <c r="H300" s="14">
        <v>54.345</v>
      </c>
      <c r="I300" s="14">
        <v>-6.759</v>
      </c>
      <c r="J300" s="13" t="s">
        <v>437</v>
      </c>
      <c r="K300" s="13" t="s">
        <v>2251</v>
      </c>
      <c r="L300" s="14">
        <v>2950.0</v>
      </c>
      <c r="M300" s="14">
        <v>3050.0</v>
      </c>
      <c r="N300" s="1">
        <v>2850.0</v>
      </c>
    </row>
    <row r="301">
      <c r="A301" s="13" t="s">
        <v>2263</v>
      </c>
      <c r="B301" s="13" t="s">
        <v>2264</v>
      </c>
      <c r="C301" s="13" t="s">
        <v>1114</v>
      </c>
      <c r="D301" s="13" t="s">
        <v>1115</v>
      </c>
      <c r="E301" s="13" t="s">
        <v>1439</v>
      </c>
      <c r="F301" s="13" t="s">
        <v>1438</v>
      </c>
      <c r="G301" s="13" t="s">
        <v>1637</v>
      </c>
      <c r="H301" s="14">
        <v>54.713611</v>
      </c>
      <c r="I301" s="14">
        <v>-5.8075</v>
      </c>
      <c r="J301" s="13" t="s">
        <v>437</v>
      </c>
      <c r="K301" s="13" t="s">
        <v>1449</v>
      </c>
      <c r="L301" s="14">
        <v>600.0</v>
      </c>
      <c r="M301" s="14">
        <v>750.0</v>
      </c>
      <c r="N301" s="1">
        <v>450.0</v>
      </c>
    </row>
    <row r="302">
      <c r="A302" s="13" t="s">
        <v>2265</v>
      </c>
      <c r="B302" s="13" t="s">
        <v>2267</v>
      </c>
      <c r="C302" s="13" t="s">
        <v>1114</v>
      </c>
      <c r="D302" s="13" t="s">
        <v>1115</v>
      </c>
      <c r="E302" s="13" t="s">
        <v>1439</v>
      </c>
      <c r="F302" s="13" t="s">
        <v>1438</v>
      </c>
      <c r="G302" s="13" t="s">
        <v>1637</v>
      </c>
      <c r="H302" s="14">
        <v>54.713611</v>
      </c>
      <c r="I302" s="14">
        <v>-5.8075</v>
      </c>
      <c r="J302" s="13" t="s">
        <v>437</v>
      </c>
      <c r="K302" s="13" t="s">
        <v>1449</v>
      </c>
      <c r="L302" s="14">
        <v>600.0</v>
      </c>
      <c r="M302" s="14">
        <v>750.0</v>
      </c>
      <c r="N302" s="1">
        <v>450.0</v>
      </c>
    </row>
    <row r="303">
      <c r="A303" s="13" t="s">
        <v>1436</v>
      </c>
      <c r="B303" s="13" t="s">
        <v>2269</v>
      </c>
      <c r="C303" s="13" t="s">
        <v>209</v>
      </c>
      <c r="D303" s="13" t="s">
        <v>1441</v>
      </c>
      <c r="E303" s="13" t="s">
        <v>1439</v>
      </c>
      <c r="F303" s="13" t="s">
        <v>1438</v>
      </c>
      <c r="G303" s="13" t="s">
        <v>1637</v>
      </c>
      <c r="H303" s="14">
        <v>54.713611</v>
      </c>
      <c r="I303" s="14">
        <v>-5.8075</v>
      </c>
      <c r="J303" s="13" t="s">
        <v>437</v>
      </c>
      <c r="K303" s="13" t="s">
        <v>1449</v>
      </c>
      <c r="L303" s="14">
        <v>394.0</v>
      </c>
      <c r="M303" s="14">
        <v>473.0</v>
      </c>
      <c r="N303" s="1">
        <v>315.0</v>
      </c>
    </row>
    <row r="304">
      <c r="A304" s="13" t="s">
        <v>2272</v>
      </c>
      <c r="B304" s="13" t="s">
        <v>2273</v>
      </c>
      <c r="C304" s="13" t="s">
        <v>1114</v>
      </c>
      <c r="D304" s="13" t="s">
        <v>1115</v>
      </c>
      <c r="E304" s="13" t="s">
        <v>1439</v>
      </c>
      <c r="F304" s="13" t="s">
        <v>1438</v>
      </c>
      <c r="G304" s="13" t="s">
        <v>1637</v>
      </c>
      <c r="H304" s="14">
        <v>54.713611</v>
      </c>
      <c r="I304" s="14">
        <v>-5.8075</v>
      </c>
      <c r="J304" s="13" t="s">
        <v>437</v>
      </c>
      <c r="K304" s="13" t="s">
        <v>1449</v>
      </c>
      <c r="L304" s="14">
        <v>600.0</v>
      </c>
      <c r="M304" s="14">
        <v>750.0</v>
      </c>
      <c r="N304" s="1">
        <v>450.0</v>
      </c>
    </row>
    <row r="305">
      <c r="A305" s="13" t="s">
        <v>1910</v>
      </c>
      <c r="B305" s="13" t="s">
        <v>2275</v>
      </c>
      <c r="C305" s="13" t="s">
        <v>113</v>
      </c>
      <c r="D305" s="13" t="s">
        <v>115</v>
      </c>
      <c r="E305" s="13" t="s">
        <v>1439</v>
      </c>
      <c r="F305" s="13" t="s">
        <v>1438</v>
      </c>
      <c r="G305" s="13" t="s">
        <v>1637</v>
      </c>
      <c r="H305" s="14">
        <v>36.80515232</v>
      </c>
      <c r="I305" s="14">
        <v>-3.188112529</v>
      </c>
      <c r="J305" s="13" t="s">
        <v>1116</v>
      </c>
      <c r="K305" s="13" t="s">
        <v>1917</v>
      </c>
      <c r="L305" s="14">
        <v>7100.0</v>
      </c>
      <c r="M305" s="14">
        <v>7246.0</v>
      </c>
      <c r="N305" s="1">
        <v>7008.0</v>
      </c>
    </row>
    <row r="306">
      <c r="A306" s="28" t="s">
        <v>2276</v>
      </c>
      <c r="B306" s="28" t="s">
        <v>2278</v>
      </c>
      <c r="C306" s="13" t="s">
        <v>195</v>
      </c>
      <c r="D306" s="13" t="s">
        <v>197</v>
      </c>
      <c r="E306" s="13" t="s">
        <v>1350</v>
      </c>
      <c r="F306" s="13" t="s">
        <v>1315</v>
      </c>
      <c r="G306" s="13" t="s">
        <v>2279</v>
      </c>
      <c r="H306" s="29">
        <v>51.84</v>
      </c>
      <c r="I306" s="29">
        <v>4.82</v>
      </c>
      <c r="J306" s="13" t="s">
        <v>1250</v>
      </c>
      <c r="K306" s="13" t="s">
        <v>2280</v>
      </c>
      <c r="L306" s="14">
        <v>7050.0</v>
      </c>
      <c r="M306" s="14">
        <v>7300.0</v>
      </c>
      <c r="N306" s="1">
        <v>6800.0</v>
      </c>
    </row>
    <row r="307">
      <c r="A307" s="28" t="s">
        <v>2281</v>
      </c>
      <c r="B307" s="28" t="s">
        <v>2283</v>
      </c>
      <c r="C307" s="13" t="s">
        <v>195</v>
      </c>
      <c r="D307" s="13" t="s">
        <v>197</v>
      </c>
      <c r="E307" s="13" t="s">
        <v>1350</v>
      </c>
      <c r="F307" s="13" t="s">
        <v>1315</v>
      </c>
      <c r="G307" s="13" t="s">
        <v>2279</v>
      </c>
      <c r="H307" s="29">
        <v>51.84</v>
      </c>
      <c r="I307" s="29">
        <v>4.82</v>
      </c>
      <c r="J307" s="13" t="s">
        <v>1250</v>
      </c>
      <c r="K307" s="13" t="s">
        <v>2286</v>
      </c>
      <c r="L307" s="14">
        <v>7150.0</v>
      </c>
      <c r="M307" s="14">
        <v>7300.0</v>
      </c>
      <c r="N307" s="1">
        <v>7000.0</v>
      </c>
    </row>
    <row r="308">
      <c r="A308" s="28" t="s">
        <v>2287</v>
      </c>
      <c r="B308" s="28" t="s">
        <v>2288</v>
      </c>
      <c r="C308" s="13" t="s">
        <v>195</v>
      </c>
      <c r="D308" s="13" t="s">
        <v>197</v>
      </c>
      <c r="E308" s="13" t="s">
        <v>1350</v>
      </c>
      <c r="F308" s="13" t="s">
        <v>1315</v>
      </c>
      <c r="G308" s="13" t="s">
        <v>2279</v>
      </c>
      <c r="H308" s="29">
        <v>51.84</v>
      </c>
      <c r="I308" s="29">
        <v>4.82</v>
      </c>
      <c r="J308" s="13" t="s">
        <v>1250</v>
      </c>
      <c r="K308" s="13" t="s">
        <v>2286</v>
      </c>
      <c r="L308" s="14">
        <v>7150.0</v>
      </c>
      <c r="M308" s="14">
        <v>7300.0</v>
      </c>
      <c r="N308" s="1">
        <v>7000.0</v>
      </c>
    </row>
    <row r="309">
      <c r="A309" s="28" t="s">
        <v>2291</v>
      </c>
      <c r="B309" s="28" t="s">
        <v>2292</v>
      </c>
      <c r="C309" s="13" t="s">
        <v>195</v>
      </c>
      <c r="D309" s="13" t="s">
        <v>197</v>
      </c>
      <c r="E309" s="13" t="s">
        <v>1335</v>
      </c>
      <c r="F309" s="13" t="s">
        <v>1315</v>
      </c>
      <c r="G309" s="13" t="s">
        <v>2279</v>
      </c>
      <c r="H309" s="29">
        <v>52.57</v>
      </c>
      <c r="I309" s="29">
        <v>5.64</v>
      </c>
      <c r="J309" s="13" t="s">
        <v>1250</v>
      </c>
      <c r="K309" s="13" t="s">
        <v>2294</v>
      </c>
      <c r="L309" s="14">
        <v>5350.0</v>
      </c>
      <c r="M309" s="14">
        <v>5450.0</v>
      </c>
      <c r="N309" s="1">
        <v>5250.0</v>
      </c>
    </row>
    <row r="310">
      <c r="A310" s="28" t="s">
        <v>2295</v>
      </c>
      <c r="B310" s="28" t="s">
        <v>2296</v>
      </c>
      <c r="C310" s="13" t="s">
        <v>195</v>
      </c>
      <c r="D310" s="13" t="s">
        <v>197</v>
      </c>
      <c r="E310" s="13" t="s">
        <v>1335</v>
      </c>
      <c r="F310" s="13" t="s">
        <v>1315</v>
      </c>
      <c r="G310" s="13" t="s">
        <v>2279</v>
      </c>
      <c r="H310" s="29">
        <v>52.57</v>
      </c>
      <c r="I310" s="29">
        <v>5.64</v>
      </c>
      <c r="J310" s="13" t="s">
        <v>1250</v>
      </c>
      <c r="K310" s="13" t="s">
        <v>2297</v>
      </c>
      <c r="L310" s="14">
        <v>5350.0</v>
      </c>
      <c r="M310" s="14">
        <v>5450.0</v>
      </c>
      <c r="N310" s="1">
        <v>5250.0</v>
      </c>
    </row>
    <row r="311">
      <c r="A311" s="28" t="s">
        <v>2298</v>
      </c>
      <c r="B311" s="28" t="s">
        <v>2299</v>
      </c>
      <c r="C311" s="13" t="s">
        <v>195</v>
      </c>
      <c r="D311" s="13" t="s">
        <v>197</v>
      </c>
      <c r="E311" s="13" t="s">
        <v>1335</v>
      </c>
      <c r="F311" s="13" t="s">
        <v>1315</v>
      </c>
      <c r="G311" s="13" t="s">
        <v>2279</v>
      </c>
      <c r="H311" s="29">
        <v>52.57</v>
      </c>
      <c r="I311" s="29">
        <v>5.64</v>
      </c>
      <c r="J311" s="13" t="s">
        <v>1250</v>
      </c>
      <c r="K311" s="13" t="s">
        <v>2297</v>
      </c>
      <c r="L311" s="14">
        <v>5350.0</v>
      </c>
      <c r="M311" s="14">
        <v>5450.0</v>
      </c>
      <c r="N311" s="1">
        <v>5250.0</v>
      </c>
    </row>
    <row r="312">
      <c r="A312" s="28" t="s">
        <v>2300</v>
      </c>
      <c r="B312" s="28" t="s">
        <v>2301</v>
      </c>
      <c r="C312" s="13" t="s">
        <v>195</v>
      </c>
      <c r="D312" s="13" t="s">
        <v>197</v>
      </c>
      <c r="E312" s="13" t="s">
        <v>1316</v>
      </c>
      <c r="F312" s="13" t="s">
        <v>1315</v>
      </c>
      <c r="G312" s="13" t="s">
        <v>2279</v>
      </c>
      <c r="H312" s="29">
        <v>51.98</v>
      </c>
      <c r="I312" s="29">
        <v>4.32</v>
      </c>
      <c r="J312" s="13" t="s">
        <v>1250</v>
      </c>
      <c r="K312" s="13" t="s">
        <v>2302</v>
      </c>
      <c r="L312" s="14">
        <v>4843.0</v>
      </c>
      <c r="M312" s="14">
        <v>4935.0</v>
      </c>
      <c r="N312" s="1">
        <v>4750.0</v>
      </c>
    </row>
    <row r="313">
      <c r="A313" s="28" t="s">
        <v>2304</v>
      </c>
      <c r="B313" s="28" t="s">
        <v>2306</v>
      </c>
      <c r="C313" s="13" t="s">
        <v>195</v>
      </c>
      <c r="D313" s="13" t="s">
        <v>197</v>
      </c>
      <c r="E313" s="13" t="s">
        <v>1316</v>
      </c>
      <c r="F313" s="13" t="s">
        <v>1315</v>
      </c>
      <c r="G313" s="13" t="s">
        <v>2279</v>
      </c>
      <c r="H313" s="29">
        <v>51.98</v>
      </c>
      <c r="I313" s="29">
        <v>4.32</v>
      </c>
      <c r="J313" s="13" t="s">
        <v>1250</v>
      </c>
      <c r="K313" s="13" t="s">
        <v>2302</v>
      </c>
      <c r="L313" s="14">
        <v>4843.0</v>
      </c>
      <c r="M313" s="14">
        <v>4935.0</v>
      </c>
      <c r="N313" s="1">
        <v>4750.0</v>
      </c>
    </row>
    <row r="314">
      <c r="A314" s="28" t="s">
        <v>2308</v>
      </c>
      <c r="B314" s="28" t="s">
        <v>2309</v>
      </c>
      <c r="C314" s="13" t="s">
        <v>195</v>
      </c>
      <c r="D314" s="13" t="s">
        <v>197</v>
      </c>
      <c r="E314" s="13" t="s">
        <v>1316</v>
      </c>
      <c r="F314" s="13" t="s">
        <v>1315</v>
      </c>
      <c r="G314" s="13" t="s">
        <v>2279</v>
      </c>
      <c r="H314" s="29">
        <v>51.98</v>
      </c>
      <c r="I314" s="29">
        <v>4.32</v>
      </c>
      <c r="J314" s="13" t="s">
        <v>1250</v>
      </c>
      <c r="K314" s="13" t="s">
        <v>2302</v>
      </c>
      <c r="L314" s="14">
        <v>4843.0</v>
      </c>
      <c r="M314" s="14">
        <v>4935.0</v>
      </c>
      <c r="N314" s="1">
        <v>4750.0</v>
      </c>
    </row>
    <row r="315">
      <c r="A315" s="28" t="s">
        <v>2311</v>
      </c>
      <c r="B315" s="28" t="s">
        <v>2312</v>
      </c>
      <c r="C315" s="13" t="s">
        <v>195</v>
      </c>
      <c r="D315" s="13" t="s">
        <v>197</v>
      </c>
      <c r="E315" s="13" t="s">
        <v>1350</v>
      </c>
      <c r="F315" s="13" t="s">
        <v>1315</v>
      </c>
      <c r="G315" s="13" t="s">
        <v>2279</v>
      </c>
      <c r="H315" s="29">
        <v>51.84</v>
      </c>
      <c r="I315" s="29">
        <v>4.82</v>
      </c>
      <c r="J315" s="13" t="s">
        <v>1250</v>
      </c>
      <c r="K315" s="13" t="s">
        <v>2286</v>
      </c>
      <c r="L315" s="14">
        <v>7150.0</v>
      </c>
      <c r="M315" s="14">
        <v>7300.0</v>
      </c>
      <c r="N315" s="1">
        <v>7000.0</v>
      </c>
    </row>
    <row r="316">
      <c r="A316" s="28" t="s">
        <v>2314</v>
      </c>
      <c r="B316" s="28" t="s">
        <v>2316</v>
      </c>
      <c r="C316" s="13" t="s">
        <v>195</v>
      </c>
      <c r="D316" s="13" t="s">
        <v>197</v>
      </c>
      <c r="E316" s="13" t="s">
        <v>1316</v>
      </c>
      <c r="F316" s="13" t="s">
        <v>1315</v>
      </c>
      <c r="G316" s="13" t="s">
        <v>2279</v>
      </c>
      <c r="H316" s="29">
        <v>51.19</v>
      </c>
      <c r="I316" s="29">
        <v>-1.79</v>
      </c>
      <c r="J316" s="13" t="s">
        <v>804</v>
      </c>
      <c r="K316" s="13" t="s">
        <v>2317</v>
      </c>
      <c r="L316" s="14">
        <v>4500.0</v>
      </c>
      <c r="M316" s="14">
        <v>4600.0</v>
      </c>
      <c r="N316" s="1">
        <v>4400.0</v>
      </c>
    </row>
    <row r="317">
      <c r="A317" s="24" t="s">
        <v>2318</v>
      </c>
      <c r="B317" s="24" t="s">
        <v>2320</v>
      </c>
      <c r="C317" s="13" t="s">
        <v>209</v>
      </c>
      <c r="D317" s="13" t="s">
        <v>2321</v>
      </c>
      <c r="E317" s="13" t="s">
        <v>1316</v>
      </c>
      <c r="F317" s="13" t="s">
        <v>1315</v>
      </c>
      <c r="G317" s="13" t="s">
        <v>2279</v>
      </c>
      <c r="H317" s="29">
        <v>36.6</v>
      </c>
      <c r="I317" s="29">
        <v>114.1</v>
      </c>
      <c r="J317" s="13" t="s">
        <v>2051</v>
      </c>
      <c r="K317" s="13" t="s">
        <v>2322</v>
      </c>
      <c r="L317" s="14">
        <v>7626.0</v>
      </c>
      <c r="M317" s="14">
        <v>7672.0</v>
      </c>
      <c r="N317" s="1">
        <v>7580.0</v>
      </c>
    </row>
    <row r="318">
      <c r="A318" s="24" t="s">
        <v>2323</v>
      </c>
      <c r="B318" s="24" t="s">
        <v>2324</v>
      </c>
      <c r="C318" s="13" t="s">
        <v>1114</v>
      </c>
      <c r="D318" s="13" t="s">
        <v>2325</v>
      </c>
      <c r="E318" s="13" t="s">
        <v>1316</v>
      </c>
      <c r="F318" s="13" t="s">
        <v>1315</v>
      </c>
      <c r="G318" s="13" t="s">
        <v>2279</v>
      </c>
      <c r="H318" s="29">
        <v>36.6</v>
      </c>
      <c r="I318" s="29">
        <v>114.1</v>
      </c>
      <c r="J318" s="13" t="s">
        <v>2051</v>
      </c>
      <c r="K318" s="13" t="s">
        <v>2322</v>
      </c>
      <c r="L318" s="14">
        <v>7700.0</v>
      </c>
      <c r="M318" s="14">
        <v>7950.0</v>
      </c>
      <c r="N318" s="1">
        <v>7450.0</v>
      </c>
    </row>
    <row r="319">
      <c r="A319" s="24" t="s">
        <v>2326</v>
      </c>
      <c r="B319" s="24" t="s">
        <v>2327</v>
      </c>
      <c r="C319" s="13" t="s">
        <v>1114</v>
      </c>
      <c r="D319" s="13" t="s">
        <v>2328</v>
      </c>
      <c r="E319" s="13" t="s">
        <v>1316</v>
      </c>
      <c r="F319" s="13" t="s">
        <v>1315</v>
      </c>
      <c r="G319" s="13" t="s">
        <v>2279</v>
      </c>
      <c r="H319" s="29">
        <v>36.6</v>
      </c>
      <c r="I319" s="29">
        <v>114.1</v>
      </c>
      <c r="J319" s="13" t="s">
        <v>2051</v>
      </c>
      <c r="K319" s="13" t="s">
        <v>2322</v>
      </c>
      <c r="L319" s="14">
        <v>7700.0</v>
      </c>
      <c r="M319" s="14">
        <v>7950.0</v>
      </c>
      <c r="N319" s="1">
        <v>7450.0</v>
      </c>
    </row>
    <row r="320">
      <c r="A320" s="24" t="s">
        <v>2331</v>
      </c>
      <c r="B320" s="24" t="s">
        <v>2332</v>
      </c>
      <c r="C320" s="13" t="s">
        <v>1114</v>
      </c>
      <c r="D320" s="13" t="s">
        <v>1115</v>
      </c>
      <c r="E320" s="13" t="s">
        <v>1316</v>
      </c>
      <c r="F320" s="13" t="s">
        <v>1315</v>
      </c>
      <c r="G320" s="13" t="s">
        <v>2279</v>
      </c>
      <c r="H320" s="29">
        <v>36.6</v>
      </c>
      <c r="I320" s="29">
        <v>114.1</v>
      </c>
      <c r="J320" s="13" t="s">
        <v>2051</v>
      </c>
      <c r="K320" s="13" t="s">
        <v>2322</v>
      </c>
      <c r="L320" s="14">
        <v>7750.0</v>
      </c>
      <c r="M320" s="14">
        <v>7828.0</v>
      </c>
      <c r="N320" s="1">
        <v>7671.0</v>
      </c>
    </row>
    <row r="321">
      <c r="A321" s="24" t="s">
        <v>2335</v>
      </c>
      <c r="B321" s="24" t="s">
        <v>2337</v>
      </c>
      <c r="C321" s="13" t="s">
        <v>195</v>
      </c>
      <c r="D321" s="13" t="s">
        <v>197</v>
      </c>
      <c r="E321" s="13" t="s">
        <v>1316</v>
      </c>
      <c r="F321" s="13" t="s">
        <v>1315</v>
      </c>
      <c r="G321" s="13" t="s">
        <v>2279</v>
      </c>
      <c r="H321" s="29">
        <v>34.8</v>
      </c>
      <c r="I321" s="29">
        <v>111.2</v>
      </c>
      <c r="J321" s="13" t="s">
        <v>2051</v>
      </c>
      <c r="K321" s="13" t="s">
        <v>2339</v>
      </c>
      <c r="L321" s="14">
        <v>4892.0</v>
      </c>
      <c r="M321" s="14">
        <v>4959.0</v>
      </c>
      <c r="N321" s="1">
        <v>4825.0</v>
      </c>
    </row>
    <row r="322">
      <c r="A322" s="24" t="s">
        <v>2341</v>
      </c>
      <c r="B322" s="24" t="s">
        <v>2342</v>
      </c>
      <c r="C322" s="13" t="s">
        <v>195</v>
      </c>
      <c r="D322" s="13" t="s">
        <v>197</v>
      </c>
      <c r="E322" s="13" t="s">
        <v>1316</v>
      </c>
      <c r="F322" s="13" t="s">
        <v>1315</v>
      </c>
      <c r="G322" s="13" t="s">
        <v>2279</v>
      </c>
      <c r="H322" s="29">
        <v>34.8</v>
      </c>
      <c r="I322" s="29">
        <v>111.2</v>
      </c>
      <c r="J322" s="13" t="s">
        <v>2051</v>
      </c>
      <c r="K322" s="13" t="s">
        <v>2339</v>
      </c>
      <c r="L322" s="14">
        <v>5180.0</v>
      </c>
      <c r="M322" s="14">
        <v>5309.0</v>
      </c>
      <c r="N322" s="1">
        <v>5050.0</v>
      </c>
    </row>
    <row r="323">
      <c r="A323" s="24" t="s">
        <v>2343</v>
      </c>
      <c r="B323" s="24" t="s">
        <v>2344</v>
      </c>
      <c r="C323" s="13" t="s">
        <v>195</v>
      </c>
      <c r="D323" s="13" t="s">
        <v>197</v>
      </c>
      <c r="E323" s="13" t="s">
        <v>1316</v>
      </c>
      <c r="F323" s="13" t="s">
        <v>1315</v>
      </c>
      <c r="G323" s="13" t="s">
        <v>2279</v>
      </c>
      <c r="H323" s="29">
        <v>34.4</v>
      </c>
      <c r="I323" s="29">
        <v>113.7</v>
      </c>
      <c r="J323" s="13" t="s">
        <v>2051</v>
      </c>
      <c r="K323" s="13" t="s">
        <v>2346</v>
      </c>
      <c r="L323" s="14">
        <v>2227.0</v>
      </c>
      <c r="M323" s="14">
        <v>2326.0</v>
      </c>
      <c r="N323" s="1">
        <v>2127.0</v>
      </c>
    </row>
    <row r="324">
      <c r="A324" s="24" t="s">
        <v>2347</v>
      </c>
      <c r="B324" s="24" t="s">
        <v>2348</v>
      </c>
      <c r="C324" s="13" t="s">
        <v>195</v>
      </c>
      <c r="D324" s="13" t="s">
        <v>197</v>
      </c>
      <c r="E324" s="13" t="s">
        <v>1350</v>
      </c>
      <c r="F324" s="13" t="s">
        <v>1315</v>
      </c>
      <c r="G324" s="13" t="s">
        <v>2279</v>
      </c>
      <c r="H324" s="29">
        <v>34.4</v>
      </c>
      <c r="I324" s="29">
        <v>113.7</v>
      </c>
      <c r="J324" s="13" t="s">
        <v>2051</v>
      </c>
      <c r="K324" s="13" t="s">
        <v>2346</v>
      </c>
      <c r="L324" s="14">
        <v>2537.0</v>
      </c>
      <c r="M324" s="14">
        <v>2706.0</v>
      </c>
      <c r="N324" s="1">
        <v>2367.0</v>
      </c>
    </row>
    <row r="325">
      <c r="A325" s="24" t="s">
        <v>2351</v>
      </c>
      <c r="B325" s="24" t="s">
        <v>2352</v>
      </c>
      <c r="C325" s="13" t="s">
        <v>195</v>
      </c>
      <c r="D325" s="13" t="s">
        <v>197</v>
      </c>
      <c r="E325" s="13" t="s">
        <v>1316</v>
      </c>
      <c r="F325" s="13" t="s">
        <v>1315</v>
      </c>
      <c r="G325" s="13" t="s">
        <v>2279</v>
      </c>
      <c r="H325" s="29">
        <v>34.8</v>
      </c>
      <c r="I325" s="29">
        <v>112.6</v>
      </c>
      <c r="J325" s="13" t="s">
        <v>2051</v>
      </c>
      <c r="K325" s="13" t="s">
        <v>2354</v>
      </c>
      <c r="L325" s="14">
        <v>1626.0</v>
      </c>
      <c r="M325" s="14">
        <v>1705.0</v>
      </c>
      <c r="N325" s="1">
        <v>1548.0</v>
      </c>
    </row>
    <row r="326">
      <c r="A326" s="24" t="s">
        <v>2355</v>
      </c>
      <c r="B326" s="24" t="s">
        <v>2356</v>
      </c>
      <c r="C326" s="13" t="s">
        <v>1209</v>
      </c>
      <c r="D326" s="13" t="s">
        <v>1209</v>
      </c>
      <c r="E326" s="13" t="s">
        <v>1316</v>
      </c>
      <c r="F326" s="13" t="s">
        <v>1315</v>
      </c>
      <c r="G326" s="13" t="s">
        <v>2279</v>
      </c>
      <c r="H326" s="29">
        <v>34.2</v>
      </c>
      <c r="I326" s="29">
        <v>108.9</v>
      </c>
      <c r="J326" s="13" t="s">
        <v>2051</v>
      </c>
      <c r="K326" s="13" t="s">
        <v>2357</v>
      </c>
      <c r="L326" s="14">
        <v>2574.0</v>
      </c>
      <c r="M326" s="14">
        <v>2721.0</v>
      </c>
      <c r="N326" s="1">
        <v>2427.0</v>
      </c>
    </row>
    <row r="327">
      <c r="A327" s="24" t="s">
        <v>2358</v>
      </c>
      <c r="B327" s="24" t="s">
        <v>2359</v>
      </c>
      <c r="C327" s="13" t="s">
        <v>1114</v>
      </c>
      <c r="D327" s="13" t="s">
        <v>1115</v>
      </c>
      <c r="E327" s="13" t="s">
        <v>1316</v>
      </c>
      <c r="F327" s="13" t="s">
        <v>1315</v>
      </c>
      <c r="G327" s="13" t="s">
        <v>2279</v>
      </c>
      <c r="H327" s="29">
        <v>39.9</v>
      </c>
      <c r="I327" s="29">
        <v>111.2</v>
      </c>
      <c r="J327" s="13" t="s">
        <v>2051</v>
      </c>
      <c r="K327" s="13" t="s">
        <v>2360</v>
      </c>
      <c r="L327" s="14">
        <v>3292.0</v>
      </c>
      <c r="M327" s="14">
        <v>3371.0</v>
      </c>
      <c r="N327" s="1">
        <v>3212.0</v>
      </c>
    </row>
    <row r="328">
      <c r="A328" s="24" t="s">
        <v>2361</v>
      </c>
      <c r="B328" s="24" t="s">
        <v>2362</v>
      </c>
      <c r="C328" s="13" t="s">
        <v>209</v>
      </c>
      <c r="D328" s="13" t="s">
        <v>1507</v>
      </c>
      <c r="E328" s="13" t="s">
        <v>1316</v>
      </c>
      <c r="F328" s="13" t="s">
        <v>1315</v>
      </c>
      <c r="G328" s="13" t="s">
        <v>2279</v>
      </c>
      <c r="H328" s="29">
        <v>40.9</v>
      </c>
      <c r="I328" s="29">
        <v>114.9</v>
      </c>
      <c r="J328" s="13" t="s">
        <v>2051</v>
      </c>
      <c r="K328" s="13" t="s">
        <v>2363</v>
      </c>
      <c r="L328" s="14">
        <v>3986.0</v>
      </c>
      <c r="M328" s="14">
        <v>4086.0</v>
      </c>
      <c r="N328" s="1">
        <v>3885.0</v>
      </c>
    </row>
    <row r="329">
      <c r="A329" s="24" t="s">
        <v>2364</v>
      </c>
      <c r="B329" s="24" t="s">
        <v>2365</v>
      </c>
      <c r="C329" s="13" t="s">
        <v>209</v>
      </c>
      <c r="D329" s="13" t="s">
        <v>211</v>
      </c>
      <c r="E329" s="13" t="s">
        <v>1316</v>
      </c>
      <c r="F329" s="13" t="s">
        <v>1315</v>
      </c>
      <c r="G329" s="13" t="s">
        <v>2279</v>
      </c>
      <c r="H329" s="29">
        <v>40.9</v>
      </c>
      <c r="I329" s="29">
        <v>114.9</v>
      </c>
      <c r="J329" s="13" t="s">
        <v>2051</v>
      </c>
      <c r="K329" s="13" t="s">
        <v>2363</v>
      </c>
      <c r="L329" s="14">
        <v>3950.0</v>
      </c>
      <c r="M329" s="14">
        <v>4050.0</v>
      </c>
      <c r="N329" s="1">
        <v>3850.0</v>
      </c>
    </row>
    <row r="330">
      <c r="A330" s="24" t="s">
        <v>2366</v>
      </c>
      <c r="B330" s="24" t="s">
        <v>2367</v>
      </c>
      <c r="C330" s="13" t="s">
        <v>195</v>
      </c>
      <c r="D330" s="13" t="s">
        <v>197</v>
      </c>
      <c r="E330" s="13" t="s">
        <v>1316</v>
      </c>
      <c r="F330" s="13" t="s">
        <v>1315</v>
      </c>
      <c r="G330" s="13" t="s">
        <v>2279</v>
      </c>
      <c r="H330" s="29">
        <v>37.9</v>
      </c>
      <c r="I330" s="29">
        <v>114.4</v>
      </c>
      <c r="J330" s="13" t="s">
        <v>2051</v>
      </c>
      <c r="K330" s="13" t="s">
        <v>2368</v>
      </c>
      <c r="L330" s="14">
        <v>2507.0</v>
      </c>
      <c r="M330" s="14">
        <v>2670.0</v>
      </c>
      <c r="N330" s="1">
        <v>2343.0</v>
      </c>
    </row>
    <row r="331">
      <c r="A331" s="24" t="s">
        <v>2369</v>
      </c>
      <c r="B331" s="24" t="s">
        <v>2370</v>
      </c>
      <c r="C331" s="13" t="s">
        <v>195</v>
      </c>
      <c r="D331" s="13" t="s">
        <v>197</v>
      </c>
      <c r="E331" s="13" t="s">
        <v>1316</v>
      </c>
      <c r="F331" s="13" t="s">
        <v>1315</v>
      </c>
      <c r="G331" s="13" t="s">
        <v>2279</v>
      </c>
      <c r="H331" s="29">
        <v>41.6</v>
      </c>
      <c r="I331" s="29">
        <v>114.3</v>
      </c>
      <c r="J331" s="13" t="s">
        <v>2051</v>
      </c>
      <c r="K331" s="13" t="s">
        <v>2371</v>
      </c>
      <c r="L331" s="14">
        <v>795.0</v>
      </c>
      <c r="M331" s="14">
        <v>902.0</v>
      </c>
      <c r="N331" s="1">
        <v>688.0</v>
      </c>
    </row>
    <row r="332">
      <c r="A332" s="24" t="s">
        <v>2372</v>
      </c>
      <c r="B332" s="24" t="s">
        <v>2373</v>
      </c>
      <c r="C332" s="13" t="s">
        <v>209</v>
      </c>
      <c r="D332" s="13" t="s">
        <v>211</v>
      </c>
      <c r="E332" s="13" t="s">
        <v>1316</v>
      </c>
      <c r="F332" s="13" t="s">
        <v>1315</v>
      </c>
      <c r="G332" s="13" t="s">
        <v>2279</v>
      </c>
      <c r="H332" s="29">
        <v>41.6</v>
      </c>
      <c r="I332" s="29">
        <v>114.3</v>
      </c>
      <c r="J332" s="13" t="s">
        <v>2051</v>
      </c>
      <c r="K332" s="13" t="s">
        <v>2371</v>
      </c>
      <c r="L332" s="14">
        <v>800.0</v>
      </c>
      <c r="M332" s="14">
        <v>950.0</v>
      </c>
      <c r="N332" s="1">
        <v>650.0</v>
      </c>
    </row>
    <row r="333">
      <c r="A333" s="24" t="s">
        <v>2374</v>
      </c>
      <c r="B333" s="24" t="s">
        <v>2375</v>
      </c>
      <c r="C333" s="13" t="s">
        <v>195</v>
      </c>
      <c r="D333" s="13" t="s">
        <v>197</v>
      </c>
      <c r="E333" s="13" t="s">
        <v>1316</v>
      </c>
      <c r="F333" s="13" t="s">
        <v>1315</v>
      </c>
      <c r="G333" s="13" t="s">
        <v>2279</v>
      </c>
      <c r="H333" s="29">
        <v>31.4</v>
      </c>
      <c r="I333" s="29">
        <v>118.8</v>
      </c>
      <c r="J333" s="13" t="s">
        <v>2051</v>
      </c>
      <c r="K333" s="13" t="s">
        <v>2376</v>
      </c>
      <c r="L333" s="14">
        <v>5039.0</v>
      </c>
      <c r="M333" s="14">
        <v>5215.0</v>
      </c>
      <c r="N333" s="1">
        <v>4863.0</v>
      </c>
    </row>
    <row r="334">
      <c r="A334" s="24" t="s">
        <v>2377</v>
      </c>
      <c r="B334" s="24" t="s">
        <v>2378</v>
      </c>
      <c r="C334" s="13" t="s">
        <v>1114</v>
      </c>
      <c r="D334" s="13" t="s">
        <v>1115</v>
      </c>
      <c r="E334" s="13" t="s">
        <v>1316</v>
      </c>
      <c r="F334" s="13" t="s">
        <v>1315</v>
      </c>
      <c r="G334" s="13" t="s">
        <v>2279</v>
      </c>
      <c r="H334" s="29">
        <v>26.5</v>
      </c>
      <c r="I334" s="29">
        <v>99.9</v>
      </c>
      <c r="J334" s="13" t="s">
        <v>2051</v>
      </c>
      <c r="K334" s="13" t="s">
        <v>2381</v>
      </c>
      <c r="L334" s="14">
        <v>3429.0</v>
      </c>
      <c r="M334" s="14">
        <v>3482.0</v>
      </c>
      <c r="N334" s="1">
        <v>3375.0</v>
      </c>
    </row>
    <row r="335">
      <c r="A335" s="24" t="s">
        <v>2382</v>
      </c>
      <c r="B335" s="24" t="s">
        <v>2383</v>
      </c>
      <c r="C335" s="13" t="s">
        <v>1114</v>
      </c>
      <c r="D335" s="13" t="s">
        <v>1115</v>
      </c>
      <c r="E335" s="13" t="s">
        <v>1316</v>
      </c>
      <c r="F335" s="13" t="s">
        <v>1315</v>
      </c>
      <c r="G335" s="13" t="s">
        <v>2279</v>
      </c>
      <c r="H335" s="29">
        <v>26.5</v>
      </c>
      <c r="I335" s="29">
        <v>99.9</v>
      </c>
      <c r="J335" s="13" t="s">
        <v>2051</v>
      </c>
      <c r="K335" s="13" t="s">
        <v>2381</v>
      </c>
      <c r="L335" s="14">
        <v>2618.0</v>
      </c>
      <c r="M335" s="14">
        <v>2743.0</v>
      </c>
      <c r="N335" s="1">
        <v>2493.0</v>
      </c>
    </row>
    <row r="336">
      <c r="A336" s="24" t="s">
        <v>2384</v>
      </c>
      <c r="B336" s="24" t="s">
        <v>2385</v>
      </c>
      <c r="C336" s="13" t="s">
        <v>209</v>
      </c>
      <c r="D336" s="13" t="s">
        <v>2386</v>
      </c>
      <c r="E336" s="13" t="s">
        <v>1350</v>
      </c>
      <c r="F336" s="13" t="s">
        <v>1315</v>
      </c>
      <c r="G336" s="13" t="s">
        <v>2279</v>
      </c>
      <c r="H336" s="29">
        <v>27.3</v>
      </c>
      <c r="I336" s="29">
        <v>99.1</v>
      </c>
      <c r="J336" s="13" t="s">
        <v>2051</v>
      </c>
      <c r="K336" s="13" t="s">
        <v>2387</v>
      </c>
      <c r="L336" s="14">
        <v>3560.0</v>
      </c>
      <c r="M336" s="14">
        <v>3639.0</v>
      </c>
      <c r="N336" s="1">
        <v>3481.0</v>
      </c>
    </row>
    <row r="337">
      <c r="A337" s="24" t="s">
        <v>2388</v>
      </c>
      <c r="B337" s="24" t="s">
        <v>2389</v>
      </c>
      <c r="C337" s="13" t="s">
        <v>1114</v>
      </c>
      <c r="D337" s="13" t="s">
        <v>1115</v>
      </c>
      <c r="E337" s="13" t="s">
        <v>1350</v>
      </c>
      <c r="F337" s="13" t="s">
        <v>1315</v>
      </c>
      <c r="G337" s="13" t="s">
        <v>2279</v>
      </c>
      <c r="H337" s="29">
        <v>43.4</v>
      </c>
      <c r="I337" s="29">
        <v>83.3</v>
      </c>
      <c r="J337" s="13" t="s">
        <v>2051</v>
      </c>
      <c r="K337" s="13" t="s">
        <v>2390</v>
      </c>
      <c r="L337" s="14">
        <v>3200.0</v>
      </c>
      <c r="M337" s="14">
        <v>3450.0</v>
      </c>
      <c r="N337" s="1">
        <v>2950.0</v>
      </c>
    </row>
    <row r="338">
      <c r="A338" s="24" t="s">
        <v>2391</v>
      </c>
      <c r="B338" s="24" t="s">
        <v>2392</v>
      </c>
      <c r="C338" s="13" t="s">
        <v>209</v>
      </c>
      <c r="D338" s="13" t="s">
        <v>275</v>
      </c>
      <c r="E338" s="13" t="s">
        <v>1350</v>
      </c>
      <c r="F338" s="13" t="s">
        <v>1315</v>
      </c>
      <c r="G338" s="13" t="s">
        <v>2279</v>
      </c>
      <c r="H338" s="29">
        <v>44.8</v>
      </c>
      <c r="I338" s="29">
        <v>82.3</v>
      </c>
      <c r="J338" s="13" t="s">
        <v>2051</v>
      </c>
      <c r="K338" s="13" t="s">
        <v>2394</v>
      </c>
      <c r="L338" s="14">
        <v>801.0</v>
      </c>
      <c r="M338" s="14">
        <v>905.0</v>
      </c>
      <c r="N338" s="1">
        <v>698.0</v>
      </c>
    </row>
    <row r="339">
      <c r="A339" s="24" t="s">
        <v>2395</v>
      </c>
      <c r="B339" s="24" t="s">
        <v>2396</v>
      </c>
      <c r="C339" s="13" t="s">
        <v>209</v>
      </c>
      <c r="D339" s="13" t="s">
        <v>275</v>
      </c>
      <c r="E339" s="13" t="s">
        <v>1350</v>
      </c>
      <c r="F339" s="13" t="s">
        <v>1315</v>
      </c>
      <c r="G339" s="13" t="s">
        <v>2279</v>
      </c>
      <c r="H339" s="29">
        <v>44.8</v>
      </c>
      <c r="I339" s="29">
        <v>82.3</v>
      </c>
      <c r="J339" s="13" t="s">
        <v>2051</v>
      </c>
      <c r="K339" s="13" t="s">
        <v>2394</v>
      </c>
      <c r="L339" s="14">
        <v>800.0</v>
      </c>
      <c r="M339" s="14">
        <v>950.0</v>
      </c>
      <c r="N339" s="1">
        <v>650.0</v>
      </c>
    </row>
    <row r="340">
      <c r="A340" s="13" t="s">
        <v>2399</v>
      </c>
      <c r="B340" s="31" t="s">
        <v>2400</v>
      </c>
      <c r="C340" s="13" t="s">
        <v>1209</v>
      </c>
      <c r="D340" s="13" t="s">
        <v>1209</v>
      </c>
      <c r="E340" s="13" t="s">
        <v>1350</v>
      </c>
      <c r="F340" s="13" t="s">
        <v>1315</v>
      </c>
      <c r="G340" s="13" t="s">
        <v>2279</v>
      </c>
      <c r="H340" s="13" t="s">
        <v>1209</v>
      </c>
      <c r="I340" s="13" t="s">
        <v>1209</v>
      </c>
      <c r="J340" s="13" t="s">
        <v>2171</v>
      </c>
      <c r="K340" s="13" t="s">
        <v>2401</v>
      </c>
      <c r="L340" s="14">
        <v>6950.0</v>
      </c>
      <c r="M340" s="14">
        <v>7350.0</v>
      </c>
      <c r="N340" s="1">
        <v>6450.0</v>
      </c>
    </row>
    <row r="341">
      <c r="A341" s="13" t="s">
        <v>2404</v>
      </c>
      <c r="B341" s="31" t="s">
        <v>2405</v>
      </c>
      <c r="C341" s="13" t="s">
        <v>1209</v>
      </c>
      <c r="D341" s="13" t="s">
        <v>1209</v>
      </c>
      <c r="E341" s="13" t="s">
        <v>1316</v>
      </c>
      <c r="F341" s="13" t="s">
        <v>1315</v>
      </c>
      <c r="G341" s="13" t="s">
        <v>2279</v>
      </c>
      <c r="H341" s="13" t="s">
        <v>1209</v>
      </c>
      <c r="I341" s="13" t="s">
        <v>1209</v>
      </c>
      <c r="J341" s="13" t="s">
        <v>2171</v>
      </c>
      <c r="K341" s="13" t="s">
        <v>2406</v>
      </c>
      <c r="L341" s="14">
        <v>4700.0</v>
      </c>
      <c r="M341" s="14">
        <v>4750.0</v>
      </c>
      <c r="N341" s="1">
        <v>4550.0</v>
      </c>
    </row>
    <row r="342">
      <c r="A342" s="13" t="s">
        <v>2407</v>
      </c>
      <c r="B342" s="31" t="s">
        <v>2408</v>
      </c>
      <c r="C342" s="13" t="s">
        <v>1209</v>
      </c>
      <c r="D342" s="13" t="s">
        <v>1209</v>
      </c>
      <c r="E342" s="13" t="s">
        <v>1316</v>
      </c>
      <c r="F342" s="13" t="s">
        <v>1315</v>
      </c>
      <c r="G342" s="13" t="s">
        <v>2279</v>
      </c>
      <c r="H342" s="13" t="s">
        <v>1209</v>
      </c>
      <c r="I342" s="13" t="s">
        <v>1209</v>
      </c>
      <c r="J342" s="13" t="s">
        <v>2171</v>
      </c>
      <c r="K342" s="13" t="s">
        <v>2409</v>
      </c>
      <c r="L342" s="14">
        <v>1000.0</v>
      </c>
      <c r="M342" s="13" t="s">
        <v>1209</v>
      </c>
      <c r="N342" s="1" t="s">
        <v>1209</v>
      </c>
    </row>
    <row r="343">
      <c r="A343" s="13" t="s">
        <v>2410</v>
      </c>
      <c r="B343" s="31" t="s">
        <v>2411</v>
      </c>
      <c r="C343" s="13" t="s">
        <v>1209</v>
      </c>
      <c r="D343" s="13" t="s">
        <v>1209</v>
      </c>
      <c r="E343" s="13" t="s">
        <v>1350</v>
      </c>
      <c r="F343" s="13" t="s">
        <v>1315</v>
      </c>
      <c r="G343" s="13" t="s">
        <v>2279</v>
      </c>
      <c r="H343" s="13" t="s">
        <v>1209</v>
      </c>
      <c r="I343" s="13" t="s">
        <v>1209</v>
      </c>
      <c r="J343" s="13" t="s">
        <v>2171</v>
      </c>
      <c r="K343" s="13" t="s">
        <v>2412</v>
      </c>
      <c r="L343" s="14">
        <v>6200.0</v>
      </c>
      <c r="M343" s="13" t="s">
        <v>1209</v>
      </c>
      <c r="N343" s="1" t="s">
        <v>1209</v>
      </c>
    </row>
    <row r="344">
      <c r="A344" s="13" t="s">
        <v>2413</v>
      </c>
      <c r="B344" s="31" t="s">
        <v>2414</v>
      </c>
      <c r="C344" s="13" t="s">
        <v>1209</v>
      </c>
      <c r="D344" s="13" t="s">
        <v>1209</v>
      </c>
      <c r="E344" s="13" t="s">
        <v>1316</v>
      </c>
      <c r="F344" s="13" t="s">
        <v>1315</v>
      </c>
      <c r="G344" s="13" t="s">
        <v>2279</v>
      </c>
      <c r="H344" s="13" t="s">
        <v>1209</v>
      </c>
      <c r="I344" s="13" t="s">
        <v>1209</v>
      </c>
      <c r="J344" s="13" t="s">
        <v>2415</v>
      </c>
      <c r="K344" s="13" t="s">
        <v>2416</v>
      </c>
      <c r="L344" s="14">
        <v>1450.0</v>
      </c>
      <c r="M344" s="13" t="s">
        <v>1209</v>
      </c>
      <c r="N344" s="1" t="s">
        <v>1209</v>
      </c>
    </row>
    <row r="345">
      <c r="A345" s="13" t="s">
        <v>2417</v>
      </c>
      <c r="B345" s="31" t="s">
        <v>2418</v>
      </c>
      <c r="C345" s="13" t="s">
        <v>1209</v>
      </c>
      <c r="D345" s="13" t="s">
        <v>1209</v>
      </c>
      <c r="E345" s="13" t="s">
        <v>1316</v>
      </c>
      <c r="F345" s="13" t="s">
        <v>1315</v>
      </c>
      <c r="G345" s="13" t="s">
        <v>2279</v>
      </c>
      <c r="H345" s="13" t="s">
        <v>1209</v>
      </c>
      <c r="I345" s="13" t="s">
        <v>1209</v>
      </c>
      <c r="J345" s="13" t="s">
        <v>2419</v>
      </c>
      <c r="K345" s="13" t="s">
        <v>2420</v>
      </c>
      <c r="L345" s="14">
        <v>4400.0</v>
      </c>
      <c r="M345" s="13" t="s">
        <v>1209</v>
      </c>
      <c r="N345" s="1" t="s">
        <v>1209</v>
      </c>
    </row>
    <row r="346">
      <c r="A346" s="13" t="s">
        <v>2421</v>
      </c>
      <c r="B346" s="31" t="s">
        <v>2422</v>
      </c>
      <c r="C346" s="13" t="s">
        <v>1209</v>
      </c>
      <c r="D346" s="13" t="s">
        <v>1209</v>
      </c>
      <c r="E346" s="13" t="s">
        <v>1316</v>
      </c>
      <c r="F346" s="13" t="s">
        <v>1315</v>
      </c>
      <c r="G346" s="13" t="s">
        <v>2279</v>
      </c>
      <c r="H346" s="13" t="s">
        <v>1209</v>
      </c>
      <c r="I346" s="13" t="s">
        <v>1209</v>
      </c>
      <c r="J346" s="13" t="s">
        <v>2419</v>
      </c>
      <c r="K346" s="13" t="s">
        <v>2420</v>
      </c>
      <c r="L346" s="14">
        <v>4350.0</v>
      </c>
      <c r="M346" s="13" t="s">
        <v>1209</v>
      </c>
      <c r="N346" s="1" t="s">
        <v>1209</v>
      </c>
    </row>
    <row r="347">
      <c r="A347" s="13" t="s">
        <v>2423</v>
      </c>
      <c r="B347" s="31" t="s">
        <v>2424</v>
      </c>
      <c r="C347" s="13" t="s">
        <v>1209</v>
      </c>
      <c r="D347" s="13" t="s">
        <v>1209</v>
      </c>
      <c r="E347" s="13" t="s">
        <v>1335</v>
      </c>
      <c r="F347" s="13" t="s">
        <v>1315</v>
      </c>
      <c r="G347" s="13" t="s">
        <v>2279</v>
      </c>
      <c r="H347" s="13" t="s">
        <v>1209</v>
      </c>
      <c r="I347" s="13" t="s">
        <v>1209</v>
      </c>
      <c r="J347" s="13" t="s">
        <v>1104</v>
      </c>
      <c r="K347" s="13" t="s">
        <v>2425</v>
      </c>
      <c r="L347" s="13" t="s">
        <v>1209</v>
      </c>
      <c r="M347" s="13" t="s">
        <v>1472</v>
      </c>
      <c r="N347" s="1" t="s">
        <v>1472</v>
      </c>
    </row>
    <row r="348">
      <c r="A348" s="13" t="s">
        <v>2427</v>
      </c>
      <c r="B348" s="31" t="s">
        <v>2428</v>
      </c>
      <c r="C348" s="13" t="s">
        <v>1209</v>
      </c>
      <c r="D348" s="13" t="s">
        <v>1209</v>
      </c>
      <c r="E348" s="13" t="s">
        <v>1316</v>
      </c>
      <c r="F348" s="13" t="s">
        <v>1315</v>
      </c>
      <c r="G348" s="13" t="s">
        <v>2279</v>
      </c>
      <c r="H348" s="13" t="s">
        <v>1209</v>
      </c>
      <c r="I348" s="13" t="s">
        <v>1209</v>
      </c>
      <c r="J348" s="13" t="s">
        <v>213</v>
      </c>
      <c r="K348" s="13" t="s">
        <v>2429</v>
      </c>
      <c r="L348" s="14">
        <v>1625.0</v>
      </c>
      <c r="M348" s="14">
        <v>1650.0</v>
      </c>
      <c r="N348" s="1">
        <v>1500.0</v>
      </c>
    </row>
    <row r="349">
      <c r="A349" s="13" t="s">
        <v>2430</v>
      </c>
      <c r="B349" s="31" t="s">
        <v>2431</v>
      </c>
      <c r="C349" s="13" t="s">
        <v>1209</v>
      </c>
      <c r="D349" s="13" t="s">
        <v>1209</v>
      </c>
      <c r="E349" s="13" t="s">
        <v>1335</v>
      </c>
      <c r="F349" s="13" t="s">
        <v>1315</v>
      </c>
      <c r="G349" s="13" t="s">
        <v>2279</v>
      </c>
      <c r="H349" s="13" t="s">
        <v>1209</v>
      </c>
      <c r="I349" s="13" t="s">
        <v>1209</v>
      </c>
      <c r="J349" s="13" t="s">
        <v>1050</v>
      </c>
      <c r="K349" s="13" t="s">
        <v>2433</v>
      </c>
      <c r="L349" s="13" t="s">
        <v>1209</v>
      </c>
      <c r="M349" s="13" t="s">
        <v>1472</v>
      </c>
      <c r="N349" s="1" t="s">
        <v>1472</v>
      </c>
    </row>
    <row r="350">
      <c r="A350" s="13" t="s">
        <v>2434</v>
      </c>
      <c r="B350" s="31" t="s">
        <v>2435</v>
      </c>
      <c r="C350" s="13" t="s">
        <v>1209</v>
      </c>
      <c r="D350" s="13" t="s">
        <v>1209</v>
      </c>
      <c r="E350" s="13" t="s">
        <v>1335</v>
      </c>
      <c r="F350" s="13" t="s">
        <v>1315</v>
      </c>
      <c r="G350" s="13" t="s">
        <v>2279</v>
      </c>
      <c r="H350" s="13" t="s">
        <v>1209</v>
      </c>
      <c r="I350" s="13" t="s">
        <v>1209</v>
      </c>
      <c r="J350" s="13" t="s">
        <v>1050</v>
      </c>
      <c r="K350" s="13" t="s">
        <v>2436</v>
      </c>
      <c r="L350" s="14">
        <v>2950.0</v>
      </c>
      <c r="M350" s="14">
        <v>3200.0</v>
      </c>
      <c r="N350" s="1">
        <v>2700.0</v>
      </c>
    </row>
    <row r="351">
      <c r="A351" s="13" t="s">
        <v>2437</v>
      </c>
      <c r="B351" s="31" t="s">
        <v>2438</v>
      </c>
      <c r="C351" s="13" t="s">
        <v>1209</v>
      </c>
      <c r="D351" s="13" t="s">
        <v>1209</v>
      </c>
      <c r="E351" s="13" t="s">
        <v>1335</v>
      </c>
      <c r="F351" s="13" t="s">
        <v>1315</v>
      </c>
      <c r="G351" s="13" t="s">
        <v>2279</v>
      </c>
      <c r="H351" s="13" t="s">
        <v>1209</v>
      </c>
      <c r="I351" s="13" t="s">
        <v>1209</v>
      </c>
      <c r="J351" s="13" t="s">
        <v>1050</v>
      </c>
      <c r="K351" s="13" t="s">
        <v>2439</v>
      </c>
      <c r="L351" s="13" t="s">
        <v>1209</v>
      </c>
      <c r="M351" s="13" t="s">
        <v>1472</v>
      </c>
      <c r="N351" s="1" t="s">
        <v>1472</v>
      </c>
    </row>
    <row r="352">
      <c r="A352" s="13" t="s">
        <v>2440</v>
      </c>
      <c r="B352" s="31" t="s">
        <v>2441</v>
      </c>
      <c r="C352" s="13" t="s">
        <v>1209</v>
      </c>
      <c r="D352" s="13" t="s">
        <v>1209</v>
      </c>
      <c r="E352" s="13" t="s">
        <v>1335</v>
      </c>
      <c r="F352" s="13" t="s">
        <v>1315</v>
      </c>
      <c r="G352" s="13" t="s">
        <v>2279</v>
      </c>
      <c r="H352" s="13" t="s">
        <v>1209</v>
      </c>
      <c r="I352" s="13" t="s">
        <v>1209</v>
      </c>
      <c r="J352" s="13" t="s">
        <v>213</v>
      </c>
      <c r="K352" s="13" t="s">
        <v>2442</v>
      </c>
      <c r="L352" s="14">
        <v>11600.0</v>
      </c>
      <c r="M352" s="13" t="s">
        <v>1209</v>
      </c>
      <c r="N352" s="1" t="s">
        <v>1209</v>
      </c>
    </row>
    <row r="353">
      <c r="A353" s="13" t="s">
        <v>2444</v>
      </c>
      <c r="B353" s="31" t="s">
        <v>2445</v>
      </c>
      <c r="C353" s="13" t="s">
        <v>1209</v>
      </c>
      <c r="D353" s="13" t="s">
        <v>1209</v>
      </c>
      <c r="E353" s="13" t="s">
        <v>1335</v>
      </c>
      <c r="F353" s="13" t="s">
        <v>1315</v>
      </c>
      <c r="G353" s="13" t="s">
        <v>2279</v>
      </c>
      <c r="H353" s="13" t="s">
        <v>1209</v>
      </c>
      <c r="I353" s="13" t="s">
        <v>1209</v>
      </c>
      <c r="J353" s="13" t="s">
        <v>2419</v>
      </c>
      <c r="K353" s="13" t="s">
        <v>2446</v>
      </c>
      <c r="L353" s="14">
        <v>5000.0</v>
      </c>
      <c r="M353" s="13" t="s">
        <v>1209</v>
      </c>
      <c r="N353" s="1" t="s">
        <v>1209</v>
      </c>
    </row>
    <row r="354">
      <c r="A354" s="13" t="s">
        <v>2447</v>
      </c>
      <c r="B354" s="31" t="s">
        <v>2448</v>
      </c>
      <c r="C354" s="13" t="s">
        <v>1209</v>
      </c>
      <c r="D354" s="13" t="s">
        <v>1209</v>
      </c>
      <c r="E354" s="13" t="s">
        <v>1335</v>
      </c>
      <c r="F354" s="13" t="s">
        <v>1315</v>
      </c>
      <c r="G354" s="13" t="s">
        <v>2279</v>
      </c>
      <c r="H354" s="13" t="s">
        <v>1209</v>
      </c>
      <c r="I354" s="13" t="s">
        <v>1209</v>
      </c>
      <c r="J354" s="13" t="s">
        <v>2419</v>
      </c>
      <c r="K354" s="13" t="s">
        <v>2451</v>
      </c>
      <c r="L354" s="14">
        <v>4600.0</v>
      </c>
      <c r="M354" s="13" t="s">
        <v>1209</v>
      </c>
      <c r="N354" s="1" t="s">
        <v>1209</v>
      </c>
    </row>
    <row r="355">
      <c r="A355" s="13" t="s">
        <v>2452</v>
      </c>
      <c r="B355" s="31" t="s">
        <v>2453</v>
      </c>
      <c r="C355" s="13" t="s">
        <v>1209</v>
      </c>
      <c r="D355" s="13" t="s">
        <v>1209</v>
      </c>
      <c r="E355" s="13" t="s">
        <v>1316</v>
      </c>
      <c r="F355" s="13" t="s">
        <v>1315</v>
      </c>
      <c r="G355" s="13" t="s">
        <v>2279</v>
      </c>
      <c r="H355" s="13" t="s">
        <v>1209</v>
      </c>
      <c r="I355" s="13" t="s">
        <v>1209</v>
      </c>
      <c r="J355" s="13" t="s">
        <v>1476</v>
      </c>
      <c r="K355" s="13" t="s">
        <v>2454</v>
      </c>
      <c r="L355" s="14">
        <v>3350.0</v>
      </c>
      <c r="M355" s="14">
        <v>3350.0</v>
      </c>
      <c r="N355" s="1">
        <v>3250.0</v>
      </c>
    </row>
    <row r="356">
      <c r="A356" s="13" t="s">
        <v>2456</v>
      </c>
      <c r="B356" s="31" t="s">
        <v>2457</v>
      </c>
      <c r="C356" s="13" t="s">
        <v>1209</v>
      </c>
      <c r="D356" s="13" t="s">
        <v>1209</v>
      </c>
      <c r="E356" s="13" t="s">
        <v>1335</v>
      </c>
      <c r="F356" s="13" t="s">
        <v>1315</v>
      </c>
      <c r="G356" s="13" t="s">
        <v>2279</v>
      </c>
      <c r="H356" s="13" t="s">
        <v>1209</v>
      </c>
      <c r="I356" s="13" t="s">
        <v>1209</v>
      </c>
      <c r="J356" s="13" t="s">
        <v>1476</v>
      </c>
      <c r="K356" s="13" t="s">
        <v>2458</v>
      </c>
      <c r="L356" s="14">
        <v>5550.0</v>
      </c>
      <c r="M356" s="14">
        <v>5650.0</v>
      </c>
      <c r="N356" s="1">
        <v>5350.0</v>
      </c>
    </row>
    <row r="357">
      <c r="A357" s="13" t="s">
        <v>2459</v>
      </c>
      <c r="B357" s="31" t="s">
        <v>2460</v>
      </c>
      <c r="C357" s="13" t="s">
        <v>1209</v>
      </c>
      <c r="D357" s="13" t="s">
        <v>1209</v>
      </c>
      <c r="E357" s="13" t="s">
        <v>1316</v>
      </c>
      <c r="F357" s="13" t="s">
        <v>1315</v>
      </c>
      <c r="G357" s="13" t="s">
        <v>2279</v>
      </c>
      <c r="H357" s="13" t="s">
        <v>1209</v>
      </c>
      <c r="I357" s="13" t="s">
        <v>1209</v>
      </c>
      <c r="J357" s="13" t="s">
        <v>213</v>
      </c>
      <c r="K357" s="13" t="s">
        <v>2461</v>
      </c>
      <c r="L357" s="14">
        <v>2345.0</v>
      </c>
      <c r="M357" s="14">
        <v>2490.0</v>
      </c>
      <c r="N357" s="1">
        <v>2280.0</v>
      </c>
    </row>
    <row r="358">
      <c r="A358" s="13" t="s">
        <v>2462</v>
      </c>
      <c r="B358" s="31" t="s">
        <v>2463</v>
      </c>
      <c r="C358" s="13" t="s">
        <v>1209</v>
      </c>
      <c r="D358" s="13" t="s">
        <v>1209</v>
      </c>
      <c r="E358" s="13" t="s">
        <v>1316</v>
      </c>
      <c r="F358" s="13" t="s">
        <v>1315</v>
      </c>
      <c r="G358" s="13" t="s">
        <v>2279</v>
      </c>
      <c r="H358" s="13" t="s">
        <v>1209</v>
      </c>
      <c r="I358" s="13" t="s">
        <v>1209</v>
      </c>
      <c r="J358" s="13" t="s">
        <v>213</v>
      </c>
      <c r="K358" s="13" t="s">
        <v>2461</v>
      </c>
      <c r="L358" s="14">
        <v>2999.0</v>
      </c>
      <c r="M358" s="13" t="s">
        <v>1209</v>
      </c>
      <c r="N358" s="1" t="s">
        <v>1209</v>
      </c>
    </row>
    <row r="359">
      <c r="A359" s="13" t="s">
        <v>2464</v>
      </c>
      <c r="B359" s="31" t="s">
        <v>2465</v>
      </c>
      <c r="C359" s="13" t="s">
        <v>1209</v>
      </c>
      <c r="D359" s="13" t="s">
        <v>1209</v>
      </c>
      <c r="E359" s="13" t="s">
        <v>1316</v>
      </c>
      <c r="F359" s="13" t="s">
        <v>1315</v>
      </c>
      <c r="G359" s="13" t="s">
        <v>2279</v>
      </c>
      <c r="H359" s="13" t="s">
        <v>1209</v>
      </c>
      <c r="I359" s="13" t="s">
        <v>1209</v>
      </c>
      <c r="J359" s="13" t="s">
        <v>2419</v>
      </c>
      <c r="K359" s="13" t="s">
        <v>2420</v>
      </c>
      <c r="L359" s="14">
        <v>3700.0</v>
      </c>
      <c r="M359" s="13" t="s">
        <v>1209</v>
      </c>
      <c r="N359" s="1" t="s">
        <v>1209</v>
      </c>
    </row>
    <row r="360">
      <c r="A360" s="13" t="s">
        <v>2466</v>
      </c>
      <c r="B360" s="31" t="s">
        <v>2467</v>
      </c>
      <c r="C360" s="13" t="s">
        <v>1209</v>
      </c>
      <c r="D360" s="13" t="s">
        <v>1209</v>
      </c>
      <c r="E360" s="13" t="s">
        <v>1335</v>
      </c>
      <c r="F360" s="13" t="s">
        <v>1315</v>
      </c>
      <c r="G360" s="13" t="s">
        <v>2279</v>
      </c>
      <c r="H360" s="13" t="s">
        <v>1209</v>
      </c>
      <c r="I360" s="13" t="s">
        <v>1209</v>
      </c>
      <c r="J360" s="13" t="s">
        <v>2419</v>
      </c>
      <c r="K360" s="13" t="s">
        <v>2420</v>
      </c>
      <c r="L360" s="14">
        <v>4300.0</v>
      </c>
      <c r="M360" s="14">
        <v>4350.0</v>
      </c>
      <c r="N360" s="1">
        <v>4150.0</v>
      </c>
    </row>
    <row r="361">
      <c r="A361" s="13" t="s">
        <v>2468</v>
      </c>
      <c r="B361" s="31" t="s">
        <v>2469</v>
      </c>
      <c r="C361" s="13" t="s">
        <v>1209</v>
      </c>
      <c r="D361" s="13" t="s">
        <v>1209</v>
      </c>
      <c r="E361" s="13" t="s">
        <v>1335</v>
      </c>
      <c r="F361" s="13" t="s">
        <v>1315</v>
      </c>
      <c r="G361" s="13" t="s">
        <v>2279</v>
      </c>
      <c r="H361" s="13" t="s">
        <v>1209</v>
      </c>
      <c r="I361" s="13" t="s">
        <v>1209</v>
      </c>
      <c r="J361" s="13" t="s">
        <v>2419</v>
      </c>
      <c r="K361" s="13" t="s">
        <v>2420</v>
      </c>
      <c r="L361" s="14">
        <v>5800.0</v>
      </c>
      <c r="M361" s="14">
        <v>5850.0</v>
      </c>
      <c r="N361" s="1">
        <v>5650.0</v>
      </c>
    </row>
    <row r="362">
      <c r="A362" s="13" t="s">
        <v>2470</v>
      </c>
      <c r="B362" s="31" t="s">
        <v>2471</v>
      </c>
      <c r="C362" s="13" t="s">
        <v>1209</v>
      </c>
      <c r="D362" s="13" t="s">
        <v>1209</v>
      </c>
      <c r="E362" s="13" t="s">
        <v>1335</v>
      </c>
      <c r="F362" s="13" t="s">
        <v>1315</v>
      </c>
      <c r="G362" s="13" t="s">
        <v>2279</v>
      </c>
      <c r="H362" s="13" t="s">
        <v>1209</v>
      </c>
      <c r="I362" s="13" t="s">
        <v>1209</v>
      </c>
      <c r="J362" s="13" t="s">
        <v>2419</v>
      </c>
      <c r="K362" s="13" t="s">
        <v>2420</v>
      </c>
      <c r="L362" s="14">
        <v>4400.0</v>
      </c>
      <c r="M362" s="13" t="s">
        <v>1209</v>
      </c>
      <c r="N362" s="1" t="s">
        <v>1209</v>
      </c>
    </row>
    <row r="363">
      <c r="A363" s="13" t="s">
        <v>2472</v>
      </c>
      <c r="B363" s="31" t="s">
        <v>2473</v>
      </c>
      <c r="C363" s="13" t="s">
        <v>1209</v>
      </c>
      <c r="D363" s="13" t="s">
        <v>1209</v>
      </c>
      <c r="E363" s="13" t="s">
        <v>1335</v>
      </c>
      <c r="F363" s="13" t="s">
        <v>1315</v>
      </c>
      <c r="G363" s="13" t="s">
        <v>2279</v>
      </c>
      <c r="H363" s="13" t="s">
        <v>1209</v>
      </c>
      <c r="I363" s="13" t="s">
        <v>1209</v>
      </c>
      <c r="J363" s="13" t="s">
        <v>213</v>
      </c>
      <c r="K363" s="13" t="s">
        <v>1256</v>
      </c>
      <c r="L363" s="14">
        <v>8500.0</v>
      </c>
      <c r="M363" s="13" t="s">
        <v>1209</v>
      </c>
      <c r="N363" s="1" t="s">
        <v>1209</v>
      </c>
    </row>
    <row r="364">
      <c r="A364" s="13" t="s">
        <v>2476</v>
      </c>
      <c r="B364" s="31" t="s">
        <v>2477</v>
      </c>
      <c r="C364" s="13" t="s">
        <v>1209</v>
      </c>
      <c r="D364" s="13" t="s">
        <v>1209</v>
      </c>
      <c r="E364" s="13" t="s">
        <v>1350</v>
      </c>
      <c r="F364" s="13" t="s">
        <v>1315</v>
      </c>
      <c r="G364" s="13" t="s">
        <v>2279</v>
      </c>
      <c r="H364" s="13" t="s">
        <v>1209</v>
      </c>
      <c r="I364" s="13" t="s">
        <v>1209</v>
      </c>
      <c r="J364" s="13" t="s">
        <v>213</v>
      </c>
      <c r="K364" s="13" t="s">
        <v>2442</v>
      </c>
      <c r="L364" s="14">
        <v>10000.0</v>
      </c>
      <c r="M364" s="13" t="s">
        <v>1209</v>
      </c>
      <c r="N364" s="1" t="s">
        <v>1209</v>
      </c>
    </row>
    <row r="365">
      <c r="A365" s="13" t="s">
        <v>2478</v>
      </c>
      <c r="B365" s="31" t="s">
        <v>2479</v>
      </c>
      <c r="C365" s="13" t="s">
        <v>1209</v>
      </c>
      <c r="D365" s="13" t="s">
        <v>1209</v>
      </c>
      <c r="E365" s="13" t="s">
        <v>1350</v>
      </c>
      <c r="F365" s="13" t="s">
        <v>1315</v>
      </c>
      <c r="G365" s="13" t="s">
        <v>2279</v>
      </c>
      <c r="H365" s="13" t="s">
        <v>1209</v>
      </c>
      <c r="I365" s="13" t="s">
        <v>1209</v>
      </c>
      <c r="J365" s="13" t="s">
        <v>213</v>
      </c>
      <c r="K365" s="13" t="s">
        <v>2442</v>
      </c>
      <c r="L365" s="14">
        <v>10000.0</v>
      </c>
      <c r="M365" s="13" t="s">
        <v>1209</v>
      </c>
      <c r="N365" s="1" t="s">
        <v>1209</v>
      </c>
    </row>
    <row r="366">
      <c r="A366" s="13" t="s">
        <v>2480</v>
      </c>
      <c r="B366" s="31" t="s">
        <v>2481</v>
      </c>
      <c r="C366" s="13" t="s">
        <v>1209</v>
      </c>
      <c r="D366" s="13" t="s">
        <v>1209</v>
      </c>
      <c r="E366" s="13" t="s">
        <v>1335</v>
      </c>
      <c r="F366" s="13" t="s">
        <v>1315</v>
      </c>
      <c r="G366" s="13" t="s">
        <v>2279</v>
      </c>
      <c r="H366" s="13" t="s">
        <v>1209</v>
      </c>
      <c r="I366" s="13" t="s">
        <v>1209</v>
      </c>
      <c r="J366" s="13" t="s">
        <v>2419</v>
      </c>
      <c r="K366" s="13" t="s">
        <v>2482</v>
      </c>
      <c r="L366" s="14">
        <v>4500.0</v>
      </c>
      <c r="M366" s="13" t="s">
        <v>1209</v>
      </c>
      <c r="N366" s="1" t="s">
        <v>1209</v>
      </c>
    </row>
    <row r="367">
      <c r="A367" s="13" t="s">
        <v>2484</v>
      </c>
      <c r="B367" s="31" t="s">
        <v>2485</v>
      </c>
      <c r="C367" s="13" t="s">
        <v>1209</v>
      </c>
      <c r="D367" s="13" t="s">
        <v>1209</v>
      </c>
      <c r="E367" s="13" t="s">
        <v>1335</v>
      </c>
      <c r="F367" s="13" t="s">
        <v>1315</v>
      </c>
      <c r="G367" s="13" t="s">
        <v>2279</v>
      </c>
      <c r="H367" s="13" t="s">
        <v>1209</v>
      </c>
      <c r="I367" s="13" t="s">
        <v>1209</v>
      </c>
      <c r="J367" s="13" t="s">
        <v>2486</v>
      </c>
      <c r="K367" s="13" t="s">
        <v>2487</v>
      </c>
      <c r="L367" s="14">
        <v>5976.0</v>
      </c>
      <c r="M367" s="13" t="s">
        <v>1209</v>
      </c>
      <c r="N367" s="1" t="s">
        <v>1209</v>
      </c>
    </row>
    <row r="368">
      <c r="A368" s="13" t="s">
        <v>2488</v>
      </c>
      <c r="B368" s="31" t="s">
        <v>2489</v>
      </c>
      <c r="C368" s="13" t="s">
        <v>1209</v>
      </c>
      <c r="D368" s="13" t="s">
        <v>1209</v>
      </c>
      <c r="E368" s="13" t="s">
        <v>1335</v>
      </c>
      <c r="F368" s="13" t="s">
        <v>1315</v>
      </c>
      <c r="G368" s="13" t="s">
        <v>2279</v>
      </c>
      <c r="H368" s="13" t="s">
        <v>1209</v>
      </c>
      <c r="I368" s="13" t="s">
        <v>1209</v>
      </c>
      <c r="J368" s="13" t="s">
        <v>2486</v>
      </c>
      <c r="K368" s="13" t="s">
        <v>2487</v>
      </c>
      <c r="L368" s="13" t="s">
        <v>1209</v>
      </c>
      <c r="M368" s="13" t="s">
        <v>1472</v>
      </c>
      <c r="N368" s="1" t="s">
        <v>1472</v>
      </c>
    </row>
    <row r="369">
      <c r="A369" s="13" t="s">
        <v>2490</v>
      </c>
      <c r="B369" s="31" t="s">
        <v>2491</v>
      </c>
      <c r="C369" s="13" t="s">
        <v>1209</v>
      </c>
      <c r="D369" s="13" t="s">
        <v>1209</v>
      </c>
      <c r="E369" s="13" t="s">
        <v>1335</v>
      </c>
      <c r="F369" s="13" t="s">
        <v>1315</v>
      </c>
      <c r="G369" s="13" t="s">
        <v>2279</v>
      </c>
      <c r="H369" s="13" t="s">
        <v>1209</v>
      </c>
      <c r="I369" s="13" t="s">
        <v>1209</v>
      </c>
      <c r="J369" s="13" t="s">
        <v>2486</v>
      </c>
      <c r="K369" s="13" t="s">
        <v>2487</v>
      </c>
      <c r="L369" s="13" t="s">
        <v>1209</v>
      </c>
      <c r="M369" s="13" t="s">
        <v>1472</v>
      </c>
      <c r="N369" s="1" t="s">
        <v>1472</v>
      </c>
    </row>
    <row r="370">
      <c r="A370" s="13" t="s">
        <v>2492</v>
      </c>
      <c r="B370" s="31" t="s">
        <v>2493</v>
      </c>
      <c r="C370" s="13" t="s">
        <v>1209</v>
      </c>
      <c r="D370" s="13" t="s">
        <v>1209</v>
      </c>
      <c r="E370" s="13" t="s">
        <v>1350</v>
      </c>
      <c r="F370" s="13" t="s">
        <v>1315</v>
      </c>
      <c r="G370" s="13" t="s">
        <v>2279</v>
      </c>
      <c r="H370" s="13" t="s">
        <v>1209</v>
      </c>
      <c r="I370" s="13" t="s">
        <v>1209</v>
      </c>
      <c r="J370" s="13" t="s">
        <v>1764</v>
      </c>
      <c r="K370" s="13" t="s">
        <v>2494</v>
      </c>
      <c r="L370" s="14">
        <v>0.0</v>
      </c>
      <c r="M370" s="13" t="s">
        <v>1209</v>
      </c>
      <c r="N370" s="1" t="s">
        <v>1209</v>
      </c>
    </row>
    <row r="371">
      <c r="A371" s="13" t="s">
        <v>2495</v>
      </c>
      <c r="B371" s="31" t="s">
        <v>2496</v>
      </c>
      <c r="C371" s="13" t="s">
        <v>1209</v>
      </c>
      <c r="D371" s="13" t="s">
        <v>1209</v>
      </c>
      <c r="E371" s="13" t="s">
        <v>1316</v>
      </c>
      <c r="F371" s="13" t="s">
        <v>1315</v>
      </c>
      <c r="G371" s="13" t="s">
        <v>2279</v>
      </c>
      <c r="H371" s="13" t="s">
        <v>1209</v>
      </c>
      <c r="I371" s="13" t="s">
        <v>1209</v>
      </c>
      <c r="J371" s="13" t="s">
        <v>2497</v>
      </c>
      <c r="K371" s="13" t="s">
        <v>2498</v>
      </c>
      <c r="L371" s="14">
        <v>6300.0</v>
      </c>
      <c r="M371" s="14">
        <v>6350.0</v>
      </c>
      <c r="N371" s="1">
        <v>6150.0</v>
      </c>
    </row>
    <row r="372">
      <c r="A372" s="13" t="s">
        <v>2499</v>
      </c>
      <c r="B372" s="31" t="s">
        <v>2500</v>
      </c>
      <c r="C372" s="13" t="s">
        <v>1209</v>
      </c>
      <c r="D372" s="13" t="s">
        <v>1209</v>
      </c>
      <c r="E372" s="13" t="s">
        <v>1335</v>
      </c>
      <c r="F372" s="13" t="s">
        <v>1315</v>
      </c>
      <c r="G372" s="13" t="s">
        <v>2279</v>
      </c>
      <c r="H372" s="13" t="s">
        <v>1209</v>
      </c>
      <c r="I372" s="13" t="s">
        <v>1209</v>
      </c>
      <c r="J372" s="13" t="s">
        <v>2497</v>
      </c>
      <c r="K372" s="13" t="s">
        <v>2501</v>
      </c>
      <c r="L372" s="14">
        <v>875.0</v>
      </c>
      <c r="M372" s="14">
        <v>900.0</v>
      </c>
      <c r="N372" s="1">
        <v>750.0</v>
      </c>
    </row>
    <row r="373">
      <c r="A373" s="13" t="s">
        <v>2502</v>
      </c>
      <c r="B373" s="31" t="s">
        <v>2504</v>
      </c>
      <c r="C373" s="13" t="s">
        <v>1209</v>
      </c>
      <c r="D373" s="13" t="s">
        <v>1209</v>
      </c>
      <c r="E373" s="13" t="s">
        <v>1350</v>
      </c>
      <c r="F373" s="13" t="s">
        <v>1315</v>
      </c>
      <c r="G373" s="13" t="s">
        <v>2279</v>
      </c>
      <c r="H373" s="13" t="s">
        <v>1209</v>
      </c>
      <c r="I373" s="13" t="s">
        <v>1209</v>
      </c>
      <c r="J373" s="13" t="s">
        <v>295</v>
      </c>
      <c r="K373" s="13" t="s">
        <v>1409</v>
      </c>
      <c r="L373" s="14">
        <v>6500.0</v>
      </c>
      <c r="M373" s="13" t="s">
        <v>1209</v>
      </c>
      <c r="N373" s="1" t="s">
        <v>1209</v>
      </c>
    </row>
    <row r="374">
      <c r="A374" s="13" t="s">
        <v>2505</v>
      </c>
      <c r="B374" s="31" t="s">
        <v>2507</v>
      </c>
      <c r="C374" s="13" t="s">
        <v>1209</v>
      </c>
      <c r="D374" s="13" t="s">
        <v>1209</v>
      </c>
      <c r="E374" s="13" t="s">
        <v>1350</v>
      </c>
      <c r="F374" s="13" t="s">
        <v>1315</v>
      </c>
      <c r="G374" s="13" t="s">
        <v>2279</v>
      </c>
      <c r="H374" s="13" t="s">
        <v>1209</v>
      </c>
      <c r="I374" s="13" t="s">
        <v>1209</v>
      </c>
      <c r="J374" s="13" t="s">
        <v>295</v>
      </c>
      <c r="K374" s="13" t="s">
        <v>1409</v>
      </c>
      <c r="L374" s="14">
        <v>6500.0</v>
      </c>
      <c r="M374" s="13" t="s">
        <v>1209</v>
      </c>
      <c r="N374" s="1" t="s">
        <v>1209</v>
      </c>
    </row>
    <row r="375">
      <c r="A375" s="13" t="s">
        <v>2509</v>
      </c>
      <c r="B375" s="31" t="s">
        <v>2510</v>
      </c>
      <c r="C375" s="13" t="s">
        <v>1209</v>
      </c>
      <c r="D375" s="13" t="s">
        <v>1209</v>
      </c>
      <c r="E375" s="13" t="s">
        <v>1316</v>
      </c>
      <c r="F375" s="13" t="s">
        <v>1315</v>
      </c>
      <c r="G375" s="13" t="s">
        <v>2279</v>
      </c>
      <c r="H375" s="13" t="s">
        <v>1209</v>
      </c>
      <c r="I375" s="13" t="s">
        <v>1209</v>
      </c>
      <c r="J375" s="13" t="s">
        <v>295</v>
      </c>
      <c r="K375" s="13" t="s">
        <v>1409</v>
      </c>
      <c r="L375" s="14">
        <v>6500.0</v>
      </c>
      <c r="M375" s="13" t="s">
        <v>1209</v>
      </c>
      <c r="N375" s="1" t="s">
        <v>1209</v>
      </c>
    </row>
    <row r="376">
      <c r="A376" s="13" t="s">
        <v>2512</v>
      </c>
      <c r="B376" s="31" t="s">
        <v>2513</v>
      </c>
      <c r="C376" s="13" t="s">
        <v>1209</v>
      </c>
      <c r="D376" s="13" t="s">
        <v>1209</v>
      </c>
      <c r="E376" s="13" t="s">
        <v>1316</v>
      </c>
      <c r="F376" s="13" t="s">
        <v>1315</v>
      </c>
      <c r="G376" s="13" t="s">
        <v>2279</v>
      </c>
      <c r="H376" s="13" t="s">
        <v>1209</v>
      </c>
      <c r="I376" s="13" t="s">
        <v>1209</v>
      </c>
      <c r="J376" s="13" t="s">
        <v>295</v>
      </c>
      <c r="K376" s="13" t="s">
        <v>1409</v>
      </c>
      <c r="L376" s="14">
        <v>6500.0</v>
      </c>
      <c r="M376" s="13" t="s">
        <v>1209</v>
      </c>
      <c r="N376" s="1" t="s">
        <v>1209</v>
      </c>
    </row>
    <row r="377">
      <c r="A377" s="13" t="s">
        <v>2514</v>
      </c>
      <c r="B377" s="31" t="s">
        <v>2515</v>
      </c>
      <c r="C377" s="13" t="s">
        <v>1209</v>
      </c>
      <c r="D377" s="13" t="s">
        <v>1209</v>
      </c>
      <c r="E377" s="13" t="s">
        <v>1335</v>
      </c>
      <c r="F377" s="13" t="s">
        <v>1315</v>
      </c>
      <c r="G377" s="13" t="s">
        <v>2279</v>
      </c>
      <c r="H377" s="13" t="s">
        <v>1209</v>
      </c>
      <c r="I377" s="13" t="s">
        <v>1209</v>
      </c>
      <c r="J377" s="13" t="s">
        <v>295</v>
      </c>
      <c r="K377" s="13" t="s">
        <v>1409</v>
      </c>
      <c r="L377" s="14">
        <v>6500.0</v>
      </c>
      <c r="M377" s="13" t="s">
        <v>1209</v>
      </c>
      <c r="N377" s="1" t="s">
        <v>1209</v>
      </c>
    </row>
    <row r="378">
      <c r="A378" s="13" t="s">
        <v>2517</v>
      </c>
      <c r="B378" s="31" t="s">
        <v>2518</v>
      </c>
      <c r="C378" s="13" t="s">
        <v>1209</v>
      </c>
      <c r="D378" s="13" t="s">
        <v>1209</v>
      </c>
      <c r="E378" s="13" t="s">
        <v>1335</v>
      </c>
      <c r="F378" s="13" t="s">
        <v>1315</v>
      </c>
      <c r="G378" s="13" t="s">
        <v>2279</v>
      </c>
      <c r="H378" s="13" t="s">
        <v>1209</v>
      </c>
      <c r="I378" s="13" t="s">
        <v>1209</v>
      </c>
      <c r="J378" s="13" t="s">
        <v>2519</v>
      </c>
      <c r="K378" s="13" t="s">
        <v>2520</v>
      </c>
      <c r="L378" s="14">
        <v>5337.0</v>
      </c>
      <c r="M378" s="14">
        <v>5334.0</v>
      </c>
      <c r="N378" s="1">
        <v>5320.0</v>
      </c>
    </row>
    <row r="379">
      <c r="A379" s="13" t="s">
        <v>2523</v>
      </c>
      <c r="B379" s="31" t="s">
        <v>2524</v>
      </c>
      <c r="C379" s="13" t="s">
        <v>1209</v>
      </c>
      <c r="D379" s="13" t="s">
        <v>1209</v>
      </c>
      <c r="E379" s="13" t="s">
        <v>1335</v>
      </c>
      <c r="F379" s="13" t="s">
        <v>1315</v>
      </c>
      <c r="G379" s="13" t="s">
        <v>2279</v>
      </c>
      <c r="H379" s="13" t="s">
        <v>1209</v>
      </c>
      <c r="I379" s="13" t="s">
        <v>1209</v>
      </c>
      <c r="J379" s="13" t="s">
        <v>2519</v>
      </c>
      <c r="K379" s="13" t="s">
        <v>2520</v>
      </c>
      <c r="L379" s="14">
        <v>5337.0</v>
      </c>
      <c r="M379" s="14">
        <v>5334.0</v>
      </c>
      <c r="N379" s="1">
        <v>5320.0</v>
      </c>
    </row>
    <row r="380">
      <c r="A380" s="13" t="s">
        <v>2525</v>
      </c>
      <c r="B380" s="31" t="s">
        <v>2526</v>
      </c>
      <c r="C380" s="13" t="s">
        <v>1209</v>
      </c>
      <c r="D380" s="13" t="s">
        <v>1209</v>
      </c>
      <c r="E380" s="13" t="s">
        <v>1335</v>
      </c>
      <c r="F380" s="13" t="s">
        <v>1315</v>
      </c>
      <c r="G380" s="13" t="s">
        <v>2279</v>
      </c>
      <c r="H380" s="13" t="s">
        <v>1209</v>
      </c>
      <c r="I380" s="13" t="s">
        <v>1209</v>
      </c>
      <c r="J380" s="13" t="s">
        <v>2519</v>
      </c>
      <c r="K380" s="13" t="s">
        <v>2520</v>
      </c>
      <c r="L380" s="14">
        <v>5337.0</v>
      </c>
      <c r="M380" s="14">
        <v>5334.0</v>
      </c>
      <c r="N380" s="1">
        <v>5320.0</v>
      </c>
    </row>
    <row r="381">
      <c r="A381" s="13" t="s">
        <v>2529</v>
      </c>
      <c r="B381" s="31" t="s">
        <v>2530</v>
      </c>
      <c r="C381" s="13" t="s">
        <v>1209</v>
      </c>
      <c r="D381" s="13" t="s">
        <v>1209</v>
      </c>
      <c r="E381" s="13" t="s">
        <v>1335</v>
      </c>
      <c r="F381" s="13" t="s">
        <v>1315</v>
      </c>
      <c r="G381" s="13" t="s">
        <v>2279</v>
      </c>
      <c r="H381" s="13" t="s">
        <v>1209</v>
      </c>
      <c r="I381" s="13" t="s">
        <v>1209</v>
      </c>
      <c r="J381" s="13" t="s">
        <v>2519</v>
      </c>
      <c r="K381" s="13" t="s">
        <v>2520</v>
      </c>
      <c r="L381" s="14">
        <v>5337.0</v>
      </c>
      <c r="M381" s="14">
        <v>5334.0</v>
      </c>
      <c r="N381" s="1">
        <v>5320.0</v>
      </c>
    </row>
    <row r="382">
      <c r="A382" s="13" t="s">
        <v>2533</v>
      </c>
      <c r="B382" s="31" t="s">
        <v>2534</v>
      </c>
      <c r="C382" s="13" t="s">
        <v>1209</v>
      </c>
      <c r="D382" s="13" t="s">
        <v>1209</v>
      </c>
      <c r="E382" s="13" t="s">
        <v>1335</v>
      </c>
      <c r="F382" s="13" t="s">
        <v>1315</v>
      </c>
      <c r="G382" s="13" t="s">
        <v>2279</v>
      </c>
      <c r="H382" s="13" t="s">
        <v>1209</v>
      </c>
      <c r="I382" s="13" t="s">
        <v>1209</v>
      </c>
      <c r="J382" s="13" t="s">
        <v>2519</v>
      </c>
      <c r="K382" s="13" t="s">
        <v>2536</v>
      </c>
      <c r="L382" s="14">
        <v>4714.0</v>
      </c>
      <c r="M382" s="13" t="s">
        <v>1209</v>
      </c>
      <c r="N382" s="1" t="s">
        <v>1209</v>
      </c>
    </row>
    <row r="383">
      <c r="A383" s="13" t="s">
        <v>2537</v>
      </c>
      <c r="B383" s="31" t="s">
        <v>2538</v>
      </c>
      <c r="C383" s="13" t="s">
        <v>1209</v>
      </c>
      <c r="D383" s="13" t="s">
        <v>1209</v>
      </c>
      <c r="E383" s="13" t="s">
        <v>1335</v>
      </c>
      <c r="F383" s="13" t="s">
        <v>1315</v>
      </c>
      <c r="G383" s="13" t="s">
        <v>2279</v>
      </c>
      <c r="H383" s="13" t="s">
        <v>1209</v>
      </c>
      <c r="I383" s="13" t="s">
        <v>1209</v>
      </c>
      <c r="J383" s="13" t="s">
        <v>2519</v>
      </c>
      <c r="K383" s="13" t="s">
        <v>2539</v>
      </c>
      <c r="L383" s="14">
        <v>3700.0</v>
      </c>
      <c r="M383" s="13" t="s">
        <v>1209</v>
      </c>
      <c r="N383" s="1" t="s">
        <v>1209</v>
      </c>
    </row>
    <row r="384">
      <c r="A384" s="13" t="s">
        <v>2541</v>
      </c>
      <c r="B384" s="31" t="s">
        <v>2542</v>
      </c>
      <c r="C384" s="13" t="s">
        <v>1209</v>
      </c>
      <c r="D384" s="13" t="s">
        <v>1209</v>
      </c>
      <c r="E384" s="13" t="s">
        <v>1335</v>
      </c>
      <c r="F384" s="13" t="s">
        <v>1315</v>
      </c>
      <c r="G384" s="13" t="s">
        <v>2279</v>
      </c>
      <c r="H384" s="13" t="s">
        <v>1209</v>
      </c>
      <c r="I384" s="13" t="s">
        <v>1209</v>
      </c>
      <c r="J384" s="13" t="s">
        <v>2519</v>
      </c>
      <c r="K384" s="13" t="s">
        <v>2539</v>
      </c>
      <c r="L384" s="14">
        <v>4597.0</v>
      </c>
      <c r="M384" s="13" t="s">
        <v>1209</v>
      </c>
      <c r="N384" s="1" t="s">
        <v>1209</v>
      </c>
    </row>
    <row r="385">
      <c r="A385" s="13" t="s">
        <v>2543</v>
      </c>
      <c r="B385" s="31" t="s">
        <v>2544</v>
      </c>
      <c r="C385" s="13" t="s">
        <v>1209</v>
      </c>
      <c r="D385" s="13" t="s">
        <v>1209</v>
      </c>
      <c r="E385" s="13" t="s">
        <v>1350</v>
      </c>
      <c r="F385" s="13" t="s">
        <v>1315</v>
      </c>
      <c r="G385" s="13" t="s">
        <v>2279</v>
      </c>
      <c r="H385" s="13" t="s">
        <v>1209</v>
      </c>
      <c r="I385" s="13" t="s">
        <v>1209</v>
      </c>
      <c r="J385" s="13" t="s">
        <v>295</v>
      </c>
      <c r="K385" s="13" t="s">
        <v>2545</v>
      </c>
      <c r="L385" s="14">
        <v>6750.0</v>
      </c>
      <c r="M385" s="14">
        <v>7050.0</v>
      </c>
      <c r="N385" s="1">
        <v>6950.0</v>
      </c>
    </row>
    <row r="386">
      <c r="A386" s="13" t="s">
        <v>2546</v>
      </c>
      <c r="B386" s="31" t="s">
        <v>2547</v>
      </c>
      <c r="C386" s="13" t="s">
        <v>1209</v>
      </c>
      <c r="D386" s="13" t="s">
        <v>1209</v>
      </c>
      <c r="E386" s="13" t="s">
        <v>1316</v>
      </c>
      <c r="F386" s="13" t="s">
        <v>1315</v>
      </c>
      <c r="G386" s="13" t="s">
        <v>2279</v>
      </c>
      <c r="H386" s="13" t="s">
        <v>1209</v>
      </c>
      <c r="I386" s="13" t="s">
        <v>1209</v>
      </c>
      <c r="J386" s="13" t="s">
        <v>295</v>
      </c>
      <c r="K386" s="13" t="s">
        <v>2545</v>
      </c>
      <c r="L386" s="14">
        <v>6750.0</v>
      </c>
      <c r="M386" s="14">
        <v>7050.0</v>
      </c>
      <c r="N386" s="1">
        <v>6950.0</v>
      </c>
    </row>
    <row r="387">
      <c r="A387" s="13" t="s">
        <v>2548</v>
      </c>
      <c r="B387" s="31" t="s">
        <v>2549</v>
      </c>
      <c r="C387" s="13" t="s">
        <v>1209</v>
      </c>
      <c r="D387" s="13" t="s">
        <v>1209</v>
      </c>
      <c r="E387" s="13" t="s">
        <v>1316</v>
      </c>
      <c r="F387" s="13" t="s">
        <v>1315</v>
      </c>
      <c r="G387" s="13" t="s">
        <v>2279</v>
      </c>
      <c r="H387" s="13" t="s">
        <v>1209</v>
      </c>
      <c r="I387" s="13" t="s">
        <v>1209</v>
      </c>
      <c r="J387" s="13" t="s">
        <v>295</v>
      </c>
      <c r="K387" s="13" t="s">
        <v>2545</v>
      </c>
      <c r="L387" s="14">
        <v>6750.0</v>
      </c>
      <c r="M387" s="14">
        <v>7050.0</v>
      </c>
      <c r="N387" s="1">
        <v>6950.0</v>
      </c>
    </row>
    <row r="388">
      <c r="A388" s="13" t="s">
        <v>2550</v>
      </c>
      <c r="B388" s="31" t="s">
        <v>2551</v>
      </c>
      <c r="C388" s="13" t="s">
        <v>1209</v>
      </c>
      <c r="D388" s="13" t="s">
        <v>1209</v>
      </c>
      <c r="E388" s="13" t="s">
        <v>1316</v>
      </c>
      <c r="F388" s="13" t="s">
        <v>1315</v>
      </c>
      <c r="G388" s="13" t="s">
        <v>2279</v>
      </c>
      <c r="H388" s="13" t="s">
        <v>1209</v>
      </c>
      <c r="I388" s="13" t="s">
        <v>1209</v>
      </c>
      <c r="J388" s="13" t="s">
        <v>295</v>
      </c>
      <c r="K388" s="13" t="s">
        <v>2545</v>
      </c>
      <c r="L388" s="14">
        <v>6750.0</v>
      </c>
      <c r="M388" s="14">
        <v>7050.0</v>
      </c>
      <c r="N388" s="1">
        <v>6950.0</v>
      </c>
    </row>
    <row r="389">
      <c r="A389" s="13" t="s">
        <v>2554</v>
      </c>
      <c r="B389" s="31" t="s">
        <v>2555</v>
      </c>
      <c r="C389" s="13" t="s">
        <v>1209</v>
      </c>
      <c r="D389" s="13" t="s">
        <v>1209</v>
      </c>
      <c r="E389" s="13" t="s">
        <v>1316</v>
      </c>
      <c r="F389" s="13" t="s">
        <v>1315</v>
      </c>
      <c r="G389" s="13" t="s">
        <v>2279</v>
      </c>
      <c r="H389" s="13" t="s">
        <v>1209</v>
      </c>
      <c r="I389" s="13" t="s">
        <v>1209</v>
      </c>
      <c r="J389" s="13" t="s">
        <v>295</v>
      </c>
      <c r="K389" s="13" t="s">
        <v>2545</v>
      </c>
      <c r="L389" s="14">
        <v>6750.0</v>
      </c>
      <c r="M389" s="14">
        <v>7050.0</v>
      </c>
      <c r="N389" s="1">
        <v>6950.0</v>
      </c>
    </row>
    <row r="390">
      <c r="A390" s="13" t="s">
        <v>2556</v>
      </c>
      <c r="B390" s="31" t="s">
        <v>2557</v>
      </c>
      <c r="C390" s="13" t="s">
        <v>1209</v>
      </c>
      <c r="D390" s="13" t="s">
        <v>1209</v>
      </c>
      <c r="E390" s="13" t="s">
        <v>1316</v>
      </c>
      <c r="F390" s="13" t="s">
        <v>1315</v>
      </c>
      <c r="G390" s="13" t="s">
        <v>2279</v>
      </c>
      <c r="H390" s="13" t="s">
        <v>1209</v>
      </c>
      <c r="I390" s="13" t="s">
        <v>1209</v>
      </c>
      <c r="J390" s="13" t="s">
        <v>295</v>
      </c>
      <c r="K390" s="13" t="s">
        <v>2545</v>
      </c>
      <c r="L390" s="14">
        <v>6750.0</v>
      </c>
      <c r="M390" s="14">
        <v>7050.0</v>
      </c>
      <c r="N390" s="1">
        <v>6950.0</v>
      </c>
    </row>
    <row r="391">
      <c r="A391" s="13" t="s">
        <v>2558</v>
      </c>
      <c r="B391" s="31" t="s">
        <v>2559</v>
      </c>
      <c r="C391" s="13" t="s">
        <v>1209</v>
      </c>
      <c r="D391" s="13" t="s">
        <v>1209</v>
      </c>
      <c r="E391" s="13" t="s">
        <v>1316</v>
      </c>
      <c r="F391" s="13" t="s">
        <v>1315</v>
      </c>
      <c r="G391" s="13" t="s">
        <v>2279</v>
      </c>
      <c r="H391" s="13" t="s">
        <v>1209</v>
      </c>
      <c r="I391" s="13" t="s">
        <v>1209</v>
      </c>
      <c r="J391" s="13" t="s">
        <v>295</v>
      </c>
      <c r="K391" s="13" t="s">
        <v>2545</v>
      </c>
      <c r="L391" s="14">
        <v>6750.0</v>
      </c>
      <c r="M391" s="14">
        <v>6975.0</v>
      </c>
      <c r="N391" s="1">
        <v>6900.0</v>
      </c>
    </row>
    <row r="392">
      <c r="A392" s="13" t="s">
        <v>2560</v>
      </c>
      <c r="B392" s="31" t="s">
        <v>2561</v>
      </c>
      <c r="C392" s="13" t="s">
        <v>1209</v>
      </c>
      <c r="D392" s="13" t="s">
        <v>1209</v>
      </c>
      <c r="E392" s="13" t="s">
        <v>1316</v>
      </c>
      <c r="F392" s="13" t="s">
        <v>1315</v>
      </c>
      <c r="G392" s="13" t="s">
        <v>2279</v>
      </c>
      <c r="H392" s="13" t="s">
        <v>1209</v>
      </c>
      <c r="I392" s="13" t="s">
        <v>1209</v>
      </c>
      <c r="J392" s="13" t="s">
        <v>295</v>
      </c>
      <c r="K392" s="13" t="s">
        <v>2545</v>
      </c>
      <c r="L392" s="14">
        <v>6750.0</v>
      </c>
      <c r="M392" s="14">
        <v>6800.0</v>
      </c>
      <c r="N392" s="1">
        <v>6600.0</v>
      </c>
    </row>
    <row r="393">
      <c r="A393" s="13" t="s">
        <v>2562</v>
      </c>
      <c r="B393" s="31" t="s">
        <v>2563</v>
      </c>
      <c r="C393" s="13" t="s">
        <v>1209</v>
      </c>
      <c r="D393" s="13" t="s">
        <v>1209</v>
      </c>
      <c r="E393" s="13" t="s">
        <v>1316</v>
      </c>
      <c r="F393" s="13" t="s">
        <v>1315</v>
      </c>
      <c r="G393" s="13" t="s">
        <v>2279</v>
      </c>
      <c r="H393" s="13" t="s">
        <v>1209</v>
      </c>
      <c r="I393" s="13" t="s">
        <v>1209</v>
      </c>
      <c r="J393" s="13" t="s">
        <v>295</v>
      </c>
      <c r="K393" s="13" t="s">
        <v>2545</v>
      </c>
      <c r="L393" s="14">
        <v>6750.0</v>
      </c>
      <c r="M393" s="14">
        <v>6800.0</v>
      </c>
      <c r="N393" s="1">
        <v>6600.0</v>
      </c>
    </row>
    <row r="394">
      <c r="A394" s="13" t="s">
        <v>2564</v>
      </c>
      <c r="B394" s="31" t="s">
        <v>2565</v>
      </c>
      <c r="C394" s="13" t="s">
        <v>1209</v>
      </c>
      <c r="D394" s="13" t="s">
        <v>1209</v>
      </c>
      <c r="E394" s="13" t="s">
        <v>1316</v>
      </c>
      <c r="F394" s="13" t="s">
        <v>1315</v>
      </c>
      <c r="G394" s="13" t="s">
        <v>2279</v>
      </c>
      <c r="H394" s="13" t="s">
        <v>1209</v>
      </c>
      <c r="I394" s="13" t="s">
        <v>1209</v>
      </c>
      <c r="J394" s="13" t="s">
        <v>213</v>
      </c>
      <c r="K394" s="13" t="s">
        <v>2567</v>
      </c>
      <c r="L394" s="14">
        <v>1450.0</v>
      </c>
      <c r="M394" s="14">
        <v>1500.0</v>
      </c>
      <c r="N394" s="1">
        <v>1700.0</v>
      </c>
    </row>
    <row r="395">
      <c r="A395" s="13" t="s">
        <v>2568</v>
      </c>
      <c r="B395" s="31" t="s">
        <v>2569</v>
      </c>
      <c r="C395" s="13" t="s">
        <v>1209</v>
      </c>
      <c r="D395" s="13" t="s">
        <v>1209</v>
      </c>
      <c r="E395" s="13" t="s">
        <v>1316</v>
      </c>
      <c r="F395" s="13" t="s">
        <v>1315</v>
      </c>
      <c r="G395" s="13" t="s">
        <v>2279</v>
      </c>
      <c r="H395" s="13" t="s">
        <v>1209</v>
      </c>
      <c r="I395" s="13" t="s">
        <v>1209</v>
      </c>
      <c r="J395" s="13" t="s">
        <v>213</v>
      </c>
      <c r="K395" s="13" t="s">
        <v>2567</v>
      </c>
      <c r="L395" s="14">
        <v>1450.0</v>
      </c>
      <c r="M395" s="14">
        <v>1500.0</v>
      </c>
      <c r="N395" s="1">
        <v>1700.0</v>
      </c>
    </row>
    <row r="396">
      <c r="A396" s="13" t="s">
        <v>2570</v>
      </c>
      <c r="B396" s="31" t="s">
        <v>2572</v>
      </c>
      <c r="C396" s="13" t="s">
        <v>1209</v>
      </c>
      <c r="D396" s="13" t="s">
        <v>1209</v>
      </c>
      <c r="E396" s="13" t="s">
        <v>1316</v>
      </c>
      <c r="F396" s="13" t="s">
        <v>1315</v>
      </c>
      <c r="G396" s="13" t="s">
        <v>2279</v>
      </c>
      <c r="H396" s="13" t="s">
        <v>1209</v>
      </c>
      <c r="I396" s="13" t="s">
        <v>1209</v>
      </c>
      <c r="J396" s="13" t="s">
        <v>213</v>
      </c>
      <c r="K396" s="13" t="s">
        <v>2567</v>
      </c>
      <c r="L396" s="14">
        <v>1450.0</v>
      </c>
      <c r="M396" s="14">
        <v>1500.0</v>
      </c>
      <c r="N396" s="1">
        <v>1700.0</v>
      </c>
    </row>
    <row r="397">
      <c r="A397" s="13" t="s">
        <v>2573</v>
      </c>
      <c r="B397" s="31" t="s">
        <v>2574</v>
      </c>
      <c r="C397" s="13" t="s">
        <v>1209</v>
      </c>
      <c r="D397" s="13" t="s">
        <v>1209</v>
      </c>
      <c r="E397" s="13" t="s">
        <v>1316</v>
      </c>
      <c r="F397" s="13" t="s">
        <v>1315</v>
      </c>
      <c r="G397" s="13" t="s">
        <v>2279</v>
      </c>
      <c r="H397" s="13" t="s">
        <v>1209</v>
      </c>
      <c r="I397" s="13" t="s">
        <v>1209</v>
      </c>
      <c r="J397" s="13" t="s">
        <v>213</v>
      </c>
      <c r="K397" s="13" t="s">
        <v>2567</v>
      </c>
      <c r="L397" s="14">
        <v>1625.0</v>
      </c>
      <c r="M397" s="14">
        <v>1500.0</v>
      </c>
      <c r="N397" s="1">
        <v>1650.0</v>
      </c>
    </row>
    <row r="398">
      <c r="A398" s="13" t="s">
        <v>2578</v>
      </c>
      <c r="B398" s="31" t="s">
        <v>2579</v>
      </c>
      <c r="C398" s="13" t="s">
        <v>1209</v>
      </c>
      <c r="D398" s="13" t="s">
        <v>1209</v>
      </c>
      <c r="E398" s="13" t="s">
        <v>1316</v>
      </c>
      <c r="F398" s="13" t="s">
        <v>1315</v>
      </c>
      <c r="G398" s="13" t="s">
        <v>2279</v>
      </c>
      <c r="H398" s="13" t="s">
        <v>1209</v>
      </c>
      <c r="I398" s="13" t="s">
        <v>1209</v>
      </c>
      <c r="J398" s="13" t="s">
        <v>213</v>
      </c>
      <c r="K398" s="13" t="s">
        <v>2567</v>
      </c>
      <c r="L398" s="14">
        <v>1625.0</v>
      </c>
      <c r="M398" s="14">
        <v>1500.0</v>
      </c>
      <c r="N398" s="1">
        <v>1650.0</v>
      </c>
    </row>
    <row r="399">
      <c r="A399" s="13" t="s">
        <v>2582</v>
      </c>
      <c r="B399" s="31" t="s">
        <v>2583</v>
      </c>
      <c r="C399" s="13" t="s">
        <v>1209</v>
      </c>
      <c r="D399" s="13" t="s">
        <v>1209</v>
      </c>
      <c r="E399" s="13" t="s">
        <v>1316</v>
      </c>
      <c r="F399" s="13" t="s">
        <v>1315</v>
      </c>
      <c r="G399" s="13" t="s">
        <v>2279</v>
      </c>
      <c r="H399" s="13" t="s">
        <v>1209</v>
      </c>
      <c r="I399" s="13" t="s">
        <v>1209</v>
      </c>
      <c r="J399" s="13" t="s">
        <v>213</v>
      </c>
      <c r="K399" s="13" t="s">
        <v>2567</v>
      </c>
      <c r="L399" s="14">
        <v>1625.0</v>
      </c>
      <c r="M399" s="14">
        <v>1500.0</v>
      </c>
      <c r="N399" s="1">
        <v>1650.0</v>
      </c>
    </row>
    <row r="400">
      <c r="A400" s="13" t="s">
        <v>2584</v>
      </c>
      <c r="B400" s="31" t="s">
        <v>2585</v>
      </c>
      <c r="C400" s="13" t="s">
        <v>1209</v>
      </c>
      <c r="D400" s="13" t="s">
        <v>1209</v>
      </c>
      <c r="E400" s="13" t="s">
        <v>1335</v>
      </c>
      <c r="F400" s="13" t="s">
        <v>1315</v>
      </c>
      <c r="G400" s="13" t="s">
        <v>2279</v>
      </c>
      <c r="H400" s="13" t="s">
        <v>1209</v>
      </c>
      <c r="I400" s="13" t="s">
        <v>1209</v>
      </c>
      <c r="J400" s="13" t="s">
        <v>2519</v>
      </c>
      <c r="K400" s="13" t="s">
        <v>2539</v>
      </c>
      <c r="L400" s="14">
        <v>5112.0</v>
      </c>
      <c r="M400" s="14">
        <v>5076.0</v>
      </c>
      <c r="N400" s="1">
        <v>5048.0</v>
      </c>
    </row>
    <row r="401">
      <c r="A401" s="13" t="s">
        <v>2588</v>
      </c>
      <c r="B401" s="31" t="s">
        <v>2589</v>
      </c>
      <c r="C401" s="13" t="s">
        <v>1209</v>
      </c>
      <c r="D401" s="13" t="s">
        <v>1209</v>
      </c>
      <c r="E401" s="13" t="s">
        <v>1350</v>
      </c>
      <c r="F401" s="13" t="s">
        <v>1315</v>
      </c>
      <c r="G401" s="13" t="s">
        <v>2279</v>
      </c>
      <c r="H401" s="13" t="s">
        <v>1209</v>
      </c>
      <c r="I401" s="13" t="s">
        <v>1209</v>
      </c>
      <c r="J401" s="13" t="s">
        <v>2519</v>
      </c>
      <c r="K401" s="13" t="s">
        <v>2591</v>
      </c>
      <c r="L401" s="14">
        <v>7750.0</v>
      </c>
      <c r="M401" s="14">
        <v>7950.0</v>
      </c>
      <c r="N401" s="1">
        <v>7450.0</v>
      </c>
    </row>
    <row r="402">
      <c r="A402" s="13" t="s">
        <v>2592</v>
      </c>
      <c r="B402" s="31" t="s">
        <v>2593</v>
      </c>
      <c r="C402" s="13" t="s">
        <v>1209</v>
      </c>
      <c r="D402" s="13" t="s">
        <v>1209</v>
      </c>
      <c r="E402" s="13" t="s">
        <v>1350</v>
      </c>
      <c r="F402" s="13" t="s">
        <v>1315</v>
      </c>
      <c r="G402" s="13" t="s">
        <v>2279</v>
      </c>
      <c r="H402" s="13" t="s">
        <v>1209</v>
      </c>
      <c r="I402" s="13" t="s">
        <v>1209</v>
      </c>
      <c r="J402" s="13" t="s">
        <v>2519</v>
      </c>
      <c r="K402" s="13" t="s">
        <v>2591</v>
      </c>
      <c r="L402" s="13" t="s">
        <v>1209</v>
      </c>
      <c r="M402" s="13" t="s">
        <v>1472</v>
      </c>
      <c r="N402" s="1" t="s">
        <v>1472</v>
      </c>
    </row>
    <row r="403">
      <c r="A403" s="13" t="s">
        <v>2594</v>
      </c>
      <c r="B403" s="31" t="s">
        <v>2595</v>
      </c>
      <c r="C403" s="13" t="s">
        <v>1209</v>
      </c>
      <c r="D403" s="13" t="s">
        <v>1209</v>
      </c>
      <c r="E403" s="13" t="s">
        <v>1335</v>
      </c>
      <c r="F403" s="13" t="s">
        <v>1315</v>
      </c>
      <c r="G403" s="13" t="s">
        <v>2279</v>
      </c>
      <c r="H403" s="13" t="s">
        <v>1209</v>
      </c>
      <c r="I403" s="13" t="s">
        <v>1209</v>
      </c>
      <c r="J403" s="13" t="s">
        <v>2519</v>
      </c>
      <c r="K403" s="13" t="s">
        <v>2539</v>
      </c>
      <c r="L403" s="14">
        <v>5665.0</v>
      </c>
      <c r="M403" s="14">
        <v>5618.0</v>
      </c>
      <c r="N403" s="1">
        <v>5611.0</v>
      </c>
    </row>
    <row r="404">
      <c r="A404" s="13" t="s">
        <v>2596</v>
      </c>
      <c r="B404" s="31" t="s">
        <v>2597</v>
      </c>
      <c r="C404" s="13" t="s">
        <v>1209</v>
      </c>
      <c r="D404" s="13" t="s">
        <v>1209</v>
      </c>
      <c r="E404" s="13" t="s">
        <v>1335</v>
      </c>
      <c r="F404" s="13" t="s">
        <v>1315</v>
      </c>
      <c r="G404" s="13" t="s">
        <v>2279</v>
      </c>
      <c r="H404" s="13" t="s">
        <v>1209</v>
      </c>
      <c r="I404" s="13" t="s">
        <v>1209</v>
      </c>
      <c r="J404" s="13" t="s">
        <v>2519</v>
      </c>
      <c r="K404" s="13" t="s">
        <v>2539</v>
      </c>
      <c r="L404" s="14">
        <v>5641.0</v>
      </c>
      <c r="M404" s="14">
        <v>5618.0</v>
      </c>
      <c r="N404" s="1">
        <v>5563.0</v>
      </c>
    </row>
    <row r="405">
      <c r="A405" s="13" t="s">
        <v>2598</v>
      </c>
      <c r="B405" s="31" t="s">
        <v>2599</v>
      </c>
      <c r="C405" s="13" t="s">
        <v>1209</v>
      </c>
      <c r="D405" s="13" t="s">
        <v>1209</v>
      </c>
      <c r="E405" s="13" t="s">
        <v>1335</v>
      </c>
      <c r="F405" s="13" t="s">
        <v>1315</v>
      </c>
      <c r="G405" s="13" t="s">
        <v>2279</v>
      </c>
      <c r="H405" s="13" t="s">
        <v>1209</v>
      </c>
      <c r="I405" s="13" t="s">
        <v>1209</v>
      </c>
      <c r="J405" s="13" t="s">
        <v>2519</v>
      </c>
      <c r="K405" s="13" t="s">
        <v>2539</v>
      </c>
      <c r="L405" s="14">
        <v>4587.0</v>
      </c>
      <c r="M405" s="14">
        <v>4555.0</v>
      </c>
      <c r="N405" s="1">
        <v>4518.0</v>
      </c>
    </row>
    <row r="406">
      <c r="A406" s="13" t="s">
        <v>2600</v>
      </c>
      <c r="B406" s="31" t="s">
        <v>2601</v>
      </c>
      <c r="C406" s="13" t="s">
        <v>1209</v>
      </c>
      <c r="D406" s="13" t="s">
        <v>1209</v>
      </c>
      <c r="E406" s="13" t="s">
        <v>1335</v>
      </c>
      <c r="F406" s="13" t="s">
        <v>1315</v>
      </c>
      <c r="G406" s="13" t="s">
        <v>2279</v>
      </c>
      <c r="H406" s="13" t="s">
        <v>1209</v>
      </c>
      <c r="I406" s="13" t="s">
        <v>1209</v>
      </c>
      <c r="J406" s="13" t="s">
        <v>2519</v>
      </c>
      <c r="K406" s="13" t="s">
        <v>2539</v>
      </c>
      <c r="L406" s="14">
        <v>4610.0</v>
      </c>
      <c r="M406" s="14">
        <v>4565.0</v>
      </c>
      <c r="N406" s="1">
        <v>4555.0</v>
      </c>
    </row>
    <row r="407">
      <c r="A407" s="13" t="s">
        <v>2603</v>
      </c>
      <c r="B407" s="31" t="s">
        <v>2604</v>
      </c>
      <c r="C407" s="13" t="s">
        <v>1209</v>
      </c>
      <c r="D407" s="13" t="s">
        <v>1209</v>
      </c>
      <c r="E407" s="13" t="s">
        <v>1335</v>
      </c>
      <c r="F407" s="13" t="s">
        <v>1315</v>
      </c>
      <c r="G407" s="13" t="s">
        <v>2279</v>
      </c>
      <c r="H407" s="13" t="s">
        <v>1209</v>
      </c>
      <c r="I407" s="13" t="s">
        <v>1209</v>
      </c>
      <c r="J407" s="13" t="s">
        <v>2519</v>
      </c>
      <c r="K407" s="13" t="s">
        <v>2539</v>
      </c>
      <c r="L407" s="14">
        <v>4610.0</v>
      </c>
      <c r="M407" s="14">
        <v>4565.0</v>
      </c>
      <c r="N407" s="1">
        <v>4555.0</v>
      </c>
    </row>
    <row r="408">
      <c r="A408" s="13" t="s">
        <v>2605</v>
      </c>
      <c r="B408" s="31" t="s">
        <v>2606</v>
      </c>
      <c r="C408" s="13" t="s">
        <v>1209</v>
      </c>
      <c r="D408" s="13" t="s">
        <v>1209</v>
      </c>
      <c r="E408" s="13" t="s">
        <v>1350</v>
      </c>
      <c r="F408" s="13" t="s">
        <v>1315</v>
      </c>
      <c r="G408" s="13" t="s">
        <v>2279</v>
      </c>
      <c r="H408" s="13" t="s">
        <v>1209</v>
      </c>
      <c r="I408" s="13" t="s">
        <v>1209</v>
      </c>
      <c r="J408" s="13" t="s">
        <v>2519</v>
      </c>
      <c r="K408" s="13" t="s">
        <v>2520</v>
      </c>
      <c r="L408" s="14">
        <v>5337.0</v>
      </c>
      <c r="M408" s="14">
        <v>5334.0</v>
      </c>
      <c r="N408" s="1">
        <v>5320.0</v>
      </c>
    </row>
    <row r="409">
      <c r="A409" s="13" t="s">
        <v>2607</v>
      </c>
      <c r="B409" s="31" t="s">
        <v>2609</v>
      </c>
      <c r="C409" s="13" t="s">
        <v>1209</v>
      </c>
      <c r="D409" s="13" t="s">
        <v>1209</v>
      </c>
      <c r="E409" s="13" t="s">
        <v>1350</v>
      </c>
      <c r="F409" s="13" t="s">
        <v>1315</v>
      </c>
      <c r="G409" s="13" t="s">
        <v>2279</v>
      </c>
      <c r="H409" s="13" t="s">
        <v>1209</v>
      </c>
      <c r="I409" s="13" t="s">
        <v>1209</v>
      </c>
      <c r="J409" s="13" t="s">
        <v>2519</v>
      </c>
      <c r="K409" s="13" t="s">
        <v>2520</v>
      </c>
      <c r="L409" s="14">
        <v>5337.0</v>
      </c>
      <c r="M409" s="14">
        <v>5334.0</v>
      </c>
      <c r="N409" s="1">
        <v>5320.0</v>
      </c>
    </row>
    <row r="410">
      <c r="A410" s="13" t="s">
        <v>2610</v>
      </c>
      <c r="B410" s="31" t="s">
        <v>2611</v>
      </c>
      <c r="C410" s="13" t="s">
        <v>1209</v>
      </c>
      <c r="D410" s="13" t="s">
        <v>1209</v>
      </c>
      <c r="E410" s="13" t="s">
        <v>1316</v>
      </c>
      <c r="F410" s="13" t="s">
        <v>1315</v>
      </c>
      <c r="G410" s="13" t="s">
        <v>2279</v>
      </c>
      <c r="H410" s="13" t="s">
        <v>1209</v>
      </c>
      <c r="I410" s="13" t="s">
        <v>1209</v>
      </c>
      <c r="J410" s="13" t="s">
        <v>2519</v>
      </c>
      <c r="K410" s="13" t="s">
        <v>2520</v>
      </c>
      <c r="L410" s="14">
        <v>5337.0</v>
      </c>
      <c r="M410" s="14">
        <v>5334.0</v>
      </c>
      <c r="N410" s="1">
        <v>5320.0</v>
      </c>
    </row>
    <row r="411">
      <c r="A411" s="13" t="s">
        <v>2612</v>
      </c>
      <c r="B411" s="31" t="s">
        <v>2613</v>
      </c>
      <c r="C411" s="13" t="s">
        <v>1209</v>
      </c>
      <c r="D411" s="13" t="s">
        <v>1209</v>
      </c>
      <c r="E411" s="13" t="s">
        <v>1316</v>
      </c>
      <c r="F411" s="13" t="s">
        <v>1315</v>
      </c>
      <c r="G411" s="13" t="s">
        <v>2279</v>
      </c>
      <c r="H411" s="13" t="s">
        <v>1209</v>
      </c>
      <c r="I411" s="13" t="s">
        <v>1209</v>
      </c>
      <c r="J411" s="13" t="s">
        <v>2519</v>
      </c>
      <c r="K411" s="13" t="s">
        <v>2520</v>
      </c>
      <c r="L411" s="14">
        <v>5337.0</v>
      </c>
      <c r="M411" s="14">
        <v>5334.0</v>
      </c>
      <c r="N411" s="1">
        <v>5320.0</v>
      </c>
    </row>
    <row r="412">
      <c r="A412" s="13" t="s">
        <v>2615</v>
      </c>
      <c r="B412" s="31" t="s">
        <v>2616</v>
      </c>
      <c r="C412" s="13" t="s">
        <v>1209</v>
      </c>
      <c r="D412" s="13" t="s">
        <v>1209</v>
      </c>
      <c r="E412" s="13" t="s">
        <v>1316</v>
      </c>
      <c r="F412" s="13" t="s">
        <v>1315</v>
      </c>
      <c r="G412" s="13" t="s">
        <v>2279</v>
      </c>
      <c r="H412" s="13" t="s">
        <v>1209</v>
      </c>
      <c r="I412" s="13" t="s">
        <v>1209</v>
      </c>
      <c r="J412" s="13" t="s">
        <v>2519</v>
      </c>
      <c r="K412" s="13" t="s">
        <v>2520</v>
      </c>
      <c r="L412" s="14">
        <v>5337.0</v>
      </c>
      <c r="M412" s="14">
        <v>5334.0</v>
      </c>
      <c r="N412" s="1">
        <v>5320.0</v>
      </c>
    </row>
    <row r="413">
      <c r="A413" s="13" t="s">
        <v>2617</v>
      </c>
      <c r="B413" s="31" t="s">
        <v>2618</v>
      </c>
      <c r="C413" s="13" t="s">
        <v>1209</v>
      </c>
      <c r="D413" s="13" t="s">
        <v>1209</v>
      </c>
      <c r="E413" s="13" t="s">
        <v>1350</v>
      </c>
      <c r="F413" s="13" t="s">
        <v>1315</v>
      </c>
      <c r="G413" s="13" t="s">
        <v>2279</v>
      </c>
      <c r="H413" s="13" t="s">
        <v>1209</v>
      </c>
      <c r="I413" s="13" t="s">
        <v>1209</v>
      </c>
      <c r="J413" s="13" t="s">
        <v>2519</v>
      </c>
      <c r="K413" s="13" t="s">
        <v>2520</v>
      </c>
      <c r="L413" s="14">
        <v>5337.0</v>
      </c>
      <c r="M413" s="14">
        <v>5334.0</v>
      </c>
      <c r="N413" s="1">
        <v>5320.0</v>
      </c>
    </row>
    <row r="414">
      <c r="A414" s="13" t="s">
        <v>2620</v>
      </c>
      <c r="B414" s="31" t="s">
        <v>2621</v>
      </c>
      <c r="C414" s="13" t="s">
        <v>1209</v>
      </c>
      <c r="D414" s="13" t="s">
        <v>1209</v>
      </c>
      <c r="E414" s="13" t="s">
        <v>1316</v>
      </c>
      <c r="F414" s="13" t="s">
        <v>1315</v>
      </c>
      <c r="G414" s="13" t="s">
        <v>2279</v>
      </c>
      <c r="H414" s="13" t="s">
        <v>1209</v>
      </c>
      <c r="I414" s="13" t="s">
        <v>1209</v>
      </c>
      <c r="J414" s="13" t="s">
        <v>2519</v>
      </c>
      <c r="K414" s="13" t="s">
        <v>2520</v>
      </c>
      <c r="L414" s="14">
        <v>5337.0</v>
      </c>
      <c r="M414" s="14">
        <v>5334.0</v>
      </c>
      <c r="N414" s="1">
        <v>5320.0</v>
      </c>
    </row>
    <row r="415">
      <c r="A415" s="13" t="s">
        <v>2623</v>
      </c>
      <c r="B415" s="31" t="s">
        <v>2624</v>
      </c>
      <c r="C415" s="13" t="s">
        <v>1209</v>
      </c>
      <c r="D415" s="13" t="s">
        <v>1209</v>
      </c>
      <c r="E415" s="13" t="s">
        <v>1350</v>
      </c>
      <c r="F415" s="13" t="s">
        <v>1315</v>
      </c>
      <c r="G415" s="13" t="s">
        <v>2279</v>
      </c>
      <c r="H415" s="13" t="s">
        <v>1209</v>
      </c>
      <c r="I415" s="13" t="s">
        <v>1209</v>
      </c>
      <c r="J415" s="13" t="s">
        <v>2519</v>
      </c>
      <c r="K415" s="13" t="s">
        <v>2520</v>
      </c>
      <c r="L415" s="14">
        <v>5337.0</v>
      </c>
      <c r="M415" s="14">
        <v>5334.0</v>
      </c>
      <c r="N415" s="1">
        <v>5320.0</v>
      </c>
    </row>
    <row r="416">
      <c r="A416" s="13" t="s">
        <v>2626</v>
      </c>
      <c r="B416" s="31" t="s">
        <v>2627</v>
      </c>
      <c r="C416" s="13" t="s">
        <v>1209</v>
      </c>
      <c r="D416" s="13" t="s">
        <v>1209</v>
      </c>
      <c r="E416" s="13" t="s">
        <v>1350</v>
      </c>
      <c r="F416" s="13" t="s">
        <v>1315</v>
      </c>
      <c r="G416" s="13" t="s">
        <v>2279</v>
      </c>
      <c r="H416" s="13" t="s">
        <v>1209</v>
      </c>
      <c r="I416" s="13" t="s">
        <v>1209</v>
      </c>
      <c r="J416" s="13" t="s">
        <v>2519</v>
      </c>
      <c r="K416" s="13" t="s">
        <v>2520</v>
      </c>
      <c r="L416" s="14">
        <v>5377.0</v>
      </c>
      <c r="M416" s="14">
        <v>5334.0</v>
      </c>
      <c r="N416" s="1">
        <v>5320.0</v>
      </c>
    </row>
    <row r="417">
      <c r="A417" s="13" t="s">
        <v>2630</v>
      </c>
      <c r="B417" s="31" t="s">
        <v>2631</v>
      </c>
      <c r="C417" s="13" t="s">
        <v>1209</v>
      </c>
      <c r="D417" s="13" t="s">
        <v>1209</v>
      </c>
      <c r="E417" s="13" t="s">
        <v>1335</v>
      </c>
      <c r="F417" s="13" t="s">
        <v>1315</v>
      </c>
      <c r="G417" s="13" t="s">
        <v>2279</v>
      </c>
      <c r="H417" s="13" t="s">
        <v>1209</v>
      </c>
      <c r="I417" s="13" t="s">
        <v>1209</v>
      </c>
      <c r="J417" s="13" t="s">
        <v>2519</v>
      </c>
      <c r="K417" s="13" t="s">
        <v>2520</v>
      </c>
      <c r="L417" s="14">
        <v>5337.0</v>
      </c>
      <c r="M417" s="14">
        <v>5334.0</v>
      </c>
      <c r="N417" s="1">
        <v>5320.0</v>
      </c>
    </row>
    <row r="418">
      <c r="A418" s="13" t="s">
        <v>2632</v>
      </c>
      <c r="B418" s="31" t="s">
        <v>2633</v>
      </c>
      <c r="C418" s="13" t="s">
        <v>1209</v>
      </c>
      <c r="D418" s="13" t="s">
        <v>1209</v>
      </c>
      <c r="E418" s="13" t="s">
        <v>1335</v>
      </c>
      <c r="F418" s="13" t="s">
        <v>1315</v>
      </c>
      <c r="G418" s="13" t="s">
        <v>2279</v>
      </c>
      <c r="H418" s="13" t="s">
        <v>1209</v>
      </c>
      <c r="I418" s="13" t="s">
        <v>1209</v>
      </c>
      <c r="J418" s="13" t="s">
        <v>2519</v>
      </c>
      <c r="K418" s="13" t="s">
        <v>2636</v>
      </c>
      <c r="L418" s="14">
        <v>1800.0</v>
      </c>
      <c r="M418" s="13" t="s">
        <v>1209</v>
      </c>
      <c r="N418" s="1" t="s">
        <v>1209</v>
      </c>
    </row>
    <row r="419">
      <c r="A419" s="13" t="s">
        <v>2638</v>
      </c>
      <c r="B419" s="31" t="s">
        <v>2639</v>
      </c>
      <c r="C419" s="13" t="s">
        <v>1209</v>
      </c>
      <c r="D419" s="13" t="s">
        <v>1209</v>
      </c>
      <c r="E419" s="13" t="s">
        <v>1335</v>
      </c>
      <c r="F419" s="13" t="s">
        <v>1315</v>
      </c>
      <c r="G419" s="13" t="s">
        <v>2279</v>
      </c>
      <c r="H419" s="13" t="s">
        <v>1209</v>
      </c>
      <c r="I419" s="13" t="s">
        <v>1209</v>
      </c>
      <c r="J419" s="13" t="s">
        <v>2519</v>
      </c>
      <c r="K419" s="13" t="s">
        <v>2636</v>
      </c>
      <c r="L419" s="14">
        <v>1800.0</v>
      </c>
      <c r="M419" s="13" t="s">
        <v>1209</v>
      </c>
      <c r="N419" s="1" t="s">
        <v>1209</v>
      </c>
    </row>
    <row r="420">
      <c r="A420" s="13" t="s">
        <v>2640</v>
      </c>
      <c r="B420" s="31" t="s">
        <v>2642</v>
      </c>
      <c r="C420" s="13" t="s">
        <v>1209</v>
      </c>
      <c r="D420" s="13" t="s">
        <v>1209</v>
      </c>
      <c r="E420" s="13" t="s">
        <v>1335</v>
      </c>
      <c r="F420" s="13" t="s">
        <v>1315</v>
      </c>
      <c r="G420" s="13" t="s">
        <v>2279</v>
      </c>
      <c r="H420" s="13" t="s">
        <v>1209</v>
      </c>
      <c r="I420" s="13" t="s">
        <v>1209</v>
      </c>
      <c r="J420" s="13" t="s">
        <v>128</v>
      </c>
      <c r="K420" s="13" t="s">
        <v>2643</v>
      </c>
      <c r="L420" s="14">
        <v>5500.0</v>
      </c>
      <c r="M420" s="13" t="s">
        <v>1209</v>
      </c>
      <c r="N420" s="1" t="s">
        <v>1209</v>
      </c>
    </row>
    <row r="421">
      <c r="A421" s="13" t="s">
        <v>2644</v>
      </c>
      <c r="B421" s="31" t="s">
        <v>2645</v>
      </c>
      <c r="C421" s="13" t="s">
        <v>1209</v>
      </c>
      <c r="D421" s="13" t="s">
        <v>1209</v>
      </c>
      <c r="E421" s="13" t="s">
        <v>1335</v>
      </c>
      <c r="F421" s="13" t="s">
        <v>1315</v>
      </c>
      <c r="G421" s="13" t="s">
        <v>2279</v>
      </c>
      <c r="H421" s="13" t="s">
        <v>1209</v>
      </c>
      <c r="I421" s="13" t="s">
        <v>1209</v>
      </c>
      <c r="J421" s="13" t="s">
        <v>128</v>
      </c>
      <c r="K421" s="13" t="s">
        <v>2643</v>
      </c>
      <c r="L421" s="14">
        <v>5500.0</v>
      </c>
      <c r="M421" s="13" t="s">
        <v>1209</v>
      </c>
      <c r="N421" s="1" t="s">
        <v>1209</v>
      </c>
    </row>
    <row r="422">
      <c r="A422" s="13" t="s">
        <v>2647</v>
      </c>
      <c r="B422" s="31" t="s">
        <v>2648</v>
      </c>
      <c r="C422" s="13" t="s">
        <v>1209</v>
      </c>
      <c r="D422" s="13" t="s">
        <v>1209</v>
      </c>
      <c r="E422" s="13" t="s">
        <v>1335</v>
      </c>
      <c r="F422" s="13" t="s">
        <v>1315</v>
      </c>
      <c r="G422" s="13" t="s">
        <v>2279</v>
      </c>
      <c r="H422" s="13" t="s">
        <v>1209</v>
      </c>
      <c r="I422" s="13" t="s">
        <v>1209</v>
      </c>
      <c r="J422" s="13" t="s">
        <v>213</v>
      </c>
      <c r="K422" s="13" t="s">
        <v>2236</v>
      </c>
      <c r="L422" s="14">
        <v>8100.0</v>
      </c>
      <c r="M422" s="14">
        <v>8150.0</v>
      </c>
      <c r="N422" s="1">
        <v>7950.0</v>
      </c>
    </row>
    <row r="423">
      <c r="A423" s="13" t="s">
        <v>2649</v>
      </c>
      <c r="B423" s="31" t="s">
        <v>2650</v>
      </c>
      <c r="C423" s="13" t="s">
        <v>1209</v>
      </c>
      <c r="D423" s="13" t="s">
        <v>1209</v>
      </c>
      <c r="E423" s="13" t="s">
        <v>1316</v>
      </c>
      <c r="F423" s="13" t="s">
        <v>1315</v>
      </c>
      <c r="G423" s="13" t="s">
        <v>2279</v>
      </c>
      <c r="H423" s="13" t="s">
        <v>1209</v>
      </c>
      <c r="I423" s="13" t="s">
        <v>1209</v>
      </c>
      <c r="J423" s="13" t="s">
        <v>1050</v>
      </c>
      <c r="K423" s="13" t="s">
        <v>2652</v>
      </c>
      <c r="L423" s="14">
        <v>3240.0</v>
      </c>
      <c r="M423" s="13" t="s">
        <v>1209</v>
      </c>
      <c r="N423" s="1" t="s">
        <v>1209</v>
      </c>
    </row>
    <row r="424">
      <c r="A424" s="13" t="s">
        <v>2653</v>
      </c>
      <c r="B424" s="31" t="s">
        <v>2654</v>
      </c>
      <c r="C424" s="13" t="s">
        <v>1209</v>
      </c>
      <c r="D424" s="13" t="s">
        <v>1209</v>
      </c>
      <c r="E424" s="13" t="s">
        <v>1316</v>
      </c>
      <c r="F424" s="13" t="s">
        <v>1315</v>
      </c>
      <c r="G424" s="13" t="s">
        <v>2279</v>
      </c>
      <c r="H424" s="13" t="s">
        <v>1209</v>
      </c>
      <c r="I424" s="13" t="s">
        <v>1209</v>
      </c>
      <c r="J424" s="13" t="s">
        <v>1050</v>
      </c>
      <c r="K424" s="13" t="s">
        <v>2652</v>
      </c>
      <c r="L424" s="14">
        <v>1225.0</v>
      </c>
      <c r="M424" s="13" t="s">
        <v>1209</v>
      </c>
      <c r="N424" s="1" t="s">
        <v>1209</v>
      </c>
    </row>
    <row r="425">
      <c r="A425" s="13" t="s">
        <v>2657</v>
      </c>
      <c r="B425" s="31" t="s">
        <v>2658</v>
      </c>
      <c r="C425" s="13" t="s">
        <v>1114</v>
      </c>
      <c r="D425" s="13" t="s">
        <v>2659</v>
      </c>
      <c r="E425" s="13" t="s">
        <v>1316</v>
      </c>
      <c r="F425" s="13" t="s">
        <v>1315</v>
      </c>
      <c r="G425" s="13" t="s">
        <v>2279</v>
      </c>
      <c r="H425" s="13" t="s">
        <v>1209</v>
      </c>
      <c r="I425" s="13" t="s">
        <v>1209</v>
      </c>
      <c r="J425" s="13" t="s">
        <v>2486</v>
      </c>
      <c r="K425" s="13" t="s">
        <v>2660</v>
      </c>
      <c r="L425" s="14">
        <v>700.0</v>
      </c>
      <c r="M425" s="13" t="s">
        <v>1209</v>
      </c>
      <c r="N425" s="1" t="s">
        <v>1209</v>
      </c>
    </row>
    <row r="426">
      <c r="A426" s="13" t="s">
        <v>2662</v>
      </c>
      <c r="B426" s="31" t="s">
        <v>2663</v>
      </c>
      <c r="C426" s="13" t="s">
        <v>1209</v>
      </c>
      <c r="D426" s="13" t="s">
        <v>1209</v>
      </c>
      <c r="E426" s="13" t="s">
        <v>1316</v>
      </c>
      <c r="F426" s="13" t="s">
        <v>1315</v>
      </c>
      <c r="G426" s="13" t="s">
        <v>2279</v>
      </c>
      <c r="H426" s="13" t="s">
        <v>1209</v>
      </c>
      <c r="I426" s="13" t="s">
        <v>1209</v>
      </c>
      <c r="J426" s="13" t="s">
        <v>2486</v>
      </c>
      <c r="K426" s="13" t="s">
        <v>2660</v>
      </c>
      <c r="L426" s="14">
        <v>700.0</v>
      </c>
      <c r="M426" s="13" t="s">
        <v>1209</v>
      </c>
      <c r="N426" s="1" t="s">
        <v>1209</v>
      </c>
    </row>
    <row r="427">
      <c r="A427" s="13" t="s">
        <v>2664</v>
      </c>
      <c r="B427" s="31" t="s">
        <v>2665</v>
      </c>
      <c r="C427" s="13" t="s">
        <v>1209</v>
      </c>
      <c r="D427" s="13" t="s">
        <v>1209</v>
      </c>
      <c r="E427" s="13" t="s">
        <v>1316</v>
      </c>
      <c r="F427" s="13" t="s">
        <v>1315</v>
      </c>
      <c r="G427" s="13" t="s">
        <v>2279</v>
      </c>
      <c r="H427" s="13" t="s">
        <v>1209</v>
      </c>
      <c r="I427" s="13" t="s">
        <v>1209</v>
      </c>
      <c r="J427" s="13" t="s">
        <v>2486</v>
      </c>
      <c r="K427" s="13" t="s">
        <v>2666</v>
      </c>
      <c r="L427" s="14">
        <v>1440.0</v>
      </c>
      <c r="M427" s="13" t="s">
        <v>1209</v>
      </c>
      <c r="N427" s="1" t="s">
        <v>1209</v>
      </c>
    </row>
    <row r="428">
      <c r="A428" s="13" t="s">
        <v>2667</v>
      </c>
      <c r="B428" s="31" t="s">
        <v>2668</v>
      </c>
      <c r="C428" s="13" t="s">
        <v>1209</v>
      </c>
      <c r="D428" s="13" t="s">
        <v>1209</v>
      </c>
      <c r="E428" s="13" t="s">
        <v>1316</v>
      </c>
      <c r="F428" s="13" t="s">
        <v>1315</v>
      </c>
      <c r="G428" s="13" t="s">
        <v>2279</v>
      </c>
      <c r="H428" s="13" t="s">
        <v>1209</v>
      </c>
      <c r="I428" s="13" t="s">
        <v>1209</v>
      </c>
      <c r="J428" s="13" t="s">
        <v>2486</v>
      </c>
      <c r="K428" s="13" t="s">
        <v>2666</v>
      </c>
      <c r="L428" s="14">
        <v>1440.0</v>
      </c>
      <c r="M428" s="13" t="s">
        <v>1209</v>
      </c>
      <c r="N428" s="1" t="s">
        <v>1209</v>
      </c>
    </row>
    <row r="429">
      <c r="A429" s="13" t="s">
        <v>2671</v>
      </c>
      <c r="B429" s="31" t="s">
        <v>2672</v>
      </c>
      <c r="C429" s="13" t="s">
        <v>1209</v>
      </c>
      <c r="D429" s="13" t="s">
        <v>1209</v>
      </c>
      <c r="E429" s="13" t="s">
        <v>1316</v>
      </c>
      <c r="F429" s="13" t="s">
        <v>1315</v>
      </c>
      <c r="G429" s="13" t="s">
        <v>2279</v>
      </c>
      <c r="H429" s="13" t="s">
        <v>1209</v>
      </c>
      <c r="I429" s="13" t="s">
        <v>1209</v>
      </c>
      <c r="J429" s="13" t="s">
        <v>2486</v>
      </c>
      <c r="K429" s="13" t="s">
        <v>2666</v>
      </c>
      <c r="L429" s="14">
        <v>1440.0</v>
      </c>
      <c r="M429" s="13" t="s">
        <v>1209</v>
      </c>
      <c r="N429" s="1" t="s">
        <v>1209</v>
      </c>
    </row>
    <row r="430">
      <c r="A430" s="13" t="s">
        <v>2676</v>
      </c>
      <c r="B430" s="31" t="s">
        <v>2677</v>
      </c>
      <c r="C430" s="13" t="s">
        <v>1209</v>
      </c>
      <c r="D430" s="13" t="s">
        <v>1209</v>
      </c>
      <c r="E430" s="13" t="s">
        <v>1335</v>
      </c>
      <c r="F430" s="13" t="s">
        <v>1315</v>
      </c>
      <c r="G430" s="13" t="s">
        <v>2279</v>
      </c>
      <c r="H430" s="13" t="s">
        <v>1209</v>
      </c>
      <c r="I430" s="13" t="s">
        <v>1209</v>
      </c>
      <c r="J430" s="13" t="s">
        <v>1230</v>
      </c>
      <c r="K430" s="13" t="s">
        <v>2678</v>
      </c>
      <c r="L430" s="14">
        <v>7200.0</v>
      </c>
      <c r="M430" s="14">
        <v>7250.0</v>
      </c>
      <c r="N430" s="1">
        <v>7050.0</v>
      </c>
    </row>
    <row r="431">
      <c r="A431" s="13" t="s">
        <v>2680</v>
      </c>
      <c r="B431" s="31" t="s">
        <v>2681</v>
      </c>
      <c r="C431" s="13" t="s">
        <v>1209</v>
      </c>
      <c r="D431" s="13" t="s">
        <v>1209</v>
      </c>
      <c r="E431" s="13" t="s">
        <v>1335</v>
      </c>
      <c r="F431" s="13" t="s">
        <v>1315</v>
      </c>
      <c r="G431" s="13" t="s">
        <v>2279</v>
      </c>
      <c r="H431" s="13" t="s">
        <v>1209</v>
      </c>
      <c r="I431" s="13" t="s">
        <v>1209</v>
      </c>
      <c r="J431" s="13" t="s">
        <v>1230</v>
      </c>
      <c r="K431" s="13" t="s">
        <v>2678</v>
      </c>
      <c r="L431" s="14">
        <v>7200.0</v>
      </c>
      <c r="M431" s="14">
        <v>7250.0</v>
      </c>
      <c r="N431" s="1">
        <v>7050.0</v>
      </c>
    </row>
    <row r="432">
      <c r="A432" s="13" t="s">
        <v>2684</v>
      </c>
      <c r="B432" s="31" t="s">
        <v>2685</v>
      </c>
      <c r="C432" s="13" t="s">
        <v>1209</v>
      </c>
      <c r="D432" s="13" t="s">
        <v>1209</v>
      </c>
      <c r="E432" s="13" t="s">
        <v>1316</v>
      </c>
      <c r="F432" s="13" t="s">
        <v>1315</v>
      </c>
      <c r="G432" s="13" t="s">
        <v>2279</v>
      </c>
      <c r="H432" s="13" t="s">
        <v>1209</v>
      </c>
      <c r="I432" s="13" t="s">
        <v>1209</v>
      </c>
      <c r="J432" s="13" t="s">
        <v>1230</v>
      </c>
      <c r="K432" s="13" t="s">
        <v>2686</v>
      </c>
      <c r="L432" s="14">
        <v>2850.0</v>
      </c>
      <c r="M432" s="14">
        <v>2850.0</v>
      </c>
      <c r="N432" s="1">
        <v>2750.0</v>
      </c>
    </row>
    <row r="433">
      <c r="A433" s="13" t="s">
        <v>2688</v>
      </c>
      <c r="B433" s="31" t="s">
        <v>2689</v>
      </c>
      <c r="C433" s="13" t="s">
        <v>1209</v>
      </c>
      <c r="D433" s="13" t="s">
        <v>1209</v>
      </c>
      <c r="E433" s="13" t="s">
        <v>1316</v>
      </c>
      <c r="F433" s="13" t="s">
        <v>1315</v>
      </c>
      <c r="G433" s="13" t="s">
        <v>2279</v>
      </c>
      <c r="H433" s="13" t="s">
        <v>1209</v>
      </c>
      <c r="I433" s="13" t="s">
        <v>1209</v>
      </c>
      <c r="J433" s="13" t="s">
        <v>1230</v>
      </c>
      <c r="K433" s="13" t="s">
        <v>2686</v>
      </c>
      <c r="L433" s="14">
        <v>2850.0</v>
      </c>
      <c r="M433" s="14">
        <v>2850.0</v>
      </c>
      <c r="N433" s="1">
        <v>2750.0</v>
      </c>
    </row>
    <row r="434">
      <c r="A434" s="13" t="s">
        <v>2691</v>
      </c>
      <c r="B434" s="31" t="s">
        <v>2693</v>
      </c>
      <c r="C434" s="13" t="s">
        <v>1209</v>
      </c>
      <c r="D434" s="13" t="s">
        <v>1209</v>
      </c>
      <c r="E434" s="13" t="s">
        <v>1316</v>
      </c>
      <c r="F434" s="13" t="s">
        <v>1315</v>
      </c>
      <c r="G434" s="13" t="s">
        <v>2279</v>
      </c>
      <c r="H434" s="13" t="s">
        <v>1209</v>
      </c>
      <c r="I434" s="13" t="s">
        <v>1209</v>
      </c>
      <c r="J434" s="13" t="s">
        <v>1230</v>
      </c>
      <c r="K434" s="13" t="s">
        <v>2686</v>
      </c>
      <c r="L434" s="14">
        <v>2850.0</v>
      </c>
      <c r="M434" s="14">
        <v>2850.0</v>
      </c>
      <c r="N434" s="1">
        <v>2750.0</v>
      </c>
    </row>
    <row r="435">
      <c r="A435" s="13" t="s">
        <v>2694</v>
      </c>
      <c r="B435" s="13" t="s">
        <v>2695</v>
      </c>
      <c r="C435" s="13" t="s">
        <v>1209</v>
      </c>
      <c r="D435" s="13" t="s">
        <v>1209</v>
      </c>
      <c r="E435" s="13" t="s">
        <v>1316</v>
      </c>
      <c r="F435" s="13" t="s">
        <v>1315</v>
      </c>
      <c r="G435" s="13" t="s">
        <v>2279</v>
      </c>
      <c r="H435" s="13" t="s">
        <v>1209</v>
      </c>
      <c r="I435" s="13" t="s">
        <v>1209</v>
      </c>
      <c r="J435" s="13" t="s">
        <v>213</v>
      </c>
      <c r="K435" s="13" t="s">
        <v>2697</v>
      </c>
      <c r="L435" s="14">
        <v>8500.0</v>
      </c>
      <c r="M435" s="14">
        <v>8950.0</v>
      </c>
      <c r="N435" s="1">
        <v>7950.0</v>
      </c>
    </row>
    <row r="436">
      <c r="A436" s="13" t="s">
        <v>2699</v>
      </c>
      <c r="B436" s="13" t="s">
        <v>2700</v>
      </c>
      <c r="C436" s="13" t="s">
        <v>1209</v>
      </c>
      <c r="D436" s="13" t="s">
        <v>1209</v>
      </c>
      <c r="E436" s="13" t="s">
        <v>1316</v>
      </c>
      <c r="F436" s="13" t="s">
        <v>1315</v>
      </c>
      <c r="G436" s="13" t="s">
        <v>2279</v>
      </c>
      <c r="H436" s="13" t="s">
        <v>1209</v>
      </c>
      <c r="I436" s="13" t="s">
        <v>1209</v>
      </c>
      <c r="J436" s="13" t="s">
        <v>213</v>
      </c>
      <c r="K436" s="13" t="s">
        <v>2697</v>
      </c>
      <c r="L436" s="14">
        <v>8500.0</v>
      </c>
      <c r="M436" s="14">
        <v>8950.0</v>
      </c>
      <c r="N436" s="1">
        <v>7950.0</v>
      </c>
    </row>
    <row r="437">
      <c r="A437" s="13" t="s">
        <v>2701</v>
      </c>
      <c r="B437" s="31" t="s">
        <v>2702</v>
      </c>
      <c r="C437" s="13" t="s">
        <v>1209</v>
      </c>
      <c r="D437" s="13" t="s">
        <v>1209</v>
      </c>
      <c r="E437" s="13" t="s">
        <v>1316</v>
      </c>
      <c r="F437" s="13" t="s">
        <v>1315</v>
      </c>
      <c r="G437" s="13" t="s">
        <v>2279</v>
      </c>
      <c r="H437" s="13" t="s">
        <v>1209</v>
      </c>
      <c r="I437" s="13" t="s">
        <v>1209</v>
      </c>
      <c r="J437" s="13" t="s">
        <v>213</v>
      </c>
      <c r="K437" s="13" t="s">
        <v>2697</v>
      </c>
      <c r="L437" s="14">
        <v>8500.0</v>
      </c>
      <c r="M437" s="14">
        <v>8950.0</v>
      </c>
      <c r="N437" s="1">
        <v>7950.0</v>
      </c>
    </row>
    <row r="438">
      <c r="A438" s="13" t="s">
        <v>2703</v>
      </c>
      <c r="B438" s="31" t="s">
        <v>2704</v>
      </c>
      <c r="C438" s="13" t="s">
        <v>1209</v>
      </c>
      <c r="D438" s="13" t="s">
        <v>1209</v>
      </c>
      <c r="E438" s="13" t="s">
        <v>1316</v>
      </c>
      <c r="F438" s="13" t="s">
        <v>1315</v>
      </c>
      <c r="G438" s="13" t="s">
        <v>2279</v>
      </c>
      <c r="H438" s="13" t="s">
        <v>1209</v>
      </c>
      <c r="I438" s="13" t="s">
        <v>1209</v>
      </c>
      <c r="J438" s="13" t="s">
        <v>213</v>
      </c>
      <c r="K438" s="13" t="s">
        <v>2697</v>
      </c>
      <c r="L438" s="14">
        <v>8500.0</v>
      </c>
      <c r="M438" s="14">
        <v>8950.0</v>
      </c>
      <c r="N438" s="1">
        <v>7950.0</v>
      </c>
    </row>
    <row r="439">
      <c r="A439" s="13" t="s">
        <v>2705</v>
      </c>
      <c r="B439" s="31" t="s">
        <v>2706</v>
      </c>
      <c r="C439" s="13" t="s">
        <v>1209</v>
      </c>
      <c r="D439" s="13" t="s">
        <v>1209</v>
      </c>
      <c r="E439" s="13" t="s">
        <v>1350</v>
      </c>
      <c r="F439" s="13" t="s">
        <v>1315</v>
      </c>
      <c r="G439" s="13" t="s">
        <v>2279</v>
      </c>
      <c r="H439" s="13" t="s">
        <v>1209</v>
      </c>
      <c r="I439" s="13" t="s">
        <v>1209</v>
      </c>
      <c r="J439" s="13" t="s">
        <v>213</v>
      </c>
      <c r="K439" s="13" t="s">
        <v>2707</v>
      </c>
      <c r="L439" s="13" t="s">
        <v>1209</v>
      </c>
      <c r="M439" s="13" t="s">
        <v>1472</v>
      </c>
      <c r="N439" s="1" t="s">
        <v>1472</v>
      </c>
    </row>
    <row r="440">
      <c r="A440" s="13" t="s">
        <v>2708</v>
      </c>
      <c r="B440" s="31" t="s">
        <v>2709</v>
      </c>
      <c r="C440" s="13" t="s">
        <v>1209</v>
      </c>
      <c r="D440" s="13" t="s">
        <v>1209</v>
      </c>
      <c r="E440" s="13" t="s">
        <v>1350</v>
      </c>
      <c r="F440" s="13" t="s">
        <v>1315</v>
      </c>
      <c r="G440" s="13" t="s">
        <v>2279</v>
      </c>
      <c r="H440" s="13" t="s">
        <v>1209</v>
      </c>
      <c r="I440" s="13" t="s">
        <v>1209</v>
      </c>
      <c r="J440" s="13" t="s">
        <v>213</v>
      </c>
      <c r="K440" s="13" t="s">
        <v>2707</v>
      </c>
      <c r="L440" s="14">
        <v>10900.0</v>
      </c>
      <c r="M440" s="14">
        <v>11550.0</v>
      </c>
      <c r="N440" s="1">
        <v>10150.0</v>
      </c>
    </row>
    <row r="441">
      <c r="A441" s="13" t="s">
        <v>2711</v>
      </c>
      <c r="B441" s="31" t="s">
        <v>2712</v>
      </c>
      <c r="C441" s="13" t="s">
        <v>1209</v>
      </c>
      <c r="D441" s="13" t="s">
        <v>1209</v>
      </c>
      <c r="E441" s="13" t="s">
        <v>1335</v>
      </c>
      <c r="F441" s="13" t="s">
        <v>1315</v>
      </c>
      <c r="G441" s="13" t="s">
        <v>2279</v>
      </c>
      <c r="H441" s="13" t="s">
        <v>1209</v>
      </c>
      <c r="I441" s="13" t="s">
        <v>1209</v>
      </c>
      <c r="J441" s="13" t="s">
        <v>213</v>
      </c>
      <c r="K441" s="13" t="s">
        <v>2713</v>
      </c>
      <c r="L441" s="14">
        <v>9250.0</v>
      </c>
      <c r="M441" s="14">
        <v>9450.0</v>
      </c>
      <c r="N441" s="1">
        <v>8950.0</v>
      </c>
    </row>
    <row r="442">
      <c r="A442" s="13" t="s">
        <v>2715</v>
      </c>
      <c r="B442" s="31" t="s">
        <v>2717</v>
      </c>
      <c r="C442" s="13" t="s">
        <v>1209</v>
      </c>
      <c r="D442" s="13" t="s">
        <v>1209</v>
      </c>
      <c r="E442" s="13" t="s">
        <v>1335</v>
      </c>
      <c r="F442" s="13" t="s">
        <v>1315</v>
      </c>
      <c r="G442" s="13" t="s">
        <v>2279</v>
      </c>
      <c r="H442" s="13" t="s">
        <v>1209</v>
      </c>
      <c r="I442" s="13" t="s">
        <v>1209</v>
      </c>
      <c r="J442" s="13" t="s">
        <v>213</v>
      </c>
      <c r="K442" s="13" t="s">
        <v>2713</v>
      </c>
      <c r="L442" s="14">
        <v>9250.0</v>
      </c>
      <c r="M442" s="14">
        <v>9450.0</v>
      </c>
      <c r="N442" s="1">
        <v>8950.0</v>
      </c>
    </row>
    <row r="443">
      <c r="A443" s="13" t="s">
        <v>2720</v>
      </c>
      <c r="B443" s="31" t="s">
        <v>2721</v>
      </c>
      <c r="C443" s="13" t="s">
        <v>1209</v>
      </c>
      <c r="D443" s="13" t="s">
        <v>1209</v>
      </c>
      <c r="E443" s="13" t="s">
        <v>1335</v>
      </c>
      <c r="F443" s="13" t="s">
        <v>1315</v>
      </c>
      <c r="G443" s="13" t="s">
        <v>2279</v>
      </c>
      <c r="H443" s="13" t="s">
        <v>1209</v>
      </c>
      <c r="I443" s="13" t="s">
        <v>1209</v>
      </c>
      <c r="J443" s="13" t="s">
        <v>213</v>
      </c>
      <c r="K443" s="13" t="s">
        <v>2722</v>
      </c>
      <c r="L443" s="14">
        <v>3700.0</v>
      </c>
      <c r="M443" s="13" t="s">
        <v>1209</v>
      </c>
      <c r="N443" s="1" t="s">
        <v>1209</v>
      </c>
    </row>
    <row r="444">
      <c r="A444" s="13" t="s">
        <v>2723</v>
      </c>
      <c r="B444" s="31" t="s">
        <v>2725</v>
      </c>
      <c r="C444" s="13" t="s">
        <v>1209</v>
      </c>
      <c r="D444" s="13" t="s">
        <v>1209</v>
      </c>
      <c r="E444" s="13" t="s">
        <v>1335</v>
      </c>
      <c r="F444" s="13" t="s">
        <v>1315</v>
      </c>
      <c r="G444" s="13" t="s">
        <v>2279</v>
      </c>
      <c r="H444" s="13" t="s">
        <v>1209</v>
      </c>
      <c r="I444" s="13" t="s">
        <v>1209</v>
      </c>
      <c r="J444" s="13" t="s">
        <v>213</v>
      </c>
      <c r="K444" s="13" t="s">
        <v>2722</v>
      </c>
      <c r="L444" s="14">
        <v>3700.0</v>
      </c>
      <c r="M444" s="13" t="s">
        <v>1209</v>
      </c>
      <c r="N444" s="1" t="s">
        <v>1209</v>
      </c>
    </row>
    <row r="445">
      <c r="A445" s="13" t="s">
        <v>2726</v>
      </c>
      <c r="B445" s="31" t="s">
        <v>2727</v>
      </c>
      <c r="C445" s="13" t="s">
        <v>1209</v>
      </c>
      <c r="D445" s="13" t="s">
        <v>1209</v>
      </c>
      <c r="E445" s="13" t="s">
        <v>1335</v>
      </c>
      <c r="F445" s="13" t="s">
        <v>1315</v>
      </c>
      <c r="G445" s="13" t="s">
        <v>2279</v>
      </c>
      <c r="H445" s="13" t="s">
        <v>1209</v>
      </c>
      <c r="I445" s="13" t="s">
        <v>1209</v>
      </c>
      <c r="J445" s="13" t="s">
        <v>213</v>
      </c>
      <c r="K445" s="13" t="s">
        <v>2236</v>
      </c>
      <c r="L445" s="14">
        <v>8100.0</v>
      </c>
      <c r="M445" s="14">
        <v>8150.0</v>
      </c>
      <c r="N445" s="1">
        <v>7950.0</v>
      </c>
    </row>
    <row r="446">
      <c r="A446" s="13" t="s">
        <v>2728</v>
      </c>
      <c r="B446" s="31" t="s">
        <v>2729</v>
      </c>
      <c r="C446" s="13" t="s">
        <v>1209</v>
      </c>
      <c r="D446" s="13" t="s">
        <v>1209</v>
      </c>
      <c r="E446" s="13" t="s">
        <v>1316</v>
      </c>
      <c r="F446" s="13" t="s">
        <v>1315</v>
      </c>
      <c r="G446" s="13" t="s">
        <v>2279</v>
      </c>
      <c r="H446" s="13" t="s">
        <v>1209</v>
      </c>
      <c r="I446" s="13" t="s">
        <v>1209</v>
      </c>
      <c r="J446" s="13" t="s">
        <v>213</v>
      </c>
      <c r="K446" s="13" t="s">
        <v>2236</v>
      </c>
      <c r="L446" s="14">
        <v>6750.0</v>
      </c>
      <c r="M446" s="14">
        <v>6950.0</v>
      </c>
      <c r="N446" s="1">
        <v>6450.0</v>
      </c>
    </row>
    <row r="447">
      <c r="A447" s="13" t="s">
        <v>2732</v>
      </c>
      <c r="B447" s="31" t="s">
        <v>2733</v>
      </c>
      <c r="C447" s="13" t="s">
        <v>1209</v>
      </c>
      <c r="D447" s="13" t="s">
        <v>1209</v>
      </c>
      <c r="E447" s="13" t="s">
        <v>1335</v>
      </c>
      <c r="F447" s="13" t="s">
        <v>1315</v>
      </c>
      <c r="G447" s="13" t="s">
        <v>2279</v>
      </c>
      <c r="H447" s="13" t="s">
        <v>1209</v>
      </c>
      <c r="I447" s="13" t="s">
        <v>1209</v>
      </c>
      <c r="J447" s="13" t="s">
        <v>213</v>
      </c>
      <c r="K447" s="13" t="s">
        <v>2236</v>
      </c>
      <c r="L447" s="14">
        <v>8100.0</v>
      </c>
      <c r="M447" s="14">
        <v>8150.0</v>
      </c>
      <c r="N447" s="1">
        <v>7950.0</v>
      </c>
    </row>
    <row r="448">
      <c r="A448" s="13" t="s">
        <v>2734</v>
      </c>
      <c r="B448" s="31" t="s">
        <v>2736</v>
      </c>
      <c r="C448" s="13" t="s">
        <v>1209</v>
      </c>
      <c r="D448" s="13" t="s">
        <v>1209</v>
      </c>
      <c r="E448" s="13" t="s">
        <v>1335</v>
      </c>
      <c r="F448" s="13" t="s">
        <v>1315</v>
      </c>
      <c r="G448" s="13" t="s">
        <v>2279</v>
      </c>
      <c r="H448" s="13" t="s">
        <v>1209</v>
      </c>
      <c r="I448" s="13" t="s">
        <v>1209</v>
      </c>
      <c r="J448" s="13" t="s">
        <v>2419</v>
      </c>
      <c r="K448" s="13" t="s">
        <v>2482</v>
      </c>
      <c r="L448" s="14">
        <v>4500.0</v>
      </c>
      <c r="M448" s="13" t="s">
        <v>1209</v>
      </c>
      <c r="N448" s="1" t="s">
        <v>1209</v>
      </c>
    </row>
    <row r="449">
      <c r="A449" s="13" t="s">
        <v>2738</v>
      </c>
      <c r="B449" s="31" t="s">
        <v>2739</v>
      </c>
      <c r="C449" s="13" t="s">
        <v>1209</v>
      </c>
      <c r="D449" s="13" t="s">
        <v>1209</v>
      </c>
      <c r="E449" s="13" t="s">
        <v>1316</v>
      </c>
      <c r="F449" s="13" t="s">
        <v>1315</v>
      </c>
      <c r="G449" s="13" t="s">
        <v>2279</v>
      </c>
      <c r="H449" s="13" t="s">
        <v>1209</v>
      </c>
      <c r="I449" s="13" t="s">
        <v>1209</v>
      </c>
      <c r="J449" s="13" t="s">
        <v>2497</v>
      </c>
      <c r="K449" s="13" t="s">
        <v>2501</v>
      </c>
      <c r="L449" s="14">
        <v>875.0</v>
      </c>
      <c r="M449" s="14">
        <v>900.0</v>
      </c>
      <c r="N449" s="1">
        <v>750.0</v>
      </c>
    </row>
    <row r="450">
      <c r="A450" s="13" t="s">
        <v>2740</v>
      </c>
      <c r="B450" s="31" t="s">
        <v>2741</v>
      </c>
      <c r="C450" s="13" t="s">
        <v>1209</v>
      </c>
      <c r="D450" s="13" t="s">
        <v>1209</v>
      </c>
      <c r="E450" s="13" t="s">
        <v>1316</v>
      </c>
      <c r="F450" s="13" t="s">
        <v>1315</v>
      </c>
      <c r="G450" s="13" t="s">
        <v>2279</v>
      </c>
      <c r="H450" s="13" t="s">
        <v>1209</v>
      </c>
      <c r="I450" s="13" t="s">
        <v>1209</v>
      </c>
      <c r="J450" s="13" t="s">
        <v>2497</v>
      </c>
      <c r="K450" s="13" t="s">
        <v>2501</v>
      </c>
      <c r="L450" s="14">
        <v>7225.0</v>
      </c>
      <c r="M450" s="14">
        <v>7250.0</v>
      </c>
      <c r="N450" s="1">
        <v>7100.0</v>
      </c>
    </row>
    <row r="451">
      <c r="A451" s="13" t="s">
        <v>2743</v>
      </c>
      <c r="B451" s="31" t="s">
        <v>2744</v>
      </c>
      <c r="C451" s="13" t="s">
        <v>1209</v>
      </c>
      <c r="D451" s="13" t="s">
        <v>1209</v>
      </c>
      <c r="E451" s="13" t="s">
        <v>1316</v>
      </c>
      <c r="F451" s="13" t="s">
        <v>1315</v>
      </c>
      <c r="G451" s="13" t="s">
        <v>2279</v>
      </c>
      <c r="H451" s="13" t="s">
        <v>1209</v>
      </c>
      <c r="I451" s="13" t="s">
        <v>1209</v>
      </c>
      <c r="J451" s="13" t="s">
        <v>2497</v>
      </c>
      <c r="K451" s="13" t="s">
        <v>2501</v>
      </c>
      <c r="L451" s="14">
        <v>6650.0</v>
      </c>
      <c r="M451" s="14">
        <v>7250.0</v>
      </c>
      <c r="N451" s="1">
        <v>2350.0</v>
      </c>
    </row>
    <row r="452">
      <c r="A452" s="13" t="s">
        <v>2745</v>
      </c>
      <c r="B452" s="31" t="s">
        <v>2746</v>
      </c>
      <c r="C452" s="13" t="s">
        <v>1209</v>
      </c>
      <c r="D452" s="13" t="s">
        <v>1209</v>
      </c>
      <c r="E452" s="13" t="s">
        <v>1316</v>
      </c>
      <c r="F452" s="13" t="s">
        <v>1315</v>
      </c>
      <c r="G452" s="13" t="s">
        <v>2279</v>
      </c>
      <c r="H452" s="13" t="s">
        <v>1209</v>
      </c>
      <c r="I452" s="13" t="s">
        <v>1209</v>
      </c>
      <c r="J452" s="13" t="s">
        <v>2497</v>
      </c>
      <c r="K452" s="13" t="s">
        <v>2501</v>
      </c>
      <c r="L452" s="14">
        <v>875.0</v>
      </c>
      <c r="M452" s="14">
        <v>900.0</v>
      </c>
      <c r="N452" s="1">
        <v>750.0</v>
      </c>
    </row>
    <row r="453">
      <c r="A453" s="13" t="s">
        <v>2747</v>
      </c>
      <c r="B453" s="31" t="s">
        <v>2749</v>
      </c>
      <c r="C453" s="13" t="s">
        <v>1209</v>
      </c>
      <c r="D453" s="13" t="s">
        <v>1209</v>
      </c>
      <c r="E453" s="13" t="s">
        <v>1316</v>
      </c>
      <c r="F453" s="13" t="s">
        <v>1315</v>
      </c>
      <c r="G453" s="13" t="s">
        <v>2279</v>
      </c>
      <c r="H453" s="13" t="s">
        <v>1209</v>
      </c>
      <c r="I453" s="13" t="s">
        <v>1209</v>
      </c>
      <c r="J453" s="13" t="s">
        <v>2497</v>
      </c>
      <c r="K453" s="13" t="s">
        <v>2501</v>
      </c>
      <c r="L453" s="14">
        <v>875.0</v>
      </c>
      <c r="M453" s="14">
        <v>900.0</v>
      </c>
      <c r="N453" s="1">
        <v>750.0</v>
      </c>
    </row>
    <row r="454">
      <c r="A454" s="13" t="s">
        <v>2750</v>
      </c>
      <c r="B454" s="31" t="s">
        <v>2752</v>
      </c>
      <c r="C454" s="13" t="s">
        <v>1209</v>
      </c>
      <c r="D454" s="13" t="s">
        <v>1209</v>
      </c>
      <c r="E454" s="13" t="s">
        <v>1316</v>
      </c>
      <c r="F454" s="13" t="s">
        <v>1315</v>
      </c>
      <c r="G454" s="13" t="s">
        <v>2279</v>
      </c>
      <c r="H454" s="13" t="s">
        <v>1209</v>
      </c>
      <c r="I454" s="13" t="s">
        <v>1209</v>
      </c>
      <c r="J454" s="13" t="s">
        <v>2497</v>
      </c>
      <c r="K454" s="13" t="s">
        <v>2501</v>
      </c>
      <c r="L454" s="14">
        <v>6700.0</v>
      </c>
      <c r="M454" s="14">
        <v>7350.0</v>
      </c>
      <c r="N454" s="1">
        <v>2350.0</v>
      </c>
    </row>
    <row r="455">
      <c r="A455" s="13" t="s">
        <v>2754</v>
      </c>
      <c r="B455" s="31" t="s">
        <v>2755</v>
      </c>
      <c r="C455" s="13" t="s">
        <v>1209</v>
      </c>
      <c r="D455" s="13" t="s">
        <v>1209</v>
      </c>
      <c r="E455" s="13" t="s">
        <v>1350</v>
      </c>
      <c r="F455" s="13" t="s">
        <v>1315</v>
      </c>
      <c r="G455" s="13" t="s">
        <v>2279</v>
      </c>
      <c r="H455" s="13" t="s">
        <v>1209</v>
      </c>
      <c r="I455" s="13" t="s">
        <v>1209</v>
      </c>
      <c r="J455" s="13" t="s">
        <v>1104</v>
      </c>
      <c r="K455" s="13" t="s">
        <v>2758</v>
      </c>
      <c r="L455" s="14">
        <v>0.0</v>
      </c>
      <c r="M455" s="14">
        <v>-60.0</v>
      </c>
      <c r="N455" s="1">
        <v>-65.0</v>
      </c>
    </row>
    <row r="456">
      <c r="A456" s="13" t="s">
        <v>2761</v>
      </c>
      <c r="B456" s="31" t="s">
        <v>2763</v>
      </c>
      <c r="C456" s="13" t="s">
        <v>1209</v>
      </c>
      <c r="D456" s="13" t="s">
        <v>1209</v>
      </c>
      <c r="E456" s="13" t="s">
        <v>1350</v>
      </c>
      <c r="F456" s="13" t="s">
        <v>1315</v>
      </c>
      <c r="G456" s="13" t="s">
        <v>2279</v>
      </c>
      <c r="H456" s="13" t="s">
        <v>1209</v>
      </c>
      <c r="I456" s="13" t="s">
        <v>1209</v>
      </c>
      <c r="J456" s="13" t="s">
        <v>1104</v>
      </c>
      <c r="K456" s="13" t="s">
        <v>2765</v>
      </c>
      <c r="L456" s="14">
        <v>0.0</v>
      </c>
      <c r="M456" s="14">
        <v>-60.0</v>
      </c>
      <c r="N456" s="1">
        <v>-65.0</v>
      </c>
    </row>
    <row r="457">
      <c r="A457" s="13" t="s">
        <v>2768</v>
      </c>
      <c r="B457" s="31" t="s">
        <v>2769</v>
      </c>
      <c r="C457" s="13" t="s">
        <v>1209</v>
      </c>
      <c r="D457" s="13" t="s">
        <v>1209</v>
      </c>
      <c r="E457" s="13" t="s">
        <v>1350</v>
      </c>
      <c r="F457" s="13" t="s">
        <v>1315</v>
      </c>
      <c r="G457" s="13" t="s">
        <v>2279</v>
      </c>
      <c r="H457" s="13" t="s">
        <v>1209</v>
      </c>
      <c r="I457" s="13" t="s">
        <v>1209</v>
      </c>
      <c r="J457" s="13" t="s">
        <v>2771</v>
      </c>
      <c r="K457" s="13" t="s">
        <v>2772</v>
      </c>
      <c r="L457" s="14">
        <v>7850.0</v>
      </c>
      <c r="M457" s="14">
        <v>8100.0</v>
      </c>
      <c r="N457" s="1">
        <v>7600.0</v>
      </c>
    </row>
    <row r="458">
      <c r="A458" s="13" t="s">
        <v>2774</v>
      </c>
      <c r="B458" s="31" t="s">
        <v>2775</v>
      </c>
      <c r="C458" s="13" t="s">
        <v>1209</v>
      </c>
      <c r="D458" s="13" t="s">
        <v>1209</v>
      </c>
      <c r="E458" s="13" t="s">
        <v>1350</v>
      </c>
      <c r="F458" s="13" t="s">
        <v>1315</v>
      </c>
      <c r="G458" s="13" t="s">
        <v>2279</v>
      </c>
      <c r="H458" s="13" t="s">
        <v>1209</v>
      </c>
      <c r="I458" s="13" t="s">
        <v>1209</v>
      </c>
      <c r="J458" s="13" t="s">
        <v>2771</v>
      </c>
      <c r="K458" s="13" t="s">
        <v>2772</v>
      </c>
      <c r="L458" s="14">
        <v>7850.0</v>
      </c>
      <c r="M458" s="14">
        <v>8100.0</v>
      </c>
      <c r="N458" s="1">
        <v>7600.0</v>
      </c>
    </row>
    <row r="459">
      <c r="A459" s="13" t="s">
        <v>2779</v>
      </c>
      <c r="B459" s="31" t="s">
        <v>2780</v>
      </c>
      <c r="C459" s="13" t="s">
        <v>1209</v>
      </c>
      <c r="D459" s="13" t="s">
        <v>1209</v>
      </c>
      <c r="E459" s="13" t="s">
        <v>1350</v>
      </c>
      <c r="F459" s="13" t="s">
        <v>1315</v>
      </c>
      <c r="G459" s="13" t="s">
        <v>2279</v>
      </c>
      <c r="H459" s="13" t="s">
        <v>1209</v>
      </c>
      <c r="I459" s="13" t="s">
        <v>1209</v>
      </c>
      <c r="J459" s="13" t="s">
        <v>2771</v>
      </c>
      <c r="K459" s="13" t="s">
        <v>2781</v>
      </c>
      <c r="L459" s="14">
        <v>7850.0</v>
      </c>
      <c r="M459" s="14">
        <v>8100.0</v>
      </c>
      <c r="N459" s="1">
        <v>7600.0</v>
      </c>
    </row>
    <row r="460">
      <c r="A460" s="13" t="s">
        <v>2784</v>
      </c>
      <c r="B460" s="31" t="s">
        <v>2785</v>
      </c>
      <c r="C460" s="13" t="s">
        <v>1209</v>
      </c>
      <c r="D460" s="13" t="s">
        <v>1209</v>
      </c>
      <c r="E460" s="13" t="s">
        <v>1350</v>
      </c>
      <c r="F460" s="13" t="s">
        <v>1315</v>
      </c>
      <c r="G460" s="13" t="s">
        <v>2279</v>
      </c>
      <c r="H460" s="13" t="s">
        <v>1209</v>
      </c>
      <c r="I460" s="13" t="s">
        <v>1209</v>
      </c>
      <c r="J460" s="13" t="s">
        <v>2771</v>
      </c>
      <c r="K460" s="13" t="s">
        <v>2781</v>
      </c>
      <c r="L460" s="14">
        <v>7850.0</v>
      </c>
      <c r="M460" s="14">
        <v>8100.0</v>
      </c>
      <c r="N460" s="1">
        <v>7600.0</v>
      </c>
    </row>
    <row r="461">
      <c r="A461" s="13" t="s">
        <v>2786</v>
      </c>
      <c r="B461" s="31" t="s">
        <v>2787</v>
      </c>
      <c r="C461" s="13" t="s">
        <v>1209</v>
      </c>
      <c r="D461" s="13" t="s">
        <v>1209</v>
      </c>
      <c r="E461" s="13" t="s">
        <v>1350</v>
      </c>
      <c r="F461" s="13" t="s">
        <v>1315</v>
      </c>
      <c r="G461" s="13" t="s">
        <v>2279</v>
      </c>
      <c r="H461" s="13" t="s">
        <v>1209</v>
      </c>
      <c r="I461" s="13" t="s">
        <v>1209</v>
      </c>
      <c r="J461" s="13" t="s">
        <v>2771</v>
      </c>
      <c r="K461" s="13" t="s">
        <v>2772</v>
      </c>
      <c r="L461" s="14">
        <v>7850.0</v>
      </c>
      <c r="M461" s="14">
        <v>8100.0</v>
      </c>
      <c r="N461" s="1">
        <v>7600.0</v>
      </c>
    </row>
    <row r="462">
      <c r="A462" s="13" t="s">
        <v>2789</v>
      </c>
      <c r="B462" s="31" t="s">
        <v>2790</v>
      </c>
      <c r="C462" s="13" t="s">
        <v>1209</v>
      </c>
      <c r="D462" s="13" t="s">
        <v>1209</v>
      </c>
      <c r="E462" s="13" t="s">
        <v>1335</v>
      </c>
      <c r="F462" s="13" t="s">
        <v>1315</v>
      </c>
      <c r="G462" s="13" t="s">
        <v>2279</v>
      </c>
      <c r="H462" s="13" t="s">
        <v>1209</v>
      </c>
      <c r="I462" s="13" t="s">
        <v>1209</v>
      </c>
      <c r="J462" s="13" t="s">
        <v>2419</v>
      </c>
      <c r="K462" s="13" t="s">
        <v>2791</v>
      </c>
      <c r="L462" s="14">
        <v>11400.0</v>
      </c>
      <c r="M462" s="14">
        <v>11950.0</v>
      </c>
      <c r="N462" s="1">
        <v>10750.0</v>
      </c>
    </row>
    <row r="463">
      <c r="A463" s="13" t="s">
        <v>2792</v>
      </c>
      <c r="B463" s="31" t="s">
        <v>2793</v>
      </c>
      <c r="C463" s="13" t="s">
        <v>1209</v>
      </c>
      <c r="D463" s="13" t="s">
        <v>1209</v>
      </c>
      <c r="E463" s="13" t="s">
        <v>1335</v>
      </c>
      <c r="F463" s="13" t="s">
        <v>1315</v>
      </c>
      <c r="G463" s="13" t="s">
        <v>2279</v>
      </c>
      <c r="H463" s="13" t="s">
        <v>1209</v>
      </c>
      <c r="I463" s="13" t="s">
        <v>1209</v>
      </c>
      <c r="J463" s="13" t="s">
        <v>2419</v>
      </c>
      <c r="K463" s="13" t="s">
        <v>2791</v>
      </c>
      <c r="L463" s="14">
        <v>11400.0</v>
      </c>
      <c r="M463" s="14">
        <v>11950.0</v>
      </c>
      <c r="N463" s="1">
        <v>10750.0</v>
      </c>
    </row>
    <row r="464">
      <c r="A464" s="13" t="s">
        <v>2794</v>
      </c>
      <c r="B464" s="31" t="s">
        <v>2795</v>
      </c>
      <c r="C464" s="13" t="s">
        <v>1209</v>
      </c>
      <c r="D464" s="13" t="s">
        <v>1209</v>
      </c>
      <c r="E464" s="13" t="s">
        <v>1350</v>
      </c>
      <c r="F464" s="13" t="s">
        <v>1315</v>
      </c>
      <c r="G464" s="13" t="s">
        <v>2279</v>
      </c>
      <c r="H464" s="13" t="s">
        <v>1209</v>
      </c>
      <c r="I464" s="13" t="s">
        <v>1209</v>
      </c>
      <c r="J464" s="13" t="s">
        <v>1230</v>
      </c>
      <c r="K464" s="13" t="s">
        <v>2796</v>
      </c>
      <c r="L464" s="14">
        <v>10000.0</v>
      </c>
      <c r="M464" s="13" t="s">
        <v>1209</v>
      </c>
      <c r="N464" s="1" t="s">
        <v>1209</v>
      </c>
    </row>
    <row r="465">
      <c r="A465" s="13" t="s">
        <v>2797</v>
      </c>
      <c r="B465" s="31" t="s">
        <v>2798</v>
      </c>
      <c r="C465" s="13" t="s">
        <v>1209</v>
      </c>
      <c r="D465" s="13" t="s">
        <v>1209</v>
      </c>
      <c r="E465" s="13" t="s">
        <v>1335</v>
      </c>
      <c r="F465" s="13" t="s">
        <v>1315</v>
      </c>
      <c r="G465" s="13" t="s">
        <v>2279</v>
      </c>
      <c r="H465" s="13" t="s">
        <v>1209</v>
      </c>
      <c r="I465" s="13" t="s">
        <v>1209</v>
      </c>
      <c r="J465" s="13" t="s">
        <v>1104</v>
      </c>
      <c r="K465" s="13" t="s">
        <v>2800</v>
      </c>
      <c r="L465" s="14">
        <v>4050.0</v>
      </c>
      <c r="M465" s="14">
        <v>4300.0</v>
      </c>
      <c r="N465" s="1">
        <v>3800.0</v>
      </c>
    </row>
    <row r="466">
      <c r="A466" s="13" t="s">
        <v>2802</v>
      </c>
      <c r="B466" s="31" t="s">
        <v>2803</v>
      </c>
      <c r="C466" s="13" t="s">
        <v>1209</v>
      </c>
      <c r="D466" s="13" t="s">
        <v>1209</v>
      </c>
      <c r="E466" s="13" t="s">
        <v>1316</v>
      </c>
      <c r="F466" s="13" t="s">
        <v>1315</v>
      </c>
      <c r="G466" s="13" t="s">
        <v>2279</v>
      </c>
      <c r="H466" s="13" t="s">
        <v>1209</v>
      </c>
      <c r="I466" s="13" t="s">
        <v>1209</v>
      </c>
      <c r="J466" s="13" t="s">
        <v>1104</v>
      </c>
      <c r="K466" s="13" t="s">
        <v>2804</v>
      </c>
      <c r="L466" s="14">
        <v>4492.0</v>
      </c>
      <c r="M466" s="14">
        <v>4418.0</v>
      </c>
      <c r="N466" s="1">
        <v>4229.0</v>
      </c>
    </row>
    <row r="467">
      <c r="A467" s="13" t="s">
        <v>2805</v>
      </c>
      <c r="B467" s="31" t="s">
        <v>2806</v>
      </c>
      <c r="C467" s="13" t="s">
        <v>1209</v>
      </c>
      <c r="D467" s="13" t="s">
        <v>1209</v>
      </c>
      <c r="E467" s="13" t="s">
        <v>1335</v>
      </c>
      <c r="F467" s="13" t="s">
        <v>1315</v>
      </c>
      <c r="G467" s="13" t="s">
        <v>2279</v>
      </c>
      <c r="H467" s="13" t="s">
        <v>1209</v>
      </c>
      <c r="I467" s="13" t="s">
        <v>1209</v>
      </c>
      <c r="J467" s="13" t="s">
        <v>1104</v>
      </c>
      <c r="K467" s="13" t="s">
        <v>2804</v>
      </c>
      <c r="L467" s="14">
        <v>4492.0</v>
      </c>
      <c r="M467" s="14">
        <v>4418.0</v>
      </c>
      <c r="N467" s="1">
        <v>4229.0</v>
      </c>
    </row>
    <row r="468">
      <c r="A468" s="13" t="s">
        <v>2810</v>
      </c>
      <c r="B468" s="31" t="s">
        <v>2811</v>
      </c>
      <c r="C468" s="13" t="s">
        <v>1209</v>
      </c>
      <c r="D468" s="13" t="s">
        <v>1209</v>
      </c>
      <c r="E468" s="13" t="s">
        <v>1335</v>
      </c>
      <c r="F468" s="13" t="s">
        <v>1315</v>
      </c>
      <c r="G468" s="13" t="s">
        <v>2279</v>
      </c>
      <c r="H468" s="13" t="s">
        <v>1209</v>
      </c>
      <c r="I468" s="13" t="s">
        <v>1209</v>
      </c>
      <c r="J468" s="13" t="s">
        <v>1104</v>
      </c>
      <c r="K468" s="13" t="s">
        <v>2804</v>
      </c>
      <c r="L468" s="14">
        <v>4492.0</v>
      </c>
      <c r="M468" s="14">
        <v>4418.0</v>
      </c>
      <c r="N468" s="1">
        <v>4229.0</v>
      </c>
    </row>
    <row r="469">
      <c r="A469" s="13" t="s">
        <v>2814</v>
      </c>
      <c r="B469" s="31" t="s">
        <v>2815</v>
      </c>
      <c r="C469" s="13" t="s">
        <v>1209</v>
      </c>
      <c r="D469" s="13" t="s">
        <v>1209</v>
      </c>
      <c r="E469" s="13" t="s">
        <v>1350</v>
      </c>
      <c r="F469" s="13" t="s">
        <v>1315</v>
      </c>
      <c r="G469" s="13" t="s">
        <v>2279</v>
      </c>
      <c r="H469" s="13" t="s">
        <v>1209</v>
      </c>
      <c r="I469" s="13" t="s">
        <v>1209</v>
      </c>
      <c r="J469" s="13" t="s">
        <v>1342</v>
      </c>
      <c r="K469" s="13" t="s">
        <v>1345</v>
      </c>
      <c r="L469" s="14">
        <v>7000.0</v>
      </c>
      <c r="M469" s="13" t="s">
        <v>1209</v>
      </c>
      <c r="N469" s="1" t="s">
        <v>1209</v>
      </c>
    </row>
    <row r="470">
      <c r="A470" s="13" t="s">
        <v>2816</v>
      </c>
      <c r="B470" s="31" t="s">
        <v>2817</v>
      </c>
      <c r="C470" s="13" t="s">
        <v>1209</v>
      </c>
      <c r="D470" s="13" t="s">
        <v>1209</v>
      </c>
      <c r="E470" s="13" t="s">
        <v>1350</v>
      </c>
      <c r="F470" s="13" t="s">
        <v>1315</v>
      </c>
      <c r="G470" s="13" t="s">
        <v>2279</v>
      </c>
      <c r="H470" s="13" t="s">
        <v>1209</v>
      </c>
      <c r="I470" s="13" t="s">
        <v>1209</v>
      </c>
      <c r="J470" s="13" t="s">
        <v>1342</v>
      </c>
      <c r="K470" s="13" t="s">
        <v>1345</v>
      </c>
      <c r="L470" s="14">
        <v>7000.0</v>
      </c>
      <c r="M470" s="13" t="s">
        <v>1209</v>
      </c>
      <c r="N470" s="1" t="s">
        <v>1209</v>
      </c>
    </row>
    <row r="471">
      <c r="A471" s="13" t="s">
        <v>2822</v>
      </c>
      <c r="B471" s="31" t="s">
        <v>2823</v>
      </c>
      <c r="C471" s="13" t="s">
        <v>1209</v>
      </c>
      <c r="D471" s="13" t="s">
        <v>1209</v>
      </c>
      <c r="E471" s="13" t="s">
        <v>1350</v>
      </c>
      <c r="F471" s="13" t="s">
        <v>1315</v>
      </c>
      <c r="G471" s="13" t="s">
        <v>2279</v>
      </c>
      <c r="H471" s="13" t="s">
        <v>1209</v>
      </c>
      <c r="I471" s="13" t="s">
        <v>1209</v>
      </c>
      <c r="J471" s="13" t="s">
        <v>1342</v>
      </c>
      <c r="K471" s="13" t="s">
        <v>1345</v>
      </c>
      <c r="L471" s="14">
        <v>7000.0</v>
      </c>
      <c r="M471" s="13" t="s">
        <v>1209</v>
      </c>
      <c r="N471" s="1" t="s">
        <v>1209</v>
      </c>
    </row>
    <row r="472">
      <c r="A472" s="13" t="s">
        <v>2824</v>
      </c>
      <c r="B472" s="31" t="s">
        <v>2825</v>
      </c>
      <c r="C472" s="13" t="s">
        <v>1209</v>
      </c>
      <c r="D472" s="13" t="s">
        <v>1209</v>
      </c>
      <c r="E472" s="13" t="s">
        <v>1350</v>
      </c>
      <c r="F472" s="13" t="s">
        <v>1315</v>
      </c>
      <c r="G472" s="13" t="s">
        <v>2279</v>
      </c>
      <c r="H472" s="13" t="s">
        <v>1209</v>
      </c>
      <c r="I472" s="13" t="s">
        <v>1209</v>
      </c>
      <c r="J472" s="13" t="s">
        <v>1342</v>
      </c>
      <c r="K472" s="13" t="s">
        <v>1345</v>
      </c>
      <c r="L472" s="14">
        <v>7000.0</v>
      </c>
      <c r="M472" s="13" t="s">
        <v>1209</v>
      </c>
      <c r="N472" s="1" t="s">
        <v>1209</v>
      </c>
    </row>
    <row r="473">
      <c r="A473" s="13" t="s">
        <v>2829</v>
      </c>
      <c r="B473" s="31" t="s">
        <v>2830</v>
      </c>
      <c r="C473" s="13" t="s">
        <v>1209</v>
      </c>
      <c r="D473" s="13" t="s">
        <v>1209</v>
      </c>
      <c r="E473" s="13" t="s">
        <v>1350</v>
      </c>
      <c r="F473" s="13" t="s">
        <v>1315</v>
      </c>
      <c r="G473" s="13" t="s">
        <v>2279</v>
      </c>
      <c r="H473" s="13" t="s">
        <v>1209</v>
      </c>
      <c r="I473" s="13" t="s">
        <v>1209</v>
      </c>
      <c r="J473" s="13" t="s">
        <v>1342</v>
      </c>
      <c r="K473" s="13" t="s">
        <v>1345</v>
      </c>
      <c r="L473" s="14">
        <v>7000.0</v>
      </c>
      <c r="M473" s="13" t="s">
        <v>1209</v>
      </c>
      <c r="N473" s="1" t="s">
        <v>1209</v>
      </c>
    </row>
    <row r="474">
      <c r="A474" s="13" t="s">
        <v>2832</v>
      </c>
      <c r="B474" s="31" t="s">
        <v>2833</v>
      </c>
      <c r="C474" s="13" t="s">
        <v>1209</v>
      </c>
      <c r="D474" s="13" t="s">
        <v>1209</v>
      </c>
      <c r="E474" s="13" t="s">
        <v>1350</v>
      </c>
      <c r="F474" s="13" t="s">
        <v>1315</v>
      </c>
      <c r="G474" s="13" t="s">
        <v>2279</v>
      </c>
      <c r="H474" s="13" t="s">
        <v>1209</v>
      </c>
      <c r="I474" s="13" t="s">
        <v>1209</v>
      </c>
      <c r="J474" s="13" t="s">
        <v>1342</v>
      </c>
      <c r="K474" s="13" t="s">
        <v>1345</v>
      </c>
      <c r="L474" s="14">
        <v>7000.0</v>
      </c>
      <c r="M474" s="13" t="s">
        <v>1209</v>
      </c>
      <c r="N474" s="1" t="s">
        <v>1209</v>
      </c>
    </row>
    <row r="475">
      <c r="A475" s="13" t="s">
        <v>2834</v>
      </c>
      <c r="B475" s="31" t="s">
        <v>2835</v>
      </c>
      <c r="C475" s="13" t="s">
        <v>1209</v>
      </c>
      <c r="D475" s="13" t="s">
        <v>1209</v>
      </c>
      <c r="E475" s="13" t="s">
        <v>1350</v>
      </c>
      <c r="F475" s="13" t="s">
        <v>1315</v>
      </c>
      <c r="G475" s="13" t="s">
        <v>2279</v>
      </c>
      <c r="H475" s="13" t="s">
        <v>1209</v>
      </c>
      <c r="I475" s="13" t="s">
        <v>1209</v>
      </c>
      <c r="J475" s="13" t="s">
        <v>1342</v>
      </c>
      <c r="K475" s="13" t="s">
        <v>1345</v>
      </c>
      <c r="L475" s="14">
        <v>7000.0</v>
      </c>
      <c r="M475" s="13" t="s">
        <v>1209</v>
      </c>
      <c r="N475" s="1" t="s">
        <v>1209</v>
      </c>
    </row>
    <row r="476">
      <c r="A476" s="13" t="s">
        <v>2837</v>
      </c>
      <c r="B476" s="31" t="s">
        <v>2838</v>
      </c>
      <c r="C476" s="13" t="s">
        <v>1209</v>
      </c>
      <c r="D476" s="13" t="s">
        <v>1209</v>
      </c>
      <c r="E476" s="13" t="s">
        <v>1316</v>
      </c>
      <c r="F476" s="13" t="s">
        <v>1315</v>
      </c>
      <c r="G476" s="13" t="s">
        <v>2279</v>
      </c>
      <c r="H476" s="13" t="s">
        <v>1209</v>
      </c>
      <c r="I476" s="13" t="s">
        <v>1209</v>
      </c>
      <c r="J476" s="13" t="s">
        <v>1476</v>
      </c>
      <c r="K476" s="13" t="s">
        <v>2839</v>
      </c>
      <c r="L476" s="14">
        <v>5750.0</v>
      </c>
      <c r="M476" s="14">
        <v>6550.0</v>
      </c>
      <c r="N476" s="1">
        <v>6450.0</v>
      </c>
    </row>
    <row r="477">
      <c r="A477" s="13" t="s">
        <v>2841</v>
      </c>
      <c r="B477" s="31" t="s">
        <v>2842</v>
      </c>
      <c r="C477" s="13" t="s">
        <v>1209</v>
      </c>
      <c r="D477" s="13" t="s">
        <v>1209</v>
      </c>
      <c r="E477" s="13" t="s">
        <v>1316</v>
      </c>
      <c r="F477" s="13" t="s">
        <v>1315</v>
      </c>
      <c r="G477" s="13" t="s">
        <v>2279</v>
      </c>
      <c r="H477" s="13" t="s">
        <v>1209</v>
      </c>
      <c r="I477" s="13" t="s">
        <v>1209</v>
      </c>
      <c r="J477" s="13" t="s">
        <v>1476</v>
      </c>
      <c r="K477" s="13" t="s">
        <v>2839</v>
      </c>
      <c r="L477" s="14">
        <v>5750.0</v>
      </c>
      <c r="M477" s="14">
        <v>6550.0</v>
      </c>
      <c r="N477" s="1">
        <v>6450.0</v>
      </c>
    </row>
    <row r="478">
      <c r="A478" s="13" t="s">
        <v>2844</v>
      </c>
      <c r="B478" s="31" t="s">
        <v>2845</v>
      </c>
      <c r="C478" s="13" t="s">
        <v>1209</v>
      </c>
      <c r="D478" s="13" t="s">
        <v>1209</v>
      </c>
      <c r="E478" s="13" t="s">
        <v>1350</v>
      </c>
      <c r="F478" s="13" t="s">
        <v>1315</v>
      </c>
      <c r="G478" s="13" t="s">
        <v>2279</v>
      </c>
      <c r="H478" s="13" t="s">
        <v>1209</v>
      </c>
      <c r="I478" s="13" t="s">
        <v>1209</v>
      </c>
      <c r="J478" s="13" t="s">
        <v>213</v>
      </c>
      <c r="K478" s="13" t="s">
        <v>2846</v>
      </c>
      <c r="L478" s="14">
        <v>9250.0</v>
      </c>
      <c r="M478" s="14">
        <v>9450.0</v>
      </c>
      <c r="N478" s="1">
        <v>8950.0</v>
      </c>
    </row>
    <row r="479">
      <c r="A479" s="13" t="s">
        <v>2847</v>
      </c>
      <c r="B479" s="31" t="s">
        <v>2848</v>
      </c>
      <c r="C479" s="13" t="s">
        <v>1209</v>
      </c>
      <c r="D479" s="13" t="s">
        <v>1209</v>
      </c>
      <c r="E479" s="13" t="s">
        <v>1350</v>
      </c>
      <c r="F479" s="13" t="s">
        <v>1315</v>
      </c>
      <c r="G479" s="13" t="s">
        <v>2279</v>
      </c>
      <c r="H479" s="13" t="s">
        <v>1209</v>
      </c>
      <c r="I479" s="13" t="s">
        <v>1209</v>
      </c>
      <c r="J479" s="13" t="s">
        <v>213</v>
      </c>
      <c r="K479" s="13" t="s">
        <v>2846</v>
      </c>
      <c r="L479" s="14">
        <v>9250.0</v>
      </c>
      <c r="M479" s="14">
        <v>9450.0</v>
      </c>
      <c r="N479" s="1">
        <v>8950.0</v>
      </c>
    </row>
    <row r="480">
      <c r="A480" s="13" t="s">
        <v>2851</v>
      </c>
      <c r="B480" s="31" t="s">
        <v>2852</v>
      </c>
      <c r="C480" s="13" t="s">
        <v>1209</v>
      </c>
      <c r="D480" s="13" t="s">
        <v>1209</v>
      </c>
      <c r="E480" s="13" t="s">
        <v>1350</v>
      </c>
      <c r="F480" s="13" t="s">
        <v>1315</v>
      </c>
      <c r="G480" s="13" t="s">
        <v>2279</v>
      </c>
      <c r="H480" s="13" t="s">
        <v>1209</v>
      </c>
      <c r="I480" s="13" t="s">
        <v>1209</v>
      </c>
      <c r="J480" s="13" t="s">
        <v>213</v>
      </c>
      <c r="K480" s="13" t="s">
        <v>2846</v>
      </c>
      <c r="L480" s="14">
        <v>9250.0</v>
      </c>
      <c r="M480" s="14">
        <v>9450.0</v>
      </c>
      <c r="N480" s="1">
        <v>8950.0</v>
      </c>
    </row>
    <row r="481">
      <c r="A481" s="13" t="s">
        <v>2853</v>
      </c>
      <c r="B481" s="31" t="s">
        <v>2854</v>
      </c>
      <c r="C481" s="13" t="s">
        <v>1209</v>
      </c>
      <c r="D481" s="13" t="s">
        <v>1209</v>
      </c>
      <c r="E481" s="13" t="s">
        <v>1316</v>
      </c>
      <c r="F481" s="13" t="s">
        <v>1315</v>
      </c>
      <c r="G481" s="13" t="s">
        <v>2279</v>
      </c>
      <c r="H481" s="13" t="s">
        <v>1209</v>
      </c>
      <c r="I481" s="13" t="s">
        <v>1209</v>
      </c>
      <c r="J481" s="13" t="s">
        <v>1323</v>
      </c>
      <c r="K481" s="13" t="s">
        <v>1325</v>
      </c>
      <c r="L481" s="14">
        <v>1065.0</v>
      </c>
      <c r="M481" s="14">
        <v>966.0</v>
      </c>
      <c r="N481" s="1">
        <v>846.0</v>
      </c>
    </row>
    <row r="482">
      <c r="A482" s="13" t="s">
        <v>1313</v>
      </c>
      <c r="B482" s="31" t="s">
        <v>2856</v>
      </c>
      <c r="C482" s="13" t="s">
        <v>1209</v>
      </c>
      <c r="D482" s="13" t="s">
        <v>1209</v>
      </c>
      <c r="E482" s="13" t="s">
        <v>1316</v>
      </c>
      <c r="F482" s="13" t="s">
        <v>1315</v>
      </c>
      <c r="G482" s="13" t="s">
        <v>2279</v>
      </c>
      <c r="H482" s="32">
        <v>65.4854</v>
      </c>
      <c r="I482" s="32">
        <v>-19.3016</v>
      </c>
      <c r="J482" s="13" t="s">
        <v>1323</v>
      </c>
      <c r="K482" s="13" t="s">
        <v>1325</v>
      </c>
      <c r="L482" s="14">
        <v>1065.0</v>
      </c>
      <c r="M482" s="14">
        <v>966.0</v>
      </c>
      <c r="N482" s="1">
        <v>846.0</v>
      </c>
    </row>
    <row r="483">
      <c r="A483" s="13" t="s">
        <v>2859</v>
      </c>
      <c r="B483" s="31" t="s">
        <v>2860</v>
      </c>
      <c r="C483" s="13" t="s">
        <v>1209</v>
      </c>
      <c r="D483" s="13" t="s">
        <v>1209</v>
      </c>
      <c r="E483" s="13" t="s">
        <v>1350</v>
      </c>
      <c r="F483" s="13" t="s">
        <v>1315</v>
      </c>
      <c r="G483" s="13" t="s">
        <v>2279</v>
      </c>
      <c r="H483" s="13" t="s">
        <v>1209</v>
      </c>
      <c r="I483" s="13" t="s">
        <v>1209</v>
      </c>
      <c r="J483" s="13" t="s">
        <v>1476</v>
      </c>
      <c r="K483" s="13" t="s">
        <v>2861</v>
      </c>
      <c r="L483" s="13" t="s">
        <v>1209</v>
      </c>
      <c r="M483" s="13" t="s">
        <v>1472</v>
      </c>
      <c r="N483" s="1" t="s">
        <v>1472</v>
      </c>
    </row>
    <row r="484">
      <c r="A484" s="13" t="s">
        <v>2862</v>
      </c>
      <c r="B484" s="31" t="s">
        <v>2863</v>
      </c>
      <c r="C484" s="13" t="s">
        <v>1209</v>
      </c>
      <c r="D484" s="13" t="s">
        <v>1209</v>
      </c>
      <c r="E484" s="13" t="s">
        <v>1335</v>
      </c>
      <c r="F484" s="13" t="s">
        <v>1315</v>
      </c>
      <c r="G484" s="13" t="s">
        <v>2279</v>
      </c>
      <c r="H484" s="13" t="s">
        <v>1209</v>
      </c>
      <c r="I484" s="13" t="s">
        <v>1209</v>
      </c>
      <c r="J484" s="13" t="s">
        <v>2864</v>
      </c>
      <c r="K484" s="13" t="s">
        <v>2865</v>
      </c>
      <c r="L484" s="14">
        <v>1800.0</v>
      </c>
      <c r="M484" s="13" t="s">
        <v>1209</v>
      </c>
      <c r="N484" s="1" t="s">
        <v>1209</v>
      </c>
    </row>
    <row r="485">
      <c r="A485" s="13" t="s">
        <v>2867</v>
      </c>
      <c r="B485" s="31" t="s">
        <v>2868</v>
      </c>
      <c r="C485" s="13" t="s">
        <v>1209</v>
      </c>
      <c r="D485" s="13" t="s">
        <v>1209</v>
      </c>
      <c r="E485" s="13" t="s">
        <v>1335</v>
      </c>
      <c r="F485" s="13" t="s">
        <v>1315</v>
      </c>
      <c r="G485" s="13" t="s">
        <v>2279</v>
      </c>
      <c r="H485" s="13" t="s">
        <v>1209</v>
      </c>
      <c r="I485" s="13" t="s">
        <v>1209</v>
      </c>
      <c r="J485" s="13" t="s">
        <v>2864</v>
      </c>
      <c r="K485" s="13" t="s">
        <v>2865</v>
      </c>
      <c r="L485" s="14">
        <v>1800.0</v>
      </c>
      <c r="M485" s="13" t="s">
        <v>1209</v>
      </c>
      <c r="N485" s="1" t="s">
        <v>1209</v>
      </c>
    </row>
    <row r="486">
      <c r="A486" s="13" t="s">
        <v>2870</v>
      </c>
      <c r="B486" s="31" t="s">
        <v>2871</v>
      </c>
      <c r="C486" s="13" t="s">
        <v>1209</v>
      </c>
      <c r="D486" s="13" t="s">
        <v>1209</v>
      </c>
      <c r="E486" s="13" t="s">
        <v>1316</v>
      </c>
      <c r="F486" s="13" t="s">
        <v>1315</v>
      </c>
      <c r="G486" s="13" t="s">
        <v>2279</v>
      </c>
      <c r="H486" s="13" t="s">
        <v>1209</v>
      </c>
      <c r="I486" s="13" t="s">
        <v>1209</v>
      </c>
      <c r="J486" s="13" t="s">
        <v>2872</v>
      </c>
      <c r="K486" s="13" t="s">
        <v>2873</v>
      </c>
      <c r="L486" s="14">
        <v>885.0</v>
      </c>
      <c r="M486" s="14">
        <v>940.0</v>
      </c>
      <c r="N486" s="1">
        <v>730.0</v>
      </c>
    </row>
    <row r="487">
      <c r="A487" s="13" t="s">
        <v>2875</v>
      </c>
      <c r="B487" s="31" t="s">
        <v>2877</v>
      </c>
      <c r="C487" s="13" t="s">
        <v>1209</v>
      </c>
      <c r="D487" s="13" t="s">
        <v>1209</v>
      </c>
      <c r="E487" s="13" t="s">
        <v>1316</v>
      </c>
      <c r="F487" s="13" t="s">
        <v>1315</v>
      </c>
      <c r="G487" s="13" t="s">
        <v>2279</v>
      </c>
      <c r="H487" s="13" t="s">
        <v>1209</v>
      </c>
      <c r="I487" s="13" t="s">
        <v>1209</v>
      </c>
      <c r="J487" s="13" t="s">
        <v>2872</v>
      </c>
      <c r="K487" s="13" t="s">
        <v>2873</v>
      </c>
      <c r="L487" s="14">
        <v>885.0</v>
      </c>
      <c r="M487" s="14">
        <v>940.0</v>
      </c>
      <c r="N487" s="1">
        <v>730.0</v>
      </c>
    </row>
    <row r="488">
      <c r="A488" s="13" t="s">
        <v>2881</v>
      </c>
      <c r="B488" s="31" t="s">
        <v>2882</v>
      </c>
      <c r="C488" s="13" t="s">
        <v>1209</v>
      </c>
      <c r="D488" s="13" t="s">
        <v>1209</v>
      </c>
      <c r="E488" s="13" t="s">
        <v>1316</v>
      </c>
      <c r="F488" s="13" t="s">
        <v>1315</v>
      </c>
      <c r="G488" s="13" t="s">
        <v>2279</v>
      </c>
      <c r="H488" s="13" t="s">
        <v>1209</v>
      </c>
      <c r="I488" s="13" t="s">
        <v>1209</v>
      </c>
      <c r="J488" s="13" t="s">
        <v>2872</v>
      </c>
      <c r="K488" s="13" t="s">
        <v>2873</v>
      </c>
      <c r="L488" s="14">
        <v>885.0</v>
      </c>
      <c r="M488" s="14">
        <v>940.0</v>
      </c>
      <c r="N488" s="1">
        <v>730.0</v>
      </c>
    </row>
    <row r="489">
      <c r="A489" s="13" t="s">
        <v>2883</v>
      </c>
      <c r="B489" s="31" t="s">
        <v>2884</v>
      </c>
      <c r="C489" s="13" t="s">
        <v>1209</v>
      </c>
      <c r="D489" s="13" t="s">
        <v>1209</v>
      </c>
      <c r="E489" s="13" t="s">
        <v>1316</v>
      </c>
      <c r="F489" s="13" t="s">
        <v>1315</v>
      </c>
      <c r="G489" s="13" t="s">
        <v>2279</v>
      </c>
      <c r="H489" s="13" t="s">
        <v>1209</v>
      </c>
      <c r="I489" s="13" t="s">
        <v>1209</v>
      </c>
      <c r="J489" s="13" t="s">
        <v>2872</v>
      </c>
      <c r="K489" s="13" t="s">
        <v>2873</v>
      </c>
      <c r="L489" s="14">
        <v>885.0</v>
      </c>
      <c r="M489" s="14">
        <v>940.0</v>
      </c>
      <c r="N489" s="1">
        <v>730.0</v>
      </c>
    </row>
    <row r="490">
      <c r="A490" s="13" t="s">
        <v>2887</v>
      </c>
      <c r="B490" s="31" t="s">
        <v>2888</v>
      </c>
      <c r="C490" s="13" t="s">
        <v>1209</v>
      </c>
      <c r="D490" s="13" t="s">
        <v>1209</v>
      </c>
      <c r="E490" s="13" t="s">
        <v>1316</v>
      </c>
      <c r="F490" s="13" t="s">
        <v>1315</v>
      </c>
      <c r="G490" s="13" t="s">
        <v>2279</v>
      </c>
      <c r="H490" s="13" t="s">
        <v>1209</v>
      </c>
      <c r="I490" s="13" t="s">
        <v>1209</v>
      </c>
      <c r="J490" s="13" t="s">
        <v>2872</v>
      </c>
      <c r="K490" s="13" t="s">
        <v>2873</v>
      </c>
      <c r="L490" s="14">
        <v>885.0</v>
      </c>
      <c r="M490" s="14">
        <v>940.0</v>
      </c>
      <c r="N490" s="1">
        <v>730.0</v>
      </c>
    </row>
    <row r="491">
      <c r="A491" s="13" t="s">
        <v>2890</v>
      </c>
      <c r="B491" s="31" t="s">
        <v>2891</v>
      </c>
      <c r="C491" s="13" t="s">
        <v>1209</v>
      </c>
      <c r="D491" s="13" t="s">
        <v>1209</v>
      </c>
      <c r="E491" s="13" t="s">
        <v>1316</v>
      </c>
      <c r="F491" s="13" t="s">
        <v>1315</v>
      </c>
      <c r="G491" s="13" t="s">
        <v>2279</v>
      </c>
      <c r="H491" s="13" t="s">
        <v>1209</v>
      </c>
      <c r="I491" s="13" t="s">
        <v>1209</v>
      </c>
      <c r="J491" s="13" t="s">
        <v>2872</v>
      </c>
      <c r="K491" s="13" t="s">
        <v>2873</v>
      </c>
      <c r="L491" s="14">
        <v>885.0</v>
      </c>
      <c r="M491" s="14">
        <v>940.0</v>
      </c>
      <c r="N491" s="1">
        <v>730.0</v>
      </c>
    </row>
    <row r="492">
      <c r="A492" s="13" t="s">
        <v>2894</v>
      </c>
      <c r="B492" s="31" t="s">
        <v>2895</v>
      </c>
      <c r="C492" s="13" t="s">
        <v>1209</v>
      </c>
      <c r="D492" s="13" t="s">
        <v>1209</v>
      </c>
      <c r="E492" s="13" t="s">
        <v>1316</v>
      </c>
      <c r="F492" s="13" t="s">
        <v>1315</v>
      </c>
      <c r="G492" s="13" t="s">
        <v>2279</v>
      </c>
      <c r="H492" s="13" t="s">
        <v>1209</v>
      </c>
      <c r="I492" s="13" t="s">
        <v>1209</v>
      </c>
      <c r="J492" s="13" t="s">
        <v>2872</v>
      </c>
      <c r="K492" s="13" t="s">
        <v>2873</v>
      </c>
      <c r="L492" s="14">
        <v>885.0</v>
      </c>
      <c r="M492" s="14">
        <v>940.0</v>
      </c>
      <c r="N492" s="1">
        <v>730.0</v>
      </c>
    </row>
    <row r="493">
      <c r="A493" s="13" t="s">
        <v>2896</v>
      </c>
      <c r="B493" s="31" t="s">
        <v>2897</v>
      </c>
      <c r="C493" s="13" t="s">
        <v>1209</v>
      </c>
      <c r="D493" s="13" t="s">
        <v>1209</v>
      </c>
      <c r="E493" s="13" t="s">
        <v>1316</v>
      </c>
      <c r="F493" s="13" t="s">
        <v>1315</v>
      </c>
      <c r="G493" s="13" t="s">
        <v>2279</v>
      </c>
      <c r="H493" s="13" t="s">
        <v>1209</v>
      </c>
      <c r="I493" s="13" t="s">
        <v>1209</v>
      </c>
      <c r="J493" s="13" t="s">
        <v>2872</v>
      </c>
      <c r="K493" s="13" t="s">
        <v>2873</v>
      </c>
      <c r="L493" s="14">
        <v>885.0</v>
      </c>
      <c r="M493" s="14">
        <v>940.0</v>
      </c>
      <c r="N493" s="1">
        <v>730.0</v>
      </c>
    </row>
    <row r="494">
      <c r="A494" s="13" t="s">
        <v>2899</v>
      </c>
      <c r="B494" s="31" t="s">
        <v>2900</v>
      </c>
      <c r="C494" s="13" t="s">
        <v>1209</v>
      </c>
      <c r="D494" s="13" t="s">
        <v>1209</v>
      </c>
      <c r="E494" s="13" t="s">
        <v>1350</v>
      </c>
      <c r="F494" s="13" t="s">
        <v>1315</v>
      </c>
      <c r="G494" s="13" t="s">
        <v>2279</v>
      </c>
      <c r="H494" s="13" t="s">
        <v>1209</v>
      </c>
      <c r="I494" s="13" t="s">
        <v>1209</v>
      </c>
      <c r="J494" s="13" t="s">
        <v>295</v>
      </c>
      <c r="K494" s="13" t="s">
        <v>1409</v>
      </c>
      <c r="L494" s="14">
        <v>6500.0</v>
      </c>
      <c r="M494" s="13" t="s">
        <v>1209</v>
      </c>
      <c r="N494" s="1" t="s">
        <v>1209</v>
      </c>
    </row>
    <row r="495">
      <c r="A495" s="13" t="s">
        <v>2903</v>
      </c>
      <c r="B495" s="31" t="s">
        <v>2904</v>
      </c>
      <c r="C495" s="13" t="s">
        <v>1209</v>
      </c>
      <c r="D495" s="13" t="s">
        <v>1209</v>
      </c>
      <c r="E495" s="13" t="s">
        <v>1316</v>
      </c>
      <c r="F495" s="13" t="s">
        <v>1315</v>
      </c>
      <c r="G495" s="13" t="s">
        <v>2279</v>
      </c>
      <c r="H495" s="13" t="s">
        <v>1209</v>
      </c>
      <c r="I495" s="13" t="s">
        <v>1209</v>
      </c>
      <c r="J495" s="13" t="s">
        <v>295</v>
      </c>
      <c r="K495" s="13" t="s">
        <v>1409</v>
      </c>
      <c r="L495" s="14">
        <v>6500.0</v>
      </c>
      <c r="M495" s="13" t="s">
        <v>1209</v>
      </c>
      <c r="N495" s="1" t="s">
        <v>1209</v>
      </c>
    </row>
    <row r="496">
      <c r="A496" s="13" t="s">
        <v>2905</v>
      </c>
      <c r="B496" s="31" t="s">
        <v>2906</v>
      </c>
      <c r="C496" s="13" t="s">
        <v>1209</v>
      </c>
      <c r="D496" s="13" t="s">
        <v>1209</v>
      </c>
      <c r="E496" s="13" t="s">
        <v>1316</v>
      </c>
      <c r="F496" s="13" t="s">
        <v>1315</v>
      </c>
      <c r="G496" s="13" t="s">
        <v>2279</v>
      </c>
      <c r="H496" s="13" t="s">
        <v>1209</v>
      </c>
      <c r="I496" s="13" t="s">
        <v>1209</v>
      </c>
      <c r="J496" s="13" t="s">
        <v>295</v>
      </c>
      <c r="K496" s="13" t="s">
        <v>1409</v>
      </c>
      <c r="L496" s="14">
        <v>6500.0</v>
      </c>
      <c r="M496" s="13" t="s">
        <v>1209</v>
      </c>
      <c r="N496" s="1" t="s">
        <v>1209</v>
      </c>
    </row>
    <row r="497">
      <c r="A497" s="13" t="s">
        <v>2909</v>
      </c>
      <c r="B497" s="31" t="s">
        <v>2910</v>
      </c>
      <c r="C497" s="13" t="s">
        <v>1209</v>
      </c>
      <c r="D497" s="13" t="s">
        <v>1209</v>
      </c>
      <c r="E497" s="13" t="s">
        <v>1316</v>
      </c>
      <c r="F497" s="13" t="s">
        <v>1315</v>
      </c>
      <c r="G497" s="13" t="s">
        <v>2279</v>
      </c>
      <c r="H497" s="13" t="s">
        <v>1209</v>
      </c>
      <c r="I497" s="13" t="s">
        <v>1209</v>
      </c>
      <c r="J497" s="13" t="s">
        <v>2872</v>
      </c>
      <c r="K497" s="13" t="s">
        <v>2873</v>
      </c>
      <c r="L497" s="14">
        <v>885.0</v>
      </c>
      <c r="M497" s="14">
        <v>940.0</v>
      </c>
      <c r="N497" s="1">
        <v>730.0</v>
      </c>
    </row>
    <row r="498">
      <c r="A498" s="13" t="s">
        <v>2911</v>
      </c>
      <c r="B498" s="31" t="s">
        <v>2913</v>
      </c>
      <c r="C498" s="13" t="s">
        <v>1209</v>
      </c>
      <c r="D498" s="13" t="s">
        <v>1209</v>
      </c>
      <c r="E498" s="13" t="s">
        <v>1316</v>
      </c>
      <c r="F498" s="13" t="s">
        <v>1315</v>
      </c>
      <c r="G498" s="13" t="s">
        <v>2279</v>
      </c>
      <c r="H498" s="13" t="s">
        <v>1209</v>
      </c>
      <c r="I498" s="13" t="s">
        <v>1209</v>
      </c>
      <c r="J498" s="13" t="s">
        <v>2872</v>
      </c>
      <c r="K498" s="13" t="s">
        <v>2873</v>
      </c>
      <c r="L498" s="14">
        <v>885.0</v>
      </c>
      <c r="M498" s="14">
        <v>940.0</v>
      </c>
      <c r="N498" s="1">
        <v>730.0</v>
      </c>
    </row>
    <row r="499">
      <c r="A499" s="13" t="s">
        <v>2915</v>
      </c>
      <c r="B499" s="31" t="s">
        <v>2916</v>
      </c>
      <c r="C499" s="13" t="s">
        <v>1209</v>
      </c>
      <c r="D499" s="13" t="s">
        <v>1209</v>
      </c>
      <c r="E499" s="13" t="s">
        <v>1316</v>
      </c>
      <c r="F499" s="13" t="s">
        <v>1315</v>
      </c>
      <c r="G499" s="13" t="s">
        <v>2279</v>
      </c>
      <c r="H499" s="13" t="s">
        <v>1209</v>
      </c>
      <c r="I499" s="13" t="s">
        <v>1209</v>
      </c>
      <c r="J499" s="13" t="s">
        <v>2872</v>
      </c>
      <c r="K499" s="13" t="s">
        <v>2873</v>
      </c>
      <c r="L499" s="14">
        <v>885.0</v>
      </c>
      <c r="M499" s="14">
        <v>940.0</v>
      </c>
      <c r="N499" s="1">
        <v>730.0</v>
      </c>
    </row>
    <row r="500">
      <c r="A500" s="13" t="s">
        <v>2917</v>
      </c>
      <c r="B500" s="31" t="s">
        <v>2918</v>
      </c>
      <c r="C500" s="13" t="s">
        <v>1209</v>
      </c>
      <c r="D500" s="13" t="s">
        <v>1209</v>
      </c>
      <c r="E500" s="13" t="s">
        <v>1316</v>
      </c>
      <c r="F500" s="13" t="s">
        <v>1315</v>
      </c>
      <c r="G500" s="13" t="s">
        <v>2279</v>
      </c>
      <c r="H500" s="13" t="s">
        <v>1209</v>
      </c>
      <c r="I500" s="13" t="s">
        <v>1209</v>
      </c>
      <c r="J500" s="13" t="s">
        <v>2872</v>
      </c>
      <c r="K500" s="13" t="s">
        <v>2873</v>
      </c>
      <c r="L500" s="14">
        <v>885.0</v>
      </c>
      <c r="M500" s="14">
        <v>940.0</v>
      </c>
      <c r="N500" s="1">
        <v>730.0</v>
      </c>
    </row>
    <row r="501">
      <c r="A501" s="13" t="s">
        <v>2919</v>
      </c>
      <c r="B501" s="31" t="s">
        <v>2921</v>
      </c>
      <c r="C501" s="13" t="s">
        <v>1209</v>
      </c>
      <c r="D501" s="13" t="s">
        <v>1209</v>
      </c>
      <c r="E501" s="13" t="s">
        <v>1316</v>
      </c>
      <c r="F501" s="13" t="s">
        <v>1315</v>
      </c>
      <c r="G501" s="13" t="s">
        <v>2279</v>
      </c>
      <c r="H501" s="13" t="s">
        <v>1209</v>
      </c>
      <c r="I501" s="13" t="s">
        <v>1209</v>
      </c>
      <c r="J501" s="13" t="s">
        <v>2872</v>
      </c>
      <c r="K501" s="13" t="s">
        <v>2873</v>
      </c>
      <c r="L501" s="14">
        <v>885.0</v>
      </c>
      <c r="M501" s="14">
        <v>940.0</v>
      </c>
      <c r="N501" s="1">
        <v>730.0</v>
      </c>
    </row>
    <row r="502">
      <c r="A502" s="13" t="s">
        <v>2923</v>
      </c>
      <c r="B502" s="31" t="s">
        <v>2924</v>
      </c>
      <c r="C502" s="13" t="s">
        <v>1209</v>
      </c>
      <c r="D502" s="13" t="s">
        <v>1209</v>
      </c>
      <c r="E502" s="13" t="s">
        <v>1316</v>
      </c>
      <c r="F502" s="13" t="s">
        <v>1315</v>
      </c>
      <c r="G502" s="13" t="s">
        <v>2279</v>
      </c>
      <c r="H502" s="13" t="s">
        <v>1209</v>
      </c>
      <c r="I502" s="13" t="s">
        <v>1209</v>
      </c>
      <c r="J502" s="13" t="s">
        <v>2872</v>
      </c>
      <c r="K502" s="13" t="s">
        <v>2873</v>
      </c>
      <c r="L502" s="14">
        <v>885.0</v>
      </c>
      <c r="M502" s="14">
        <v>940.0</v>
      </c>
      <c r="N502" s="1">
        <v>730.0</v>
      </c>
    </row>
    <row r="503">
      <c r="A503" s="13" t="s">
        <v>2925</v>
      </c>
      <c r="B503" s="31" t="s">
        <v>2926</v>
      </c>
      <c r="C503" s="13" t="s">
        <v>1209</v>
      </c>
      <c r="D503" s="13" t="s">
        <v>1209</v>
      </c>
      <c r="E503" s="13" t="s">
        <v>1316</v>
      </c>
      <c r="F503" s="13" t="s">
        <v>1315</v>
      </c>
      <c r="G503" s="13" t="s">
        <v>2279</v>
      </c>
      <c r="H503" s="13" t="s">
        <v>1209</v>
      </c>
      <c r="I503" s="13" t="s">
        <v>1209</v>
      </c>
      <c r="J503" s="13" t="s">
        <v>2872</v>
      </c>
      <c r="K503" s="13" t="s">
        <v>2873</v>
      </c>
      <c r="L503" s="14">
        <v>885.0</v>
      </c>
      <c r="M503" s="14">
        <v>940.0</v>
      </c>
      <c r="N503" s="1">
        <v>730.0</v>
      </c>
    </row>
    <row r="504">
      <c r="A504" s="13" t="s">
        <v>2928</v>
      </c>
      <c r="B504" s="31" t="s">
        <v>2930</v>
      </c>
      <c r="C504" s="13" t="s">
        <v>1209</v>
      </c>
      <c r="D504" s="13" t="s">
        <v>1209</v>
      </c>
      <c r="E504" s="13" t="s">
        <v>1316</v>
      </c>
      <c r="F504" s="13" t="s">
        <v>1315</v>
      </c>
      <c r="G504" s="13" t="s">
        <v>2279</v>
      </c>
      <c r="H504" s="13" t="s">
        <v>1209</v>
      </c>
      <c r="I504" s="13" t="s">
        <v>1209</v>
      </c>
      <c r="J504" s="13" t="s">
        <v>2872</v>
      </c>
      <c r="K504" s="13" t="s">
        <v>2873</v>
      </c>
      <c r="L504" s="14">
        <v>885.0</v>
      </c>
      <c r="M504" s="14">
        <v>940.0</v>
      </c>
      <c r="N504" s="1">
        <v>730.0</v>
      </c>
    </row>
    <row r="505">
      <c r="A505" s="13" t="s">
        <v>2931</v>
      </c>
      <c r="B505" s="31" t="s">
        <v>2932</v>
      </c>
      <c r="C505" s="13" t="s">
        <v>1209</v>
      </c>
      <c r="D505" s="13" t="s">
        <v>1209</v>
      </c>
      <c r="E505" s="13" t="s">
        <v>1316</v>
      </c>
      <c r="F505" s="13" t="s">
        <v>1315</v>
      </c>
      <c r="G505" s="13" t="s">
        <v>2279</v>
      </c>
      <c r="H505" s="13" t="s">
        <v>1209</v>
      </c>
      <c r="I505" s="13" t="s">
        <v>1209</v>
      </c>
      <c r="J505" s="13" t="s">
        <v>2872</v>
      </c>
      <c r="K505" s="13" t="s">
        <v>2873</v>
      </c>
      <c r="L505" s="14">
        <v>950.0</v>
      </c>
      <c r="M505" s="14">
        <v>1070.0</v>
      </c>
      <c r="N505" s="1">
        <v>730.0</v>
      </c>
    </row>
    <row r="506">
      <c r="A506" s="13" t="s">
        <v>2935</v>
      </c>
      <c r="B506" s="31" t="s">
        <v>2936</v>
      </c>
      <c r="C506" s="13" t="s">
        <v>1209</v>
      </c>
      <c r="D506" s="13" t="s">
        <v>1209</v>
      </c>
      <c r="E506" s="13" t="s">
        <v>1316</v>
      </c>
      <c r="F506" s="13" t="s">
        <v>1315</v>
      </c>
      <c r="G506" s="13" t="s">
        <v>2279</v>
      </c>
      <c r="H506" s="13" t="s">
        <v>1209</v>
      </c>
      <c r="I506" s="13" t="s">
        <v>1209</v>
      </c>
      <c r="J506" s="13" t="s">
        <v>2872</v>
      </c>
      <c r="K506" s="13" t="s">
        <v>2873</v>
      </c>
      <c r="L506" s="14">
        <v>950.0</v>
      </c>
      <c r="M506" s="14">
        <v>1070.0</v>
      </c>
      <c r="N506" s="1">
        <v>730.0</v>
      </c>
    </row>
    <row r="507">
      <c r="A507" s="13" t="s">
        <v>2939</v>
      </c>
      <c r="B507" s="31" t="s">
        <v>2940</v>
      </c>
      <c r="C507" s="13" t="s">
        <v>1209</v>
      </c>
      <c r="D507" s="13" t="s">
        <v>1209</v>
      </c>
      <c r="E507" s="13" t="s">
        <v>1316</v>
      </c>
      <c r="F507" s="13" t="s">
        <v>1315</v>
      </c>
      <c r="G507" s="13" t="s">
        <v>2279</v>
      </c>
      <c r="H507" s="13" t="s">
        <v>1209</v>
      </c>
      <c r="I507" s="13" t="s">
        <v>1209</v>
      </c>
      <c r="J507" s="13" t="s">
        <v>2872</v>
      </c>
      <c r="K507" s="13" t="s">
        <v>2873</v>
      </c>
      <c r="L507" s="14">
        <v>950.0</v>
      </c>
      <c r="M507" s="14">
        <v>1070.0</v>
      </c>
      <c r="N507" s="1">
        <v>730.0</v>
      </c>
    </row>
    <row r="508">
      <c r="A508" s="13" t="s">
        <v>2942</v>
      </c>
      <c r="B508" s="31" t="s">
        <v>2943</v>
      </c>
      <c r="C508" s="13" t="s">
        <v>1209</v>
      </c>
      <c r="D508" s="13" t="s">
        <v>1209</v>
      </c>
      <c r="E508" s="13" t="s">
        <v>1316</v>
      </c>
      <c r="F508" s="13" t="s">
        <v>1315</v>
      </c>
      <c r="G508" s="13" t="s">
        <v>2279</v>
      </c>
      <c r="H508" s="13" t="s">
        <v>1209</v>
      </c>
      <c r="I508" s="13" t="s">
        <v>1209</v>
      </c>
      <c r="J508" s="13" t="s">
        <v>2872</v>
      </c>
      <c r="K508" s="13" t="s">
        <v>2873</v>
      </c>
      <c r="L508" s="14">
        <v>950.0</v>
      </c>
      <c r="M508" s="14">
        <v>1070.0</v>
      </c>
      <c r="N508" s="1">
        <v>730.0</v>
      </c>
    </row>
    <row r="509">
      <c r="A509" s="13" t="s">
        <v>2944</v>
      </c>
      <c r="B509" s="31" t="s">
        <v>2945</v>
      </c>
      <c r="C509" s="13" t="s">
        <v>1209</v>
      </c>
      <c r="D509" s="13" t="s">
        <v>1209</v>
      </c>
      <c r="E509" s="13" t="s">
        <v>1316</v>
      </c>
      <c r="F509" s="13" t="s">
        <v>1315</v>
      </c>
      <c r="G509" s="13" t="s">
        <v>2279</v>
      </c>
      <c r="H509" s="13" t="s">
        <v>1209</v>
      </c>
      <c r="I509" s="13" t="s">
        <v>1209</v>
      </c>
      <c r="J509" s="13" t="s">
        <v>2872</v>
      </c>
      <c r="K509" s="13" t="s">
        <v>2873</v>
      </c>
      <c r="L509" s="14">
        <v>950.0</v>
      </c>
      <c r="M509" s="14">
        <v>1070.0</v>
      </c>
      <c r="N509" s="1">
        <v>730.0</v>
      </c>
    </row>
    <row r="510">
      <c r="A510" s="13" t="s">
        <v>2946</v>
      </c>
      <c r="B510" s="31" t="s">
        <v>2947</v>
      </c>
      <c r="C510" s="13" t="s">
        <v>1209</v>
      </c>
      <c r="D510" s="13" t="s">
        <v>1209</v>
      </c>
      <c r="E510" s="13" t="s">
        <v>1316</v>
      </c>
      <c r="F510" s="13" t="s">
        <v>1315</v>
      </c>
      <c r="G510" s="13" t="s">
        <v>2279</v>
      </c>
      <c r="H510" s="13" t="s">
        <v>1209</v>
      </c>
      <c r="I510" s="13" t="s">
        <v>1209</v>
      </c>
      <c r="J510" s="13" t="s">
        <v>2872</v>
      </c>
      <c r="K510" s="13" t="s">
        <v>2873</v>
      </c>
      <c r="L510" s="14">
        <v>950.0</v>
      </c>
      <c r="M510" s="14">
        <v>1070.0</v>
      </c>
      <c r="N510" s="1">
        <v>730.0</v>
      </c>
    </row>
    <row r="511">
      <c r="A511" s="13" t="s">
        <v>2950</v>
      </c>
      <c r="B511" s="31" t="s">
        <v>2951</v>
      </c>
      <c r="C511" s="13" t="s">
        <v>1209</v>
      </c>
      <c r="D511" s="13" t="s">
        <v>1209</v>
      </c>
      <c r="E511" s="13" t="s">
        <v>1335</v>
      </c>
      <c r="F511" s="13" t="s">
        <v>1315</v>
      </c>
      <c r="G511" s="13" t="s">
        <v>2279</v>
      </c>
      <c r="H511" s="13" t="s">
        <v>1209</v>
      </c>
      <c r="I511" s="13" t="s">
        <v>1209</v>
      </c>
      <c r="J511" s="13" t="s">
        <v>1250</v>
      </c>
      <c r="K511" s="13" t="s">
        <v>2952</v>
      </c>
      <c r="L511" s="14">
        <v>-60.0</v>
      </c>
      <c r="M511" s="14">
        <v>-60.0</v>
      </c>
      <c r="N511" s="1">
        <v>-65.0</v>
      </c>
    </row>
    <row r="512">
      <c r="A512" s="13" t="s">
        <v>2954</v>
      </c>
      <c r="B512" s="31" t="s">
        <v>2955</v>
      </c>
      <c r="C512" s="13" t="s">
        <v>1209</v>
      </c>
      <c r="D512" s="13" t="s">
        <v>1209</v>
      </c>
      <c r="E512" s="13" t="s">
        <v>1350</v>
      </c>
      <c r="F512" s="13" t="s">
        <v>1315</v>
      </c>
      <c r="G512" s="13" t="s">
        <v>2279</v>
      </c>
      <c r="H512" s="13" t="s">
        <v>1209</v>
      </c>
      <c r="I512" s="13" t="s">
        <v>1209</v>
      </c>
      <c r="J512" s="13" t="s">
        <v>2956</v>
      </c>
      <c r="K512" s="13" t="s">
        <v>2957</v>
      </c>
      <c r="L512" s="14">
        <v>9750.0</v>
      </c>
      <c r="M512" s="14">
        <v>9450.0</v>
      </c>
      <c r="N512" s="1">
        <v>10050.0</v>
      </c>
    </row>
    <row r="513">
      <c r="A513" s="13" t="s">
        <v>2959</v>
      </c>
      <c r="B513" s="31" t="s">
        <v>2960</v>
      </c>
      <c r="C513" s="13" t="s">
        <v>1209</v>
      </c>
      <c r="D513" s="13" t="s">
        <v>1209</v>
      </c>
      <c r="E513" s="13" t="s">
        <v>1350</v>
      </c>
      <c r="F513" s="13" t="s">
        <v>1315</v>
      </c>
      <c r="G513" s="13" t="s">
        <v>2279</v>
      </c>
      <c r="H513" s="13" t="s">
        <v>1209</v>
      </c>
      <c r="I513" s="13" t="s">
        <v>1209</v>
      </c>
      <c r="J513" s="13" t="s">
        <v>2956</v>
      </c>
      <c r="K513" s="13" t="s">
        <v>2957</v>
      </c>
      <c r="L513" s="14">
        <v>9750.0</v>
      </c>
      <c r="M513" s="14">
        <v>9450.0</v>
      </c>
      <c r="N513" s="1">
        <v>10050.0</v>
      </c>
    </row>
    <row r="514">
      <c r="A514" s="13" t="s">
        <v>2962</v>
      </c>
      <c r="B514" s="31" t="s">
        <v>2963</v>
      </c>
      <c r="C514" s="13" t="s">
        <v>1209</v>
      </c>
      <c r="D514" s="13" t="s">
        <v>1209</v>
      </c>
      <c r="E514" s="13" t="s">
        <v>1350</v>
      </c>
      <c r="F514" s="13" t="s">
        <v>1315</v>
      </c>
      <c r="G514" s="13" t="s">
        <v>2279</v>
      </c>
      <c r="H514" s="13" t="s">
        <v>1209</v>
      </c>
      <c r="I514" s="13" t="s">
        <v>1209</v>
      </c>
      <c r="J514" s="13" t="s">
        <v>2956</v>
      </c>
      <c r="K514" s="13" t="s">
        <v>2957</v>
      </c>
      <c r="L514" s="14">
        <v>9750.0</v>
      </c>
      <c r="M514" s="13" t="s">
        <v>1209</v>
      </c>
      <c r="N514" s="1" t="s">
        <v>1209</v>
      </c>
    </row>
    <row r="515">
      <c r="A515" s="13" t="s">
        <v>2965</v>
      </c>
      <c r="B515" s="31" t="s">
        <v>2966</v>
      </c>
      <c r="C515" s="13" t="s">
        <v>1209</v>
      </c>
      <c r="D515" s="13" t="s">
        <v>1209</v>
      </c>
      <c r="E515" s="13" t="s">
        <v>1335</v>
      </c>
      <c r="F515" s="13" t="s">
        <v>1315</v>
      </c>
      <c r="G515" s="13" t="s">
        <v>2279</v>
      </c>
      <c r="H515" s="13" t="s">
        <v>1209</v>
      </c>
      <c r="I515" s="13" t="s">
        <v>1209</v>
      </c>
      <c r="J515" s="13" t="s">
        <v>2519</v>
      </c>
      <c r="K515" s="13" t="s">
        <v>2591</v>
      </c>
      <c r="L515" s="13" t="s">
        <v>1209</v>
      </c>
      <c r="M515" s="13" t="s">
        <v>1472</v>
      </c>
      <c r="N515" s="1" t="s">
        <v>1472</v>
      </c>
    </row>
    <row r="516">
      <c r="A516" s="13" t="s">
        <v>2968</v>
      </c>
      <c r="B516" s="31" t="s">
        <v>2969</v>
      </c>
      <c r="C516" s="13" t="s">
        <v>1209</v>
      </c>
      <c r="D516" s="13" t="s">
        <v>1209</v>
      </c>
      <c r="E516" s="13" t="s">
        <v>1335</v>
      </c>
      <c r="F516" s="13" t="s">
        <v>1315</v>
      </c>
      <c r="G516" s="13" t="s">
        <v>2279</v>
      </c>
      <c r="H516" s="13" t="s">
        <v>1209</v>
      </c>
      <c r="I516" s="13" t="s">
        <v>1209</v>
      </c>
      <c r="J516" s="13" t="s">
        <v>2519</v>
      </c>
      <c r="K516" s="13" t="s">
        <v>2591</v>
      </c>
      <c r="L516" s="13" t="s">
        <v>1209</v>
      </c>
      <c r="M516" s="13" t="s">
        <v>1472</v>
      </c>
      <c r="N516" s="1" t="s">
        <v>1472</v>
      </c>
    </row>
    <row r="517">
      <c r="A517" s="13" t="s">
        <v>2970</v>
      </c>
      <c r="B517" s="31" t="s">
        <v>2971</v>
      </c>
      <c r="C517" s="13" t="s">
        <v>1209</v>
      </c>
      <c r="D517" s="13" t="s">
        <v>1209</v>
      </c>
      <c r="E517" s="13" t="s">
        <v>1335</v>
      </c>
      <c r="F517" s="13" t="s">
        <v>1315</v>
      </c>
      <c r="G517" s="13" t="s">
        <v>2279</v>
      </c>
      <c r="H517" s="13" t="s">
        <v>1209</v>
      </c>
      <c r="I517" s="13" t="s">
        <v>1209</v>
      </c>
      <c r="J517" s="13" t="s">
        <v>2519</v>
      </c>
      <c r="K517" s="13" t="s">
        <v>2591</v>
      </c>
      <c r="L517" s="14">
        <v>9700.0</v>
      </c>
      <c r="M517" s="13" t="s">
        <v>1209</v>
      </c>
      <c r="N517" s="1" t="s">
        <v>1209</v>
      </c>
    </row>
    <row r="518">
      <c r="A518" s="13" t="s">
        <v>2974</v>
      </c>
      <c r="B518" s="31" t="s">
        <v>2975</v>
      </c>
      <c r="C518" s="13" t="s">
        <v>1209</v>
      </c>
      <c r="D518" s="13" t="s">
        <v>1209</v>
      </c>
      <c r="E518" s="13" t="s">
        <v>1335</v>
      </c>
      <c r="F518" s="13" t="s">
        <v>1315</v>
      </c>
      <c r="G518" s="13" t="s">
        <v>2279</v>
      </c>
      <c r="H518" s="13" t="s">
        <v>1209</v>
      </c>
      <c r="I518" s="13" t="s">
        <v>1209</v>
      </c>
      <c r="J518" s="13" t="s">
        <v>2519</v>
      </c>
      <c r="K518" s="13" t="s">
        <v>2591</v>
      </c>
      <c r="L518" s="13" t="s">
        <v>1209</v>
      </c>
      <c r="M518" s="13" t="s">
        <v>1472</v>
      </c>
      <c r="N518" s="1" t="s">
        <v>1472</v>
      </c>
    </row>
    <row r="519">
      <c r="A519" s="13" t="s">
        <v>2976</v>
      </c>
      <c r="B519" s="31" t="s">
        <v>2977</v>
      </c>
      <c r="C519" s="13" t="s">
        <v>1209</v>
      </c>
      <c r="D519" s="13" t="s">
        <v>1209</v>
      </c>
      <c r="E519" s="13" t="s">
        <v>1335</v>
      </c>
      <c r="F519" s="13" t="s">
        <v>1315</v>
      </c>
      <c r="G519" s="13" t="s">
        <v>2279</v>
      </c>
      <c r="H519" s="13" t="s">
        <v>1209</v>
      </c>
      <c r="I519" s="13" t="s">
        <v>1209</v>
      </c>
      <c r="J519" s="13" t="s">
        <v>2519</v>
      </c>
      <c r="K519" s="13" t="s">
        <v>2591</v>
      </c>
      <c r="L519" s="13" t="s">
        <v>1209</v>
      </c>
      <c r="M519" s="13" t="s">
        <v>1472</v>
      </c>
      <c r="N519" s="1" t="s">
        <v>1472</v>
      </c>
    </row>
    <row r="520">
      <c r="A520" s="13" t="s">
        <v>2978</v>
      </c>
      <c r="B520" s="31" t="s">
        <v>2980</v>
      </c>
      <c r="C520" s="13" t="s">
        <v>1209</v>
      </c>
      <c r="D520" s="13" t="s">
        <v>1209</v>
      </c>
      <c r="E520" s="13" t="s">
        <v>1350</v>
      </c>
      <c r="F520" s="13" t="s">
        <v>1315</v>
      </c>
      <c r="G520" s="13" t="s">
        <v>2279</v>
      </c>
      <c r="H520" s="13" t="s">
        <v>1209</v>
      </c>
      <c r="I520" s="13" t="s">
        <v>1209</v>
      </c>
      <c r="J520" s="13" t="s">
        <v>2956</v>
      </c>
      <c r="K520" s="13" t="s">
        <v>2957</v>
      </c>
      <c r="L520" s="14">
        <v>10500.0</v>
      </c>
      <c r="M520" s="13" t="s">
        <v>1209</v>
      </c>
      <c r="N520" s="1" t="s">
        <v>1209</v>
      </c>
    </row>
    <row r="521">
      <c r="A521" s="13" t="s">
        <v>2983</v>
      </c>
      <c r="B521" s="31" t="s">
        <v>2984</v>
      </c>
      <c r="C521" s="13" t="s">
        <v>1209</v>
      </c>
      <c r="D521" s="13" t="s">
        <v>1209</v>
      </c>
      <c r="E521" s="13" t="s">
        <v>1335</v>
      </c>
      <c r="F521" s="13" t="s">
        <v>1315</v>
      </c>
      <c r="G521" s="13" t="s">
        <v>2279</v>
      </c>
      <c r="H521" s="14">
        <v>45.0144</v>
      </c>
      <c r="I521" s="14">
        <v>34.1821</v>
      </c>
      <c r="J521" s="13" t="s">
        <v>1342</v>
      </c>
      <c r="K521" s="13" t="s">
        <v>1345</v>
      </c>
      <c r="L521" s="14">
        <v>7000.0</v>
      </c>
      <c r="M521" s="13" t="s">
        <v>1209</v>
      </c>
      <c r="N521" s="1" t="s">
        <v>1209</v>
      </c>
    </row>
    <row r="522">
      <c r="A522" s="13" t="s">
        <v>2985</v>
      </c>
      <c r="B522" s="31" t="s">
        <v>2986</v>
      </c>
      <c r="C522" s="13" t="s">
        <v>1209</v>
      </c>
      <c r="D522" s="13" t="s">
        <v>1209</v>
      </c>
      <c r="E522" s="13" t="s">
        <v>1335</v>
      </c>
      <c r="F522" s="13" t="s">
        <v>1315</v>
      </c>
      <c r="G522" s="13" t="s">
        <v>2279</v>
      </c>
      <c r="H522" s="14">
        <v>45.0144</v>
      </c>
      <c r="I522" s="14">
        <v>34.1821</v>
      </c>
      <c r="J522" s="13" t="s">
        <v>1342</v>
      </c>
      <c r="K522" s="13" t="s">
        <v>1345</v>
      </c>
      <c r="L522" s="14">
        <v>7000.0</v>
      </c>
      <c r="M522" s="13" t="s">
        <v>1209</v>
      </c>
      <c r="N522" s="1" t="s">
        <v>1209</v>
      </c>
    </row>
    <row r="523">
      <c r="A523" s="13" t="s">
        <v>1333</v>
      </c>
      <c r="B523" s="31" t="s">
        <v>2988</v>
      </c>
      <c r="C523" s="13" t="s">
        <v>1209</v>
      </c>
      <c r="D523" s="13" t="s">
        <v>1209</v>
      </c>
      <c r="E523" s="13" t="s">
        <v>1335</v>
      </c>
      <c r="F523" s="13" t="s">
        <v>1315</v>
      </c>
      <c r="G523" s="13" t="s">
        <v>2279</v>
      </c>
      <c r="H523" s="14">
        <v>45.0144</v>
      </c>
      <c r="I523" s="14">
        <v>34.1821</v>
      </c>
      <c r="J523" s="13" t="s">
        <v>1342</v>
      </c>
      <c r="K523" s="13" t="s">
        <v>1345</v>
      </c>
      <c r="L523" s="14">
        <v>7000.0</v>
      </c>
      <c r="M523" s="13" t="s">
        <v>1209</v>
      </c>
      <c r="N523" s="1" t="s">
        <v>1209</v>
      </c>
    </row>
    <row r="524">
      <c r="A524" s="13" t="s">
        <v>2989</v>
      </c>
      <c r="B524" s="31" t="s">
        <v>2990</v>
      </c>
      <c r="C524" s="13" t="s">
        <v>1209</v>
      </c>
      <c r="D524" s="13" t="s">
        <v>1209</v>
      </c>
      <c r="E524" s="13" t="s">
        <v>1335</v>
      </c>
      <c r="F524" s="13" t="s">
        <v>1315</v>
      </c>
      <c r="G524" s="13" t="s">
        <v>2279</v>
      </c>
      <c r="H524" s="14">
        <v>45.0144</v>
      </c>
      <c r="I524" s="14">
        <v>34.1821</v>
      </c>
      <c r="J524" s="13" t="s">
        <v>1342</v>
      </c>
      <c r="K524" s="13" t="s">
        <v>1345</v>
      </c>
      <c r="L524" s="14">
        <v>7000.0</v>
      </c>
      <c r="M524" s="13" t="s">
        <v>1209</v>
      </c>
      <c r="N524" s="1" t="s">
        <v>1209</v>
      </c>
    </row>
    <row r="525">
      <c r="A525" s="13" t="s">
        <v>2992</v>
      </c>
      <c r="B525" s="31" t="s">
        <v>2993</v>
      </c>
      <c r="C525" s="13" t="s">
        <v>1209</v>
      </c>
      <c r="D525" s="13" t="s">
        <v>1209</v>
      </c>
      <c r="E525" s="13" t="s">
        <v>1335</v>
      </c>
      <c r="F525" s="13" t="s">
        <v>1315</v>
      </c>
      <c r="G525" s="13" t="s">
        <v>2279</v>
      </c>
      <c r="H525" s="14">
        <v>45.0144</v>
      </c>
      <c r="I525" s="14">
        <v>34.1821</v>
      </c>
      <c r="J525" s="13" t="s">
        <v>1342</v>
      </c>
      <c r="K525" s="13" t="s">
        <v>1345</v>
      </c>
      <c r="L525" s="14">
        <v>7000.0</v>
      </c>
      <c r="M525" s="13" t="s">
        <v>1209</v>
      </c>
      <c r="N525" s="1" t="s">
        <v>1209</v>
      </c>
    </row>
    <row r="526">
      <c r="A526" s="13" t="s">
        <v>2994</v>
      </c>
      <c r="B526" s="31" t="s">
        <v>2995</v>
      </c>
      <c r="C526" s="13" t="s">
        <v>1209</v>
      </c>
      <c r="D526" s="13" t="s">
        <v>1209</v>
      </c>
      <c r="E526" s="13" t="s">
        <v>1335</v>
      </c>
      <c r="F526" s="13" t="s">
        <v>1315</v>
      </c>
      <c r="G526" s="13" t="s">
        <v>2279</v>
      </c>
      <c r="H526" s="14">
        <v>45.0144</v>
      </c>
      <c r="I526" s="14">
        <v>34.1821</v>
      </c>
      <c r="J526" s="13" t="s">
        <v>1342</v>
      </c>
      <c r="K526" s="13" t="s">
        <v>1345</v>
      </c>
      <c r="L526" s="14">
        <v>7000.0</v>
      </c>
      <c r="M526" s="13" t="s">
        <v>1209</v>
      </c>
      <c r="N526" s="1" t="s">
        <v>1209</v>
      </c>
    </row>
    <row r="527">
      <c r="A527" s="13" t="s">
        <v>2999</v>
      </c>
      <c r="B527" s="31" t="s">
        <v>3000</v>
      </c>
      <c r="C527" s="13" t="s">
        <v>1209</v>
      </c>
      <c r="D527" s="13" t="s">
        <v>1209</v>
      </c>
      <c r="E527" s="13" t="s">
        <v>1335</v>
      </c>
      <c r="F527" s="13" t="s">
        <v>1315</v>
      </c>
      <c r="G527" s="13" t="s">
        <v>2279</v>
      </c>
      <c r="H527" s="14">
        <v>45.0144</v>
      </c>
      <c r="I527" s="14">
        <v>34.1821</v>
      </c>
      <c r="J527" s="13" t="s">
        <v>1342</v>
      </c>
      <c r="K527" s="13" t="s">
        <v>1345</v>
      </c>
      <c r="L527" s="14">
        <v>7000.0</v>
      </c>
      <c r="M527" s="13" t="s">
        <v>1209</v>
      </c>
      <c r="N527" s="1" t="s">
        <v>1209</v>
      </c>
    </row>
    <row r="528">
      <c r="A528" s="13" t="s">
        <v>3001</v>
      </c>
      <c r="B528" s="31" t="s">
        <v>3003</v>
      </c>
      <c r="C528" s="13" t="s">
        <v>1209</v>
      </c>
      <c r="D528" s="13" t="s">
        <v>1209</v>
      </c>
      <c r="E528" s="13" t="s">
        <v>1335</v>
      </c>
      <c r="F528" s="13" t="s">
        <v>1315</v>
      </c>
      <c r="G528" s="13" t="s">
        <v>2279</v>
      </c>
      <c r="H528" s="14">
        <v>45.0144</v>
      </c>
      <c r="I528" s="14">
        <v>34.1821</v>
      </c>
      <c r="J528" s="13" t="s">
        <v>1342</v>
      </c>
      <c r="K528" s="13" t="s">
        <v>1345</v>
      </c>
      <c r="L528" s="14">
        <v>7000.0</v>
      </c>
      <c r="M528" s="13" t="s">
        <v>1209</v>
      </c>
      <c r="N528" s="1" t="s">
        <v>1209</v>
      </c>
    </row>
    <row r="529">
      <c r="A529" s="13" t="s">
        <v>3006</v>
      </c>
      <c r="B529" s="31" t="s">
        <v>3007</v>
      </c>
      <c r="C529" s="13" t="s">
        <v>1209</v>
      </c>
      <c r="D529" s="13" t="s">
        <v>1209</v>
      </c>
      <c r="E529" s="13" t="s">
        <v>1335</v>
      </c>
      <c r="F529" s="13" t="s">
        <v>1315</v>
      </c>
      <c r="G529" s="13" t="s">
        <v>2279</v>
      </c>
      <c r="H529" s="14">
        <v>45.0144</v>
      </c>
      <c r="I529" s="14">
        <v>34.1821</v>
      </c>
      <c r="J529" s="13" t="s">
        <v>1342</v>
      </c>
      <c r="K529" s="13" t="s">
        <v>1345</v>
      </c>
      <c r="L529" s="14">
        <v>7000.0</v>
      </c>
      <c r="M529" s="13" t="s">
        <v>1209</v>
      </c>
      <c r="N529" s="1" t="s">
        <v>1209</v>
      </c>
    </row>
    <row r="530">
      <c r="A530" s="13" t="s">
        <v>3009</v>
      </c>
      <c r="B530" s="31" t="s">
        <v>3010</v>
      </c>
      <c r="C530" s="13" t="s">
        <v>1209</v>
      </c>
      <c r="D530" s="13" t="s">
        <v>1209</v>
      </c>
      <c r="E530" s="13" t="s">
        <v>1335</v>
      </c>
      <c r="F530" s="13" t="s">
        <v>1315</v>
      </c>
      <c r="G530" s="13" t="s">
        <v>2279</v>
      </c>
      <c r="H530" s="14">
        <v>45.0144</v>
      </c>
      <c r="I530" s="14">
        <v>34.1821</v>
      </c>
      <c r="J530" s="13" t="s">
        <v>1342</v>
      </c>
      <c r="K530" s="13" t="s">
        <v>1345</v>
      </c>
      <c r="L530" s="14">
        <v>7000.0</v>
      </c>
      <c r="M530" s="13" t="s">
        <v>1209</v>
      </c>
      <c r="N530" s="1" t="s">
        <v>1209</v>
      </c>
    </row>
    <row r="531">
      <c r="A531" s="13" t="s">
        <v>3014</v>
      </c>
      <c r="B531" s="31" t="s">
        <v>3015</v>
      </c>
      <c r="C531" s="13" t="s">
        <v>1209</v>
      </c>
      <c r="D531" s="13" t="s">
        <v>1209</v>
      </c>
      <c r="E531" s="13" t="s">
        <v>1335</v>
      </c>
      <c r="F531" s="13" t="s">
        <v>1315</v>
      </c>
      <c r="G531" s="13" t="s">
        <v>2279</v>
      </c>
      <c r="H531" s="14">
        <v>45.0144</v>
      </c>
      <c r="I531" s="14">
        <v>34.1821</v>
      </c>
      <c r="J531" s="13" t="s">
        <v>1342</v>
      </c>
      <c r="K531" s="13" t="s">
        <v>1345</v>
      </c>
      <c r="L531" s="14">
        <v>7000.0</v>
      </c>
      <c r="M531" s="13" t="s">
        <v>1209</v>
      </c>
      <c r="N531" s="1" t="s">
        <v>1209</v>
      </c>
    </row>
    <row r="532">
      <c r="A532" s="13" t="s">
        <v>3016</v>
      </c>
      <c r="B532" s="31" t="s">
        <v>3017</v>
      </c>
      <c r="C532" s="13" t="s">
        <v>1209</v>
      </c>
      <c r="D532" s="13" t="s">
        <v>1209</v>
      </c>
      <c r="E532" s="13" t="s">
        <v>1335</v>
      </c>
      <c r="F532" s="13" t="s">
        <v>1315</v>
      </c>
      <c r="G532" s="13" t="s">
        <v>2279</v>
      </c>
      <c r="H532" s="14">
        <v>45.0144</v>
      </c>
      <c r="I532" s="14">
        <v>34.1821</v>
      </c>
      <c r="J532" s="13" t="s">
        <v>1342</v>
      </c>
      <c r="K532" s="13" t="s">
        <v>1345</v>
      </c>
      <c r="L532" s="14">
        <v>7000.0</v>
      </c>
      <c r="M532" s="13" t="s">
        <v>1209</v>
      </c>
      <c r="N532" s="1" t="s">
        <v>1209</v>
      </c>
    </row>
    <row r="533">
      <c r="A533" s="13" t="s">
        <v>3020</v>
      </c>
      <c r="B533" s="31" t="s">
        <v>3021</v>
      </c>
      <c r="C533" s="13" t="s">
        <v>1209</v>
      </c>
      <c r="D533" s="13" t="s">
        <v>1209</v>
      </c>
      <c r="E533" s="13" t="s">
        <v>1335</v>
      </c>
      <c r="F533" s="13" t="s">
        <v>1315</v>
      </c>
      <c r="G533" s="13" t="s">
        <v>2279</v>
      </c>
      <c r="H533" s="14">
        <v>45.0144</v>
      </c>
      <c r="I533" s="14">
        <v>34.1821</v>
      </c>
      <c r="J533" s="13" t="s">
        <v>1342</v>
      </c>
      <c r="K533" s="13" t="s">
        <v>1345</v>
      </c>
      <c r="L533" s="14">
        <v>7000.0</v>
      </c>
      <c r="M533" s="13" t="s">
        <v>1209</v>
      </c>
      <c r="N533" s="1" t="s">
        <v>1209</v>
      </c>
    </row>
    <row r="534">
      <c r="A534" s="13" t="s">
        <v>3023</v>
      </c>
      <c r="B534" s="31" t="s">
        <v>3024</v>
      </c>
      <c r="C534" s="13" t="s">
        <v>1209</v>
      </c>
      <c r="D534" s="13" t="s">
        <v>1209</v>
      </c>
      <c r="E534" s="13" t="s">
        <v>1335</v>
      </c>
      <c r="F534" s="13" t="s">
        <v>1315</v>
      </c>
      <c r="G534" s="13" t="s">
        <v>2279</v>
      </c>
      <c r="H534" s="14">
        <v>45.0144</v>
      </c>
      <c r="I534" s="14">
        <v>34.1821</v>
      </c>
      <c r="J534" s="13" t="s">
        <v>1342</v>
      </c>
      <c r="K534" s="13" t="s">
        <v>1345</v>
      </c>
      <c r="L534" s="14">
        <v>7000.0</v>
      </c>
      <c r="M534" s="13" t="s">
        <v>1209</v>
      </c>
      <c r="N534" s="1" t="s">
        <v>1209</v>
      </c>
    </row>
    <row r="535">
      <c r="A535" s="13" t="s">
        <v>3025</v>
      </c>
      <c r="B535" s="31" t="s">
        <v>3026</v>
      </c>
      <c r="C535" s="13" t="s">
        <v>1209</v>
      </c>
      <c r="D535" s="13" t="s">
        <v>1209</v>
      </c>
      <c r="E535" s="13" t="s">
        <v>1316</v>
      </c>
      <c r="F535" s="13" t="s">
        <v>1315</v>
      </c>
      <c r="G535" s="13" t="s">
        <v>2279</v>
      </c>
      <c r="H535" s="13" t="s">
        <v>1209</v>
      </c>
      <c r="I535" s="13" t="s">
        <v>1209</v>
      </c>
      <c r="J535" s="13" t="s">
        <v>1230</v>
      </c>
      <c r="K535" s="13" t="s">
        <v>3027</v>
      </c>
      <c r="L535" s="14">
        <v>6000.0</v>
      </c>
      <c r="M535" s="13" t="s">
        <v>1209</v>
      </c>
      <c r="N535" s="1" t="s">
        <v>1209</v>
      </c>
    </row>
    <row r="536">
      <c r="A536" s="13" t="s">
        <v>3028</v>
      </c>
      <c r="B536" s="31" t="s">
        <v>3030</v>
      </c>
      <c r="C536" s="13" t="s">
        <v>1209</v>
      </c>
      <c r="D536" s="13" t="s">
        <v>1209</v>
      </c>
      <c r="E536" s="13" t="s">
        <v>1335</v>
      </c>
      <c r="F536" s="13" t="s">
        <v>1315</v>
      </c>
      <c r="G536" s="13" t="s">
        <v>2279</v>
      </c>
      <c r="H536" s="13" t="s">
        <v>1209</v>
      </c>
      <c r="I536" s="13" t="s">
        <v>1209</v>
      </c>
      <c r="J536" s="13" t="s">
        <v>1230</v>
      </c>
      <c r="K536" s="13" t="s">
        <v>3027</v>
      </c>
      <c r="L536" s="14">
        <v>6000.0</v>
      </c>
      <c r="M536" s="13" t="s">
        <v>1209</v>
      </c>
      <c r="N536" s="1" t="s">
        <v>1209</v>
      </c>
    </row>
    <row r="537">
      <c r="A537" s="13" t="s">
        <v>3032</v>
      </c>
      <c r="B537" s="31" t="s">
        <v>3033</v>
      </c>
      <c r="C537" s="13" t="s">
        <v>1209</v>
      </c>
      <c r="D537" s="13" t="s">
        <v>1209</v>
      </c>
      <c r="E537" s="13" t="s">
        <v>1316</v>
      </c>
      <c r="F537" s="13" t="s">
        <v>1315</v>
      </c>
      <c r="G537" s="13" t="s">
        <v>2279</v>
      </c>
      <c r="H537" s="13" t="s">
        <v>1209</v>
      </c>
      <c r="I537" s="13" t="s">
        <v>1209</v>
      </c>
      <c r="J537" s="13" t="s">
        <v>1230</v>
      </c>
      <c r="K537" s="13" t="s">
        <v>3027</v>
      </c>
      <c r="L537" s="14">
        <v>6000.0</v>
      </c>
      <c r="M537" s="13" t="s">
        <v>1209</v>
      </c>
      <c r="N537" s="1" t="s">
        <v>1209</v>
      </c>
    </row>
    <row r="538">
      <c r="A538" s="13" t="s">
        <v>3034</v>
      </c>
      <c r="B538" s="31" t="s">
        <v>3036</v>
      </c>
      <c r="C538" s="13" t="s">
        <v>1209</v>
      </c>
      <c r="D538" s="13" t="s">
        <v>1209</v>
      </c>
      <c r="E538" s="13" t="s">
        <v>1335</v>
      </c>
      <c r="F538" s="13" t="s">
        <v>1315</v>
      </c>
      <c r="G538" s="13" t="s">
        <v>2279</v>
      </c>
      <c r="H538" s="13" t="s">
        <v>1209</v>
      </c>
      <c r="I538" s="13" t="s">
        <v>1209</v>
      </c>
      <c r="J538" s="13" t="s">
        <v>1230</v>
      </c>
      <c r="K538" s="13" t="s">
        <v>3027</v>
      </c>
      <c r="L538" s="14">
        <v>6000.0</v>
      </c>
      <c r="M538" s="13" t="s">
        <v>1209</v>
      </c>
      <c r="N538" s="1" t="s">
        <v>1209</v>
      </c>
    </row>
    <row r="539">
      <c r="A539" s="13" t="s">
        <v>3038</v>
      </c>
      <c r="B539" s="31" t="s">
        <v>3039</v>
      </c>
      <c r="C539" s="13" t="s">
        <v>1209</v>
      </c>
      <c r="D539" s="13" t="s">
        <v>1209</v>
      </c>
      <c r="E539" s="13" t="s">
        <v>1350</v>
      </c>
      <c r="F539" s="13" t="s">
        <v>1315</v>
      </c>
      <c r="G539" s="13" t="s">
        <v>2279</v>
      </c>
      <c r="H539" s="13" t="s">
        <v>1209</v>
      </c>
      <c r="I539" s="13" t="s">
        <v>1209</v>
      </c>
      <c r="J539" s="13" t="s">
        <v>1230</v>
      </c>
      <c r="K539" s="13" t="s">
        <v>3027</v>
      </c>
      <c r="L539" s="14">
        <v>6000.0</v>
      </c>
      <c r="M539" s="13" t="s">
        <v>1209</v>
      </c>
      <c r="N539" s="1" t="s">
        <v>1209</v>
      </c>
    </row>
    <row r="540">
      <c r="A540" s="13" t="s">
        <v>3043</v>
      </c>
      <c r="B540" s="31" t="s">
        <v>3044</v>
      </c>
      <c r="C540" s="13" t="s">
        <v>1209</v>
      </c>
      <c r="D540" s="13" t="s">
        <v>1209</v>
      </c>
      <c r="E540" s="13" t="s">
        <v>1350</v>
      </c>
      <c r="F540" s="13" t="s">
        <v>1315</v>
      </c>
      <c r="G540" s="13" t="s">
        <v>2279</v>
      </c>
      <c r="H540" s="13" t="s">
        <v>1209</v>
      </c>
      <c r="I540" s="13" t="s">
        <v>1209</v>
      </c>
      <c r="J540" s="13" t="s">
        <v>1230</v>
      </c>
      <c r="K540" s="13" t="s">
        <v>3027</v>
      </c>
      <c r="L540" s="14">
        <v>6000.0</v>
      </c>
      <c r="M540" s="13" t="s">
        <v>1209</v>
      </c>
      <c r="N540" s="1" t="s">
        <v>1209</v>
      </c>
    </row>
    <row r="541">
      <c r="A541" s="13" t="s">
        <v>3047</v>
      </c>
      <c r="B541" s="31" t="s">
        <v>3048</v>
      </c>
      <c r="C541" s="13" t="s">
        <v>1209</v>
      </c>
      <c r="D541" s="13" t="s">
        <v>1209</v>
      </c>
      <c r="E541" s="13" t="s">
        <v>1335</v>
      </c>
      <c r="F541" s="13" t="s">
        <v>1315</v>
      </c>
      <c r="G541" s="13" t="s">
        <v>2279</v>
      </c>
      <c r="H541" s="13" t="s">
        <v>1209</v>
      </c>
      <c r="I541" s="13" t="s">
        <v>1209</v>
      </c>
      <c r="J541" s="13" t="s">
        <v>1230</v>
      </c>
      <c r="K541" s="13" t="s">
        <v>3027</v>
      </c>
      <c r="L541" s="14">
        <v>6000.0</v>
      </c>
      <c r="M541" s="13" t="s">
        <v>1209</v>
      </c>
      <c r="N541" s="1" t="s">
        <v>1209</v>
      </c>
    </row>
    <row r="542">
      <c r="A542" s="13" t="s">
        <v>3050</v>
      </c>
      <c r="B542" s="31" t="s">
        <v>3051</v>
      </c>
      <c r="C542" s="13" t="s">
        <v>1209</v>
      </c>
      <c r="D542" s="13" t="s">
        <v>1209</v>
      </c>
      <c r="E542" s="13" t="s">
        <v>1350</v>
      </c>
      <c r="F542" s="13" t="s">
        <v>1315</v>
      </c>
      <c r="G542" s="13" t="s">
        <v>2279</v>
      </c>
      <c r="H542" s="13" t="s">
        <v>1209</v>
      </c>
      <c r="I542" s="13" t="s">
        <v>1209</v>
      </c>
      <c r="J542" s="13" t="s">
        <v>1230</v>
      </c>
      <c r="K542" s="13" t="s">
        <v>3027</v>
      </c>
      <c r="L542" s="14">
        <v>6000.0</v>
      </c>
      <c r="M542" s="13" t="s">
        <v>1209</v>
      </c>
      <c r="N542" s="1" t="s">
        <v>1209</v>
      </c>
    </row>
    <row r="543">
      <c r="A543" s="13" t="s">
        <v>3052</v>
      </c>
      <c r="B543" s="31" t="s">
        <v>3053</v>
      </c>
      <c r="C543" s="13" t="s">
        <v>1209</v>
      </c>
      <c r="D543" s="13" t="s">
        <v>1209</v>
      </c>
      <c r="E543" s="13" t="s">
        <v>1316</v>
      </c>
      <c r="F543" s="13" t="s">
        <v>1315</v>
      </c>
      <c r="G543" s="13" t="s">
        <v>2279</v>
      </c>
      <c r="H543" s="13" t="s">
        <v>1209</v>
      </c>
      <c r="I543" s="13" t="s">
        <v>1209</v>
      </c>
      <c r="J543" s="13" t="s">
        <v>1230</v>
      </c>
      <c r="K543" s="13" t="s">
        <v>3027</v>
      </c>
      <c r="L543" s="14">
        <v>6000.0</v>
      </c>
      <c r="M543" s="13" t="s">
        <v>1209</v>
      </c>
      <c r="N543" s="1" t="s">
        <v>1209</v>
      </c>
    </row>
    <row r="544">
      <c r="A544" s="13" t="s">
        <v>3054</v>
      </c>
      <c r="B544" s="31" t="s">
        <v>3055</v>
      </c>
      <c r="C544" s="13" t="s">
        <v>1209</v>
      </c>
      <c r="D544" s="13" t="s">
        <v>1209</v>
      </c>
      <c r="E544" s="13" t="s">
        <v>1335</v>
      </c>
      <c r="F544" s="13" t="s">
        <v>1315</v>
      </c>
      <c r="G544" s="13" t="s">
        <v>2279</v>
      </c>
      <c r="H544" s="13" t="s">
        <v>1209</v>
      </c>
      <c r="I544" s="13" t="s">
        <v>1209</v>
      </c>
      <c r="J544" s="13" t="s">
        <v>1116</v>
      </c>
      <c r="K544" s="13" t="s">
        <v>3059</v>
      </c>
      <c r="L544" s="14">
        <v>4572.0</v>
      </c>
      <c r="M544" s="13" t="s">
        <v>1209</v>
      </c>
      <c r="N544" s="1" t="s">
        <v>1209</v>
      </c>
    </row>
    <row r="545">
      <c r="A545" s="13" t="s">
        <v>3060</v>
      </c>
      <c r="B545" s="31" t="s">
        <v>3061</v>
      </c>
      <c r="C545" s="13" t="s">
        <v>1114</v>
      </c>
      <c r="D545" s="13" t="s">
        <v>3062</v>
      </c>
      <c r="E545" s="13" t="s">
        <v>1335</v>
      </c>
      <c r="F545" s="13" t="s">
        <v>1315</v>
      </c>
      <c r="G545" s="13" t="s">
        <v>2279</v>
      </c>
      <c r="H545" s="13" t="s">
        <v>1209</v>
      </c>
      <c r="I545" s="13" t="s">
        <v>1209</v>
      </c>
      <c r="J545" s="13" t="s">
        <v>1116</v>
      </c>
      <c r="K545" s="13" t="s">
        <v>3059</v>
      </c>
      <c r="L545" s="14">
        <v>865.0</v>
      </c>
      <c r="M545" s="13" t="s">
        <v>1209</v>
      </c>
      <c r="N545" s="1" t="s">
        <v>1209</v>
      </c>
    </row>
    <row r="546">
      <c r="A546" s="13" t="s">
        <v>3065</v>
      </c>
      <c r="B546" s="31" t="s">
        <v>3066</v>
      </c>
      <c r="C546" s="13" t="s">
        <v>1114</v>
      </c>
      <c r="D546" s="13" t="s">
        <v>3062</v>
      </c>
      <c r="E546" s="13" t="s">
        <v>1335</v>
      </c>
      <c r="F546" s="13" t="s">
        <v>1315</v>
      </c>
      <c r="G546" s="13" t="s">
        <v>2279</v>
      </c>
      <c r="H546" s="13" t="s">
        <v>1209</v>
      </c>
      <c r="I546" s="13" t="s">
        <v>1209</v>
      </c>
      <c r="J546" s="13" t="s">
        <v>1116</v>
      </c>
      <c r="K546" s="13" t="s">
        <v>3059</v>
      </c>
      <c r="L546" s="14">
        <v>3655.0</v>
      </c>
      <c r="M546" s="13" t="s">
        <v>1209</v>
      </c>
      <c r="N546" s="1" t="s">
        <v>1209</v>
      </c>
    </row>
    <row r="547">
      <c r="A547" s="13" t="s">
        <v>3070</v>
      </c>
      <c r="B547" s="31" t="s">
        <v>3071</v>
      </c>
      <c r="C547" s="13" t="s">
        <v>1114</v>
      </c>
      <c r="D547" s="13" t="s">
        <v>3062</v>
      </c>
      <c r="E547" s="13" t="s">
        <v>1335</v>
      </c>
      <c r="F547" s="13" t="s">
        <v>1315</v>
      </c>
      <c r="G547" s="13" t="s">
        <v>2279</v>
      </c>
      <c r="H547" s="13" t="s">
        <v>1209</v>
      </c>
      <c r="I547" s="13" t="s">
        <v>1209</v>
      </c>
      <c r="J547" s="13" t="s">
        <v>1116</v>
      </c>
      <c r="K547" s="13" t="s">
        <v>3059</v>
      </c>
      <c r="L547" s="14">
        <v>5418.0</v>
      </c>
      <c r="M547" s="13" t="s">
        <v>1209</v>
      </c>
      <c r="N547" s="1" t="s">
        <v>1209</v>
      </c>
    </row>
    <row r="548">
      <c r="A548" s="13" t="s">
        <v>3075</v>
      </c>
      <c r="B548" s="31" t="s">
        <v>3076</v>
      </c>
      <c r="C548" s="13" t="s">
        <v>1114</v>
      </c>
      <c r="D548" s="13" t="s">
        <v>3062</v>
      </c>
      <c r="E548" s="13" t="s">
        <v>1335</v>
      </c>
      <c r="F548" s="13" t="s">
        <v>1315</v>
      </c>
      <c r="G548" s="13" t="s">
        <v>2279</v>
      </c>
      <c r="H548" s="13" t="s">
        <v>1209</v>
      </c>
      <c r="I548" s="13" t="s">
        <v>1209</v>
      </c>
      <c r="J548" s="13" t="s">
        <v>213</v>
      </c>
      <c r="K548" s="13" t="s">
        <v>3077</v>
      </c>
      <c r="L548" s="14">
        <v>9750.0</v>
      </c>
      <c r="M548" s="14">
        <v>9450.0</v>
      </c>
      <c r="N548" s="1">
        <v>7950.0</v>
      </c>
    </row>
    <row r="549">
      <c r="A549" s="13" t="s">
        <v>3079</v>
      </c>
      <c r="B549" s="31" t="s">
        <v>3080</v>
      </c>
      <c r="C549" s="13" t="s">
        <v>1209</v>
      </c>
      <c r="D549" s="13" t="s">
        <v>1209</v>
      </c>
      <c r="E549" s="13" t="s">
        <v>1335</v>
      </c>
      <c r="F549" s="13" t="s">
        <v>1315</v>
      </c>
      <c r="G549" s="13" t="s">
        <v>2279</v>
      </c>
      <c r="H549" s="13" t="s">
        <v>1209</v>
      </c>
      <c r="I549" s="13" t="s">
        <v>1209</v>
      </c>
      <c r="J549" s="13" t="s">
        <v>213</v>
      </c>
      <c r="K549" s="13" t="s">
        <v>3077</v>
      </c>
      <c r="L549" s="14">
        <v>9700.0</v>
      </c>
      <c r="M549" s="13" t="s">
        <v>1209</v>
      </c>
      <c r="N549" s="1" t="s">
        <v>1209</v>
      </c>
    </row>
    <row r="550">
      <c r="A550" s="13" t="s">
        <v>3081</v>
      </c>
      <c r="B550" s="31" t="s">
        <v>3082</v>
      </c>
      <c r="C550" s="13" t="s">
        <v>1209</v>
      </c>
      <c r="D550" s="13" t="s">
        <v>1209</v>
      </c>
      <c r="E550" s="13" t="s">
        <v>1350</v>
      </c>
      <c r="F550" s="13" t="s">
        <v>1315</v>
      </c>
      <c r="G550" s="13" t="s">
        <v>2279</v>
      </c>
      <c r="H550" s="13" t="s">
        <v>1209</v>
      </c>
      <c r="I550" s="13" t="s">
        <v>1209</v>
      </c>
      <c r="J550" s="13" t="s">
        <v>213</v>
      </c>
      <c r="K550" s="13" t="s">
        <v>3083</v>
      </c>
      <c r="L550" s="14">
        <v>13909.0</v>
      </c>
      <c r="M550" s="14">
        <v>14065.0</v>
      </c>
      <c r="N550" s="1">
        <v>13753.0</v>
      </c>
    </row>
    <row r="551">
      <c r="A551" s="13" t="s">
        <v>3084</v>
      </c>
      <c r="B551" s="31" t="s">
        <v>3085</v>
      </c>
      <c r="C551" s="13" t="s">
        <v>1209</v>
      </c>
      <c r="D551" s="13" t="s">
        <v>1209</v>
      </c>
      <c r="E551" s="13" t="s">
        <v>1350</v>
      </c>
      <c r="F551" s="13" t="s">
        <v>1315</v>
      </c>
      <c r="G551" s="13" t="s">
        <v>2279</v>
      </c>
      <c r="H551" s="13" t="s">
        <v>1209</v>
      </c>
      <c r="I551" s="13" t="s">
        <v>1209</v>
      </c>
      <c r="J551" s="13" t="s">
        <v>213</v>
      </c>
      <c r="K551" s="13" t="s">
        <v>3083</v>
      </c>
      <c r="L551" s="14">
        <v>11500.0</v>
      </c>
      <c r="M551" s="13" t="s">
        <v>1209</v>
      </c>
      <c r="N551" s="1" t="s">
        <v>1209</v>
      </c>
    </row>
    <row r="552">
      <c r="A552" s="13" t="s">
        <v>3087</v>
      </c>
      <c r="B552" s="31" t="s">
        <v>3088</v>
      </c>
      <c r="C552" s="13" t="s">
        <v>1209</v>
      </c>
      <c r="D552" s="13" t="s">
        <v>1209</v>
      </c>
      <c r="E552" s="13" t="s">
        <v>1350</v>
      </c>
      <c r="F552" s="13" t="s">
        <v>1315</v>
      </c>
      <c r="G552" s="13" t="s">
        <v>2279</v>
      </c>
      <c r="H552" s="13" t="s">
        <v>1209</v>
      </c>
      <c r="I552" s="13" t="s">
        <v>1209</v>
      </c>
      <c r="J552" s="13" t="s">
        <v>213</v>
      </c>
      <c r="K552" s="13" t="s">
        <v>3083</v>
      </c>
      <c r="L552" s="14">
        <v>11500.0</v>
      </c>
      <c r="M552" s="13" t="s">
        <v>1209</v>
      </c>
      <c r="N552" s="1" t="s">
        <v>1209</v>
      </c>
    </row>
    <row r="553">
      <c r="A553" s="13" t="s">
        <v>3091</v>
      </c>
      <c r="B553" s="31" t="s">
        <v>3092</v>
      </c>
      <c r="C553" s="13" t="s">
        <v>1209</v>
      </c>
      <c r="D553" s="13" t="s">
        <v>1209</v>
      </c>
      <c r="E553" s="13" t="s">
        <v>1335</v>
      </c>
      <c r="F553" s="13" t="s">
        <v>1315</v>
      </c>
      <c r="G553" s="13" t="s">
        <v>2279</v>
      </c>
      <c r="H553" s="13" t="s">
        <v>1209</v>
      </c>
      <c r="I553" s="13" t="s">
        <v>1209</v>
      </c>
      <c r="J553" s="13" t="s">
        <v>213</v>
      </c>
      <c r="K553" s="13" t="s">
        <v>2722</v>
      </c>
      <c r="L553" s="14">
        <v>4000.0</v>
      </c>
      <c r="M553" s="13" t="s">
        <v>1209</v>
      </c>
      <c r="N553" s="1" t="s">
        <v>1209</v>
      </c>
    </row>
    <row r="554">
      <c r="A554" s="13" t="s">
        <v>3096</v>
      </c>
      <c r="B554" s="31" t="s">
        <v>3097</v>
      </c>
      <c r="C554" s="13" t="s">
        <v>1209</v>
      </c>
      <c r="D554" s="13" t="s">
        <v>1209</v>
      </c>
      <c r="E554" s="13" t="s">
        <v>1335</v>
      </c>
      <c r="F554" s="13" t="s">
        <v>1315</v>
      </c>
      <c r="G554" s="13" t="s">
        <v>2279</v>
      </c>
      <c r="H554" s="13" t="s">
        <v>1209</v>
      </c>
      <c r="I554" s="13" t="s">
        <v>1209</v>
      </c>
      <c r="J554" s="13" t="s">
        <v>128</v>
      </c>
      <c r="K554" s="13" t="s">
        <v>3099</v>
      </c>
      <c r="L554" s="13" t="s">
        <v>1209</v>
      </c>
      <c r="M554" s="13" t="s">
        <v>1472</v>
      </c>
      <c r="N554" s="1" t="s">
        <v>1472</v>
      </c>
    </row>
    <row r="555">
      <c r="A555" s="13" t="s">
        <v>3090</v>
      </c>
      <c r="B555" s="31" t="s">
        <v>3102</v>
      </c>
      <c r="C555" s="13" t="s">
        <v>1209</v>
      </c>
      <c r="D555" s="13" t="s">
        <v>1209</v>
      </c>
      <c r="E555" s="13" t="s">
        <v>1350</v>
      </c>
      <c r="F555" s="13" t="s">
        <v>1315</v>
      </c>
      <c r="G555" s="13" t="s">
        <v>2279</v>
      </c>
      <c r="H555" s="13" t="s">
        <v>1209</v>
      </c>
      <c r="I555" s="13" t="s">
        <v>1209</v>
      </c>
      <c r="J555" s="13" t="s">
        <v>3104</v>
      </c>
      <c r="K555" s="13" t="s">
        <v>3105</v>
      </c>
      <c r="L555" s="14">
        <v>10800.0</v>
      </c>
      <c r="M555" s="13" t="s">
        <v>1209</v>
      </c>
      <c r="N555" s="1" t="s">
        <v>1209</v>
      </c>
    </row>
    <row r="556">
      <c r="A556" s="13" t="s">
        <v>3107</v>
      </c>
      <c r="B556" s="31" t="s">
        <v>3108</v>
      </c>
      <c r="C556" s="13" t="s">
        <v>1209</v>
      </c>
      <c r="D556" s="13" t="s">
        <v>1209</v>
      </c>
      <c r="E556" s="13" t="s">
        <v>1335</v>
      </c>
      <c r="F556" s="13" t="s">
        <v>1315</v>
      </c>
      <c r="G556" s="13" t="s">
        <v>2279</v>
      </c>
      <c r="H556" s="13" t="s">
        <v>1209</v>
      </c>
      <c r="I556" s="13" t="s">
        <v>1209</v>
      </c>
      <c r="J556" s="13" t="s">
        <v>295</v>
      </c>
      <c r="K556" s="13" t="s">
        <v>3110</v>
      </c>
      <c r="L556" s="14">
        <v>6850.0</v>
      </c>
      <c r="M556" s="14">
        <v>6850.0</v>
      </c>
      <c r="N556" s="1">
        <v>6750.0</v>
      </c>
    </row>
    <row r="557">
      <c r="A557" s="13" t="s">
        <v>3112</v>
      </c>
      <c r="B557" s="31" t="s">
        <v>3113</v>
      </c>
      <c r="C557" s="13" t="s">
        <v>1209</v>
      </c>
      <c r="D557" s="13" t="s">
        <v>1209</v>
      </c>
      <c r="E557" s="13" t="s">
        <v>1335</v>
      </c>
      <c r="F557" s="13" t="s">
        <v>1315</v>
      </c>
      <c r="G557" s="13" t="s">
        <v>2279</v>
      </c>
      <c r="H557" s="13" t="s">
        <v>1209</v>
      </c>
      <c r="I557" s="13" t="s">
        <v>1209</v>
      </c>
      <c r="J557" s="13" t="s">
        <v>295</v>
      </c>
      <c r="K557" s="13" t="s">
        <v>3110</v>
      </c>
      <c r="L557" s="14">
        <v>6815.0</v>
      </c>
      <c r="M557" s="13" t="s">
        <v>1209</v>
      </c>
      <c r="N557" s="1" t="s">
        <v>1209</v>
      </c>
    </row>
    <row r="558">
      <c r="A558" s="13" t="s">
        <v>3115</v>
      </c>
      <c r="B558" s="31" t="s">
        <v>3117</v>
      </c>
      <c r="C558" s="13" t="s">
        <v>1209</v>
      </c>
      <c r="D558" s="13" t="s">
        <v>1209</v>
      </c>
      <c r="E558" s="13" t="s">
        <v>1335</v>
      </c>
      <c r="F558" s="13" t="s">
        <v>1315</v>
      </c>
      <c r="G558" s="13" t="s">
        <v>2279</v>
      </c>
      <c r="H558" s="13" t="s">
        <v>1209</v>
      </c>
      <c r="I558" s="13" t="s">
        <v>1209</v>
      </c>
      <c r="J558" s="13" t="s">
        <v>295</v>
      </c>
      <c r="K558" s="13" t="s">
        <v>3110</v>
      </c>
      <c r="L558" s="14">
        <v>6850.0</v>
      </c>
      <c r="M558" s="14">
        <v>6850.0</v>
      </c>
      <c r="N558" s="1">
        <v>6750.0</v>
      </c>
    </row>
    <row r="559">
      <c r="A559" s="13" t="s">
        <v>3118</v>
      </c>
      <c r="B559" s="31" t="s">
        <v>3119</v>
      </c>
      <c r="C559" s="13" t="s">
        <v>1209</v>
      </c>
      <c r="D559" s="13" t="s">
        <v>1209</v>
      </c>
      <c r="E559" s="13" t="s">
        <v>1335</v>
      </c>
      <c r="F559" s="13" t="s">
        <v>1315</v>
      </c>
      <c r="G559" s="13" t="s">
        <v>2279</v>
      </c>
      <c r="H559" s="13" t="s">
        <v>1209</v>
      </c>
      <c r="I559" s="13" t="s">
        <v>1209</v>
      </c>
      <c r="J559" s="13" t="s">
        <v>295</v>
      </c>
      <c r="K559" s="13" t="s">
        <v>3110</v>
      </c>
      <c r="L559" s="14">
        <v>6850.0</v>
      </c>
      <c r="M559" s="14">
        <v>6850.0</v>
      </c>
      <c r="N559" s="1">
        <v>6750.0</v>
      </c>
    </row>
    <row r="560">
      <c r="A560" s="13" t="s">
        <v>3120</v>
      </c>
      <c r="B560" s="31" t="s">
        <v>3121</v>
      </c>
      <c r="C560" s="13" t="s">
        <v>1209</v>
      </c>
      <c r="D560" s="13" t="s">
        <v>1209</v>
      </c>
      <c r="E560" s="13" t="s">
        <v>1350</v>
      </c>
      <c r="F560" s="13" t="s">
        <v>1315</v>
      </c>
      <c r="G560" s="13" t="s">
        <v>2279</v>
      </c>
      <c r="H560" s="13" t="s">
        <v>1209</v>
      </c>
      <c r="I560" s="13" t="s">
        <v>1209</v>
      </c>
      <c r="J560" s="13" t="s">
        <v>3104</v>
      </c>
      <c r="K560" s="13" t="s">
        <v>3105</v>
      </c>
      <c r="L560" s="14">
        <v>10850.0</v>
      </c>
      <c r="M560" s="14">
        <v>11050.0</v>
      </c>
      <c r="N560" s="1">
        <v>10550.0</v>
      </c>
    </row>
    <row r="561">
      <c r="A561" s="13" t="s">
        <v>3124</v>
      </c>
      <c r="B561" s="31" t="s">
        <v>3125</v>
      </c>
      <c r="C561" s="13" t="s">
        <v>1209</v>
      </c>
      <c r="D561" s="13" t="s">
        <v>1209</v>
      </c>
      <c r="E561" s="13" t="s">
        <v>1335</v>
      </c>
      <c r="F561" s="13" t="s">
        <v>1315</v>
      </c>
      <c r="G561" s="13" t="s">
        <v>2279</v>
      </c>
      <c r="H561" s="13" t="s">
        <v>1209</v>
      </c>
      <c r="I561" s="13" t="s">
        <v>1209</v>
      </c>
      <c r="J561" s="13" t="s">
        <v>213</v>
      </c>
      <c r="K561" s="13" t="s">
        <v>2236</v>
      </c>
      <c r="L561" s="14">
        <v>8650.0</v>
      </c>
      <c r="M561" s="14">
        <v>8750.0</v>
      </c>
      <c r="N561" s="1">
        <v>8450.0</v>
      </c>
    </row>
    <row r="562">
      <c r="A562" s="13" t="s">
        <v>3126</v>
      </c>
      <c r="B562" s="31" t="s">
        <v>3127</v>
      </c>
      <c r="C562" s="13" t="s">
        <v>1209</v>
      </c>
      <c r="D562" s="13" t="s">
        <v>1209</v>
      </c>
      <c r="E562" s="13" t="s">
        <v>1316</v>
      </c>
      <c r="F562" s="13" t="s">
        <v>1315</v>
      </c>
      <c r="G562" s="13" t="s">
        <v>2279</v>
      </c>
      <c r="H562" s="13" t="s">
        <v>1209</v>
      </c>
      <c r="I562" s="13" t="s">
        <v>1209</v>
      </c>
      <c r="J562" s="13" t="s">
        <v>213</v>
      </c>
      <c r="K562" s="13" t="s">
        <v>2236</v>
      </c>
      <c r="L562" s="14">
        <v>8650.0</v>
      </c>
      <c r="M562" s="14">
        <v>8750.0</v>
      </c>
      <c r="N562" s="1">
        <v>8450.0</v>
      </c>
    </row>
    <row r="563">
      <c r="A563" s="13" t="s">
        <v>3129</v>
      </c>
      <c r="B563" s="31" t="s">
        <v>3130</v>
      </c>
      <c r="C563" s="13" t="s">
        <v>1209</v>
      </c>
      <c r="D563" s="13" t="s">
        <v>1209</v>
      </c>
      <c r="E563" s="13" t="s">
        <v>1316</v>
      </c>
      <c r="F563" s="13" t="s">
        <v>1315</v>
      </c>
      <c r="G563" s="13" t="s">
        <v>2279</v>
      </c>
      <c r="H563" s="13" t="s">
        <v>1209</v>
      </c>
      <c r="I563" s="13" t="s">
        <v>1209</v>
      </c>
      <c r="J563" s="13" t="s">
        <v>213</v>
      </c>
      <c r="K563" s="13" t="s">
        <v>3132</v>
      </c>
      <c r="L563" s="14">
        <v>5500.0</v>
      </c>
      <c r="M563" s="13" t="s">
        <v>1209</v>
      </c>
      <c r="N563" s="1" t="s">
        <v>1209</v>
      </c>
    </row>
    <row r="564">
      <c r="A564" s="13" t="s">
        <v>3133</v>
      </c>
      <c r="B564" s="31" t="s">
        <v>3134</v>
      </c>
      <c r="C564" s="13" t="s">
        <v>1209</v>
      </c>
      <c r="D564" s="13" t="s">
        <v>1209</v>
      </c>
      <c r="E564" s="13" t="s">
        <v>1316</v>
      </c>
      <c r="F564" s="13" t="s">
        <v>1315</v>
      </c>
      <c r="G564" s="13" t="s">
        <v>2279</v>
      </c>
      <c r="H564" s="13" t="s">
        <v>1209</v>
      </c>
      <c r="I564" s="13" t="s">
        <v>1209</v>
      </c>
      <c r="J564" s="13" t="s">
        <v>213</v>
      </c>
      <c r="K564" s="13" t="s">
        <v>3132</v>
      </c>
      <c r="L564" s="14">
        <v>5500.0</v>
      </c>
      <c r="M564" s="13" t="s">
        <v>1209</v>
      </c>
      <c r="N564" s="1" t="s">
        <v>1209</v>
      </c>
    </row>
    <row r="565">
      <c r="A565" s="13" t="s">
        <v>3135</v>
      </c>
      <c r="B565" s="31" t="s">
        <v>3137</v>
      </c>
      <c r="C565" s="13" t="s">
        <v>1209</v>
      </c>
      <c r="D565" s="13" t="s">
        <v>1209</v>
      </c>
      <c r="E565" s="13" t="s">
        <v>1316</v>
      </c>
      <c r="F565" s="13" t="s">
        <v>1315</v>
      </c>
      <c r="G565" s="13" t="s">
        <v>2279</v>
      </c>
      <c r="H565" s="13" t="s">
        <v>1209</v>
      </c>
      <c r="I565" s="13" t="s">
        <v>1209</v>
      </c>
      <c r="J565" s="13" t="s">
        <v>213</v>
      </c>
      <c r="K565" s="13" t="s">
        <v>3132</v>
      </c>
      <c r="L565" s="14">
        <v>3000.0</v>
      </c>
      <c r="M565" s="13" t="s">
        <v>1209</v>
      </c>
      <c r="N565" s="1" t="s">
        <v>1209</v>
      </c>
    </row>
    <row r="566">
      <c r="A566" s="13" t="s">
        <v>3138</v>
      </c>
      <c r="B566" s="31" t="s">
        <v>3139</v>
      </c>
      <c r="C566" s="13" t="s">
        <v>1209</v>
      </c>
      <c r="D566" s="13" t="s">
        <v>1209</v>
      </c>
      <c r="E566" s="13" t="s">
        <v>1316</v>
      </c>
      <c r="F566" s="13" t="s">
        <v>1315</v>
      </c>
      <c r="G566" s="13" t="s">
        <v>2279</v>
      </c>
      <c r="H566" s="13" t="s">
        <v>1209</v>
      </c>
      <c r="I566" s="13" t="s">
        <v>1209</v>
      </c>
      <c r="J566" s="13" t="s">
        <v>213</v>
      </c>
      <c r="K566" s="13" t="s">
        <v>3132</v>
      </c>
      <c r="L566" s="14">
        <v>5500.0</v>
      </c>
      <c r="M566" s="13" t="s">
        <v>1209</v>
      </c>
      <c r="N566" s="1" t="s">
        <v>1209</v>
      </c>
    </row>
    <row r="567">
      <c r="A567" s="13" t="s">
        <v>3140</v>
      </c>
      <c r="B567" s="31" t="s">
        <v>3141</v>
      </c>
      <c r="C567" s="13" t="s">
        <v>1209</v>
      </c>
      <c r="D567" s="13" t="s">
        <v>1209</v>
      </c>
      <c r="E567" s="13" t="s">
        <v>1335</v>
      </c>
      <c r="F567" s="13" t="s">
        <v>1315</v>
      </c>
      <c r="G567" s="13" t="s">
        <v>2279</v>
      </c>
      <c r="H567" s="13" t="s">
        <v>1209</v>
      </c>
      <c r="I567" s="13" t="s">
        <v>1209</v>
      </c>
      <c r="J567" s="13" t="s">
        <v>295</v>
      </c>
      <c r="K567" s="13" t="s">
        <v>3110</v>
      </c>
      <c r="L567" s="14">
        <v>6750.0</v>
      </c>
      <c r="M567" s="13" t="s">
        <v>1209</v>
      </c>
      <c r="N567" s="1" t="s">
        <v>1209</v>
      </c>
    </row>
    <row r="568">
      <c r="A568" s="13" t="s">
        <v>3143</v>
      </c>
      <c r="B568" s="31" t="s">
        <v>3144</v>
      </c>
      <c r="C568" s="13" t="s">
        <v>1209</v>
      </c>
      <c r="D568" s="13" t="s">
        <v>1209</v>
      </c>
      <c r="E568" s="13" t="s">
        <v>1335</v>
      </c>
      <c r="F568" s="13" t="s">
        <v>1315</v>
      </c>
      <c r="G568" s="13" t="s">
        <v>2279</v>
      </c>
      <c r="H568" s="13" t="s">
        <v>1209</v>
      </c>
      <c r="I568" s="13" t="s">
        <v>1209</v>
      </c>
      <c r="J568" s="13" t="s">
        <v>295</v>
      </c>
      <c r="K568" s="13" t="s">
        <v>3110</v>
      </c>
      <c r="L568" s="14">
        <v>6750.0</v>
      </c>
      <c r="M568" s="13" t="s">
        <v>1209</v>
      </c>
      <c r="N568" s="1" t="s">
        <v>1209</v>
      </c>
    </row>
    <row r="569">
      <c r="A569" s="13" t="s">
        <v>3145</v>
      </c>
      <c r="B569" s="31" t="s">
        <v>3146</v>
      </c>
      <c r="C569" s="13" t="s">
        <v>1209</v>
      </c>
      <c r="D569" s="13" t="s">
        <v>1209</v>
      </c>
      <c r="E569" s="13" t="s">
        <v>1335</v>
      </c>
      <c r="F569" s="13" t="s">
        <v>1315</v>
      </c>
      <c r="G569" s="13" t="s">
        <v>2279</v>
      </c>
      <c r="H569" s="13" t="s">
        <v>1209</v>
      </c>
      <c r="I569" s="13" t="s">
        <v>1209</v>
      </c>
      <c r="J569" s="13" t="s">
        <v>295</v>
      </c>
      <c r="K569" s="13" t="s">
        <v>3110</v>
      </c>
      <c r="L569" s="14">
        <v>6850.0</v>
      </c>
      <c r="M569" s="13" t="s">
        <v>1209</v>
      </c>
      <c r="N569" s="1" t="s">
        <v>1209</v>
      </c>
    </row>
    <row r="570">
      <c r="A570" s="13" t="s">
        <v>3147</v>
      </c>
      <c r="B570" s="31" t="s">
        <v>3148</v>
      </c>
      <c r="C570" s="13" t="s">
        <v>1209</v>
      </c>
      <c r="D570" s="13" t="s">
        <v>1209</v>
      </c>
      <c r="E570" s="13" t="s">
        <v>1335</v>
      </c>
      <c r="F570" s="13" t="s">
        <v>1315</v>
      </c>
      <c r="G570" s="13" t="s">
        <v>2279</v>
      </c>
      <c r="H570" s="13" t="s">
        <v>1209</v>
      </c>
      <c r="I570" s="13" t="s">
        <v>1209</v>
      </c>
      <c r="J570" s="13" t="s">
        <v>295</v>
      </c>
      <c r="K570" s="13" t="s">
        <v>3110</v>
      </c>
      <c r="L570" s="14">
        <v>6800.0</v>
      </c>
      <c r="M570" s="13" t="s">
        <v>1209</v>
      </c>
      <c r="N570" s="1" t="s">
        <v>1209</v>
      </c>
    </row>
    <row r="571">
      <c r="A571" s="13" t="s">
        <v>3150</v>
      </c>
      <c r="B571" s="31" t="s">
        <v>3151</v>
      </c>
      <c r="C571" s="13" t="s">
        <v>1209</v>
      </c>
      <c r="D571" s="13" t="s">
        <v>1209</v>
      </c>
      <c r="E571" s="13" t="s">
        <v>1335</v>
      </c>
      <c r="F571" s="13" t="s">
        <v>1315</v>
      </c>
      <c r="G571" s="13" t="s">
        <v>2279</v>
      </c>
      <c r="H571" s="13" t="s">
        <v>1209</v>
      </c>
      <c r="I571" s="13" t="s">
        <v>1209</v>
      </c>
      <c r="J571" s="13" t="s">
        <v>128</v>
      </c>
      <c r="K571" s="13" t="s">
        <v>3154</v>
      </c>
      <c r="L571" s="14">
        <v>1000.0</v>
      </c>
      <c r="M571" s="13" t="s">
        <v>1209</v>
      </c>
      <c r="N571" s="1" t="s">
        <v>1209</v>
      </c>
    </row>
    <row r="572">
      <c r="A572" s="13" t="s">
        <v>3155</v>
      </c>
      <c r="B572" s="31" t="s">
        <v>3156</v>
      </c>
      <c r="C572" s="13" t="s">
        <v>1209</v>
      </c>
      <c r="D572" s="13" t="s">
        <v>1209</v>
      </c>
      <c r="E572" s="13" t="s">
        <v>1335</v>
      </c>
      <c r="F572" s="13" t="s">
        <v>1315</v>
      </c>
      <c r="G572" s="13" t="s">
        <v>2279</v>
      </c>
      <c r="H572" s="13" t="s">
        <v>1209</v>
      </c>
      <c r="I572" s="13" t="s">
        <v>1209</v>
      </c>
      <c r="J572" s="13" t="s">
        <v>128</v>
      </c>
      <c r="K572" s="13" t="s">
        <v>3158</v>
      </c>
      <c r="L572" s="14">
        <v>5100.0</v>
      </c>
      <c r="M572" s="14">
        <v>5450.0</v>
      </c>
      <c r="N572" s="1">
        <v>4650.0</v>
      </c>
    </row>
    <row r="573">
      <c r="A573" s="13" t="s">
        <v>3159</v>
      </c>
      <c r="B573" s="31" t="s">
        <v>3160</v>
      </c>
      <c r="C573" s="13" t="s">
        <v>209</v>
      </c>
      <c r="D573" s="13" t="s">
        <v>211</v>
      </c>
      <c r="E573" s="13" t="s">
        <v>1335</v>
      </c>
      <c r="F573" s="13" t="s">
        <v>1315</v>
      </c>
      <c r="G573" s="13" t="s">
        <v>2279</v>
      </c>
      <c r="H573" s="13" t="s">
        <v>1209</v>
      </c>
      <c r="I573" s="13" t="s">
        <v>1209</v>
      </c>
      <c r="J573" s="13" t="s">
        <v>2419</v>
      </c>
      <c r="K573" s="13" t="s">
        <v>3161</v>
      </c>
      <c r="L573" s="14">
        <v>2718.0</v>
      </c>
      <c r="M573" s="13" t="s">
        <v>1209</v>
      </c>
      <c r="N573" s="1" t="s">
        <v>1209</v>
      </c>
    </row>
    <row r="574">
      <c r="A574" s="13" t="s">
        <v>3163</v>
      </c>
      <c r="B574" s="31" t="s">
        <v>3165</v>
      </c>
      <c r="C574" s="13" t="s">
        <v>1209</v>
      </c>
      <c r="D574" s="13" t="s">
        <v>1209</v>
      </c>
      <c r="E574" s="13" t="s">
        <v>1350</v>
      </c>
      <c r="F574" s="13" t="s">
        <v>1315</v>
      </c>
      <c r="G574" s="13" t="s">
        <v>2279</v>
      </c>
      <c r="H574" s="13" t="s">
        <v>1209</v>
      </c>
      <c r="I574" s="13" t="s">
        <v>1209</v>
      </c>
      <c r="J574" s="13" t="s">
        <v>128</v>
      </c>
      <c r="K574" s="13" t="s">
        <v>3166</v>
      </c>
      <c r="L574" s="14">
        <v>9000.0</v>
      </c>
      <c r="M574" s="13" t="s">
        <v>1209</v>
      </c>
      <c r="N574" s="1" t="s">
        <v>1209</v>
      </c>
    </row>
    <row r="575">
      <c r="A575" s="13" t="s">
        <v>3167</v>
      </c>
      <c r="B575" s="31" t="s">
        <v>3168</v>
      </c>
      <c r="C575" s="13" t="s">
        <v>1209</v>
      </c>
      <c r="D575" s="13" t="s">
        <v>1209</v>
      </c>
      <c r="E575" s="13" t="s">
        <v>1350</v>
      </c>
      <c r="F575" s="13" t="s">
        <v>1315</v>
      </c>
      <c r="G575" s="13" t="s">
        <v>2279</v>
      </c>
      <c r="H575" s="28">
        <v>38.34935</v>
      </c>
      <c r="I575" s="28">
        <v>34.230237</v>
      </c>
      <c r="J575" s="13" t="s">
        <v>213</v>
      </c>
      <c r="K575" s="13" t="s">
        <v>215</v>
      </c>
      <c r="L575" s="14">
        <v>9778.0</v>
      </c>
      <c r="M575" s="14">
        <v>9800.0</v>
      </c>
      <c r="N575" s="1">
        <v>9650.0</v>
      </c>
    </row>
    <row r="576">
      <c r="A576" s="13" t="s">
        <v>3169</v>
      </c>
      <c r="B576" s="31" t="s">
        <v>3171</v>
      </c>
      <c r="C576" s="13" t="s">
        <v>1209</v>
      </c>
      <c r="D576" s="13" t="s">
        <v>1209</v>
      </c>
      <c r="E576" s="13" t="s">
        <v>1335</v>
      </c>
      <c r="F576" s="13" t="s">
        <v>1315</v>
      </c>
      <c r="G576" s="13" t="s">
        <v>2279</v>
      </c>
      <c r="H576" s="28">
        <v>38.34935</v>
      </c>
      <c r="I576" s="28">
        <v>34.230237</v>
      </c>
      <c r="J576" s="13" t="s">
        <v>213</v>
      </c>
      <c r="K576" s="13" t="s">
        <v>215</v>
      </c>
      <c r="L576" s="14">
        <v>10200.0</v>
      </c>
      <c r="M576" s="14">
        <v>10300.0</v>
      </c>
      <c r="N576" s="1">
        <v>10000.0</v>
      </c>
    </row>
    <row r="577">
      <c r="A577" s="13" t="s">
        <v>3172</v>
      </c>
      <c r="B577" s="31" t="s">
        <v>3173</v>
      </c>
      <c r="C577" s="13" t="s">
        <v>1209</v>
      </c>
      <c r="D577" s="13" t="s">
        <v>1209</v>
      </c>
      <c r="E577" s="13" t="s">
        <v>1335</v>
      </c>
      <c r="F577" s="13" t="s">
        <v>1315</v>
      </c>
      <c r="G577" s="13" t="s">
        <v>2279</v>
      </c>
      <c r="H577" s="28">
        <v>38.34935</v>
      </c>
      <c r="I577" s="28">
        <v>34.230237</v>
      </c>
      <c r="J577" s="13" t="s">
        <v>213</v>
      </c>
      <c r="K577" s="13" t="s">
        <v>215</v>
      </c>
      <c r="L577" s="14">
        <v>9700.0</v>
      </c>
      <c r="M577" s="14">
        <v>9800.0</v>
      </c>
      <c r="N577" s="1">
        <v>9250.0</v>
      </c>
    </row>
    <row r="578">
      <c r="A578" s="13" t="s">
        <v>3175</v>
      </c>
      <c r="B578" s="31" t="s">
        <v>3176</v>
      </c>
      <c r="C578" s="13" t="s">
        <v>1209</v>
      </c>
      <c r="D578" s="13" t="s">
        <v>1209</v>
      </c>
      <c r="E578" s="13" t="s">
        <v>1350</v>
      </c>
      <c r="F578" s="13" t="s">
        <v>1315</v>
      </c>
      <c r="G578" s="13" t="s">
        <v>2279</v>
      </c>
      <c r="H578" s="28">
        <v>38.34935</v>
      </c>
      <c r="I578" s="28">
        <v>34.230237</v>
      </c>
      <c r="J578" s="13" t="s">
        <v>213</v>
      </c>
      <c r="K578" s="13" t="s">
        <v>215</v>
      </c>
      <c r="L578" s="14">
        <v>10200.0</v>
      </c>
      <c r="M578" s="14">
        <v>10300.0</v>
      </c>
      <c r="N578" s="1">
        <v>10000.0</v>
      </c>
    </row>
    <row r="579">
      <c r="A579" s="13" t="s">
        <v>3177</v>
      </c>
      <c r="B579" s="31" t="s">
        <v>3178</v>
      </c>
      <c r="C579" s="13" t="s">
        <v>1209</v>
      </c>
      <c r="D579" s="13" t="s">
        <v>1209</v>
      </c>
      <c r="E579" s="13" t="s">
        <v>1350</v>
      </c>
      <c r="F579" s="13" t="s">
        <v>1315</v>
      </c>
      <c r="G579" s="13" t="s">
        <v>2279</v>
      </c>
      <c r="H579" s="28">
        <v>38.34935</v>
      </c>
      <c r="I579" s="28">
        <v>34.230237</v>
      </c>
      <c r="J579" s="13" t="s">
        <v>213</v>
      </c>
      <c r="K579" s="13" t="s">
        <v>215</v>
      </c>
      <c r="L579" s="14">
        <v>9778.0</v>
      </c>
      <c r="M579" s="14">
        <v>9800.0</v>
      </c>
      <c r="N579" s="1">
        <v>9650.0</v>
      </c>
    </row>
    <row r="580">
      <c r="A580" s="13" t="s">
        <v>3179</v>
      </c>
      <c r="B580" s="31" t="s">
        <v>3180</v>
      </c>
      <c r="C580" s="13" t="s">
        <v>1209</v>
      </c>
      <c r="D580" s="13" t="s">
        <v>1209</v>
      </c>
      <c r="E580" s="13" t="s">
        <v>1350</v>
      </c>
      <c r="F580" s="13" t="s">
        <v>1315</v>
      </c>
      <c r="G580" s="13" t="s">
        <v>2279</v>
      </c>
      <c r="H580" s="28">
        <v>38.34935</v>
      </c>
      <c r="I580" s="28">
        <v>34.230237</v>
      </c>
      <c r="J580" s="13" t="s">
        <v>213</v>
      </c>
      <c r="K580" s="13" t="s">
        <v>215</v>
      </c>
      <c r="L580" s="14">
        <v>10200.0</v>
      </c>
      <c r="M580" s="14">
        <v>10300.0</v>
      </c>
      <c r="N580" s="1">
        <v>10000.0</v>
      </c>
    </row>
    <row r="581">
      <c r="A581" s="13" t="s">
        <v>3181</v>
      </c>
      <c r="B581" s="31" t="s">
        <v>3182</v>
      </c>
      <c r="C581" s="13" t="s">
        <v>1209</v>
      </c>
      <c r="D581" s="13" t="s">
        <v>1209</v>
      </c>
      <c r="E581" s="13" t="s">
        <v>1350</v>
      </c>
      <c r="F581" s="13" t="s">
        <v>1315</v>
      </c>
      <c r="G581" s="13" t="s">
        <v>2279</v>
      </c>
      <c r="H581" s="28">
        <v>38.34935</v>
      </c>
      <c r="I581" s="28">
        <v>34.230237</v>
      </c>
      <c r="J581" s="13" t="s">
        <v>213</v>
      </c>
      <c r="K581" s="13" t="s">
        <v>215</v>
      </c>
      <c r="L581" s="14">
        <v>10200.0</v>
      </c>
      <c r="M581" s="14">
        <v>10300.0</v>
      </c>
      <c r="N581" s="1">
        <v>10000.0</v>
      </c>
    </row>
    <row r="582">
      <c r="A582" s="13" t="s">
        <v>3185</v>
      </c>
      <c r="B582" s="31" t="s">
        <v>3186</v>
      </c>
      <c r="C582" s="13" t="s">
        <v>1209</v>
      </c>
      <c r="D582" s="13" t="s">
        <v>1209</v>
      </c>
      <c r="E582" s="13" t="s">
        <v>1350</v>
      </c>
      <c r="F582" s="13" t="s">
        <v>1315</v>
      </c>
      <c r="G582" s="13" t="s">
        <v>2279</v>
      </c>
      <c r="H582" s="28">
        <v>38.34935</v>
      </c>
      <c r="I582" s="28">
        <v>34.230237</v>
      </c>
      <c r="J582" s="13" t="s">
        <v>213</v>
      </c>
      <c r="K582" s="13" t="s">
        <v>215</v>
      </c>
      <c r="L582" s="14">
        <v>9600.0</v>
      </c>
      <c r="M582" s="13" t="s">
        <v>1209</v>
      </c>
      <c r="N582" s="1" t="s">
        <v>1209</v>
      </c>
    </row>
    <row r="583">
      <c r="A583" s="13" t="s">
        <v>1347</v>
      </c>
      <c r="B583" s="31" t="s">
        <v>3187</v>
      </c>
      <c r="C583" s="13" t="s">
        <v>1209</v>
      </c>
      <c r="D583" s="13" t="s">
        <v>1209</v>
      </c>
      <c r="E583" s="13" t="s">
        <v>1350</v>
      </c>
      <c r="F583" s="13" t="s">
        <v>1315</v>
      </c>
      <c r="G583" s="13" t="s">
        <v>2279</v>
      </c>
      <c r="H583" s="28">
        <v>38.34935</v>
      </c>
      <c r="I583" s="28">
        <v>34.230237</v>
      </c>
      <c r="J583" s="13" t="s">
        <v>213</v>
      </c>
      <c r="K583" s="13" t="s">
        <v>215</v>
      </c>
      <c r="L583" s="14">
        <v>10200.0</v>
      </c>
      <c r="M583" s="14">
        <v>10300.0</v>
      </c>
      <c r="N583" s="1">
        <v>10000.0</v>
      </c>
    </row>
    <row r="584">
      <c r="A584" s="13" t="s">
        <v>3188</v>
      </c>
      <c r="B584" s="31" t="s">
        <v>3189</v>
      </c>
      <c r="C584" s="13" t="s">
        <v>1209</v>
      </c>
      <c r="D584" s="13" t="s">
        <v>1209</v>
      </c>
      <c r="E584" s="13" t="s">
        <v>1350</v>
      </c>
      <c r="F584" s="13" t="s">
        <v>1315</v>
      </c>
      <c r="G584" s="13" t="s">
        <v>2279</v>
      </c>
      <c r="H584" s="28">
        <v>38.34935</v>
      </c>
      <c r="I584" s="28">
        <v>34.230237</v>
      </c>
      <c r="J584" s="13" t="s">
        <v>213</v>
      </c>
      <c r="K584" s="13" t="s">
        <v>215</v>
      </c>
      <c r="L584" s="14">
        <v>9700.0</v>
      </c>
      <c r="M584" s="14">
        <v>9800.0</v>
      </c>
      <c r="N584" s="1">
        <v>9250.0</v>
      </c>
    </row>
    <row r="585">
      <c r="A585" s="13" t="s">
        <v>3193</v>
      </c>
      <c r="B585" s="31" t="s">
        <v>3194</v>
      </c>
      <c r="C585" s="13" t="s">
        <v>1209</v>
      </c>
      <c r="D585" s="13" t="s">
        <v>1209</v>
      </c>
      <c r="E585" s="13" t="s">
        <v>1316</v>
      </c>
      <c r="F585" s="13" t="s">
        <v>1315</v>
      </c>
      <c r="G585" s="13" t="s">
        <v>2279</v>
      </c>
      <c r="H585" s="14">
        <v>44.454</v>
      </c>
      <c r="I585" s="14">
        <v>20.3724</v>
      </c>
      <c r="J585" s="13" t="s">
        <v>295</v>
      </c>
      <c r="K585" s="13" t="s">
        <v>1409</v>
      </c>
      <c r="L585" s="14">
        <v>6500.0</v>
      </c>
      <c r="M585" s="13" t="s">
        <v>1209</v>
      </c>
      <c r="N585" s="1" t="s">
        <v>1209</v>
      </c>
    </row>
    <row r="586">
      <c r="A586" s="13" t="s">
        <v>1403</v>
      </c>
      <c r="B586" s="31" t="s">
        <v>3195</v>
      </c>
      <c r="C586" s="13" t="s">
        <v>1209</v>
      </c>
      <c r="D586" s="13" t="s">
        <v>1209</v>
      </c>
      <c r="E586" s="13" t="s">
        <v>1316</v>
      </c>
      <c r="F586" s="13" t="s">
        <v>1315</v>
      </c>
      <c r="G586" s="13" t="s">
        <v>2279</v>
      </c>
      <c r="H586" s="14">
        <v>44.454</v>
      </c>
      <c r="I586" s="14">
        <v>20.3724</v>
      </c>
      <c r="J586" s="13" t="s">
        <v>295</v>
      </c>
      <c r="K586" s="13" t="s">
        <v>1409</v>
      </c>
      <c r="L586" s="14">
        <v>6500.0</v>
      </c>
      <c r="M586" s="13" t="s">
        <v>1209</v>
      </c>
      <c r="N586" s="1" t="s">
        <v>1209</v>
      </c>
    </row>
    <row r="587">
      <c r="A587" s="13" t="s">
        <v>3196</v>
      </c>
      <c r="B587" s="31" t="s">
        <v>3197</v>
      </c>
      <c r="C587" s="13" t="s">
        <v>1209</v>
      </c>
      <c r="D587" s="13" t="s">
        <v>1209</v>
      </c>
      <c r="E587" s="13" t="s">
        <v>1316</v>
      </c>
      <c r="F587" s="13" t="s">
        <v>1315</v>
      </c>
      <c r="G587" s="13" t="s">
        <v>2279</v>
      </c>
      <c r="H587" s="13" t="s">
        <v>1209</v>
      </c>
      <c r="I587" s="13" t="s">
        <v>1209</v>
      </c>
      <c r="J587" s="13" t="s">
        <v>213</v>
      </c>
      <c r="K587" s="13" t="s">
        <v>3199</v>
      </c>
      <c r="L587" s="14">
        <v>5330.0</v>
      </c>
      <c r="M587" s="14">
        <v>5540.0</v>
      </c>
      <c r="N587" s="1">
        <v>5420.0</v>
      </c>
    </row>
    <row r="588">
      <c r="A588" s="13" t="s">
        <v>3200</v>
      </c>
      <c r="B588" s="31" t="s">
        <v>3202</v>
      </c>
      <c r="C588" s="13" t="s">
        <v>1209</v>
      </c>
      <c r="D588" s="13" t="s">
        <v>1209</v>
      </c>
      <c r="E588" s="13" t="s">
        <v>1316</v>
      </c>
      <c r="F588" s="13" t="s">
        <v>1315</v>
      </c>
      <c r="G588" s="13" t="s">
        <v>2279</v>
      </c>
      <c r="H588" s="13" t="s">
        <v>1209</v>
      </c>
      <c r="I588" s="13" t="s">
        <v>1209</v>
      </c>
      <c r="J588" s="13" t="s">
        <v>3203</v>
      </c>
      <c r="K588" s="13" t="s">
        <v>3204</v>
      </c>
      <c r="L588" s="14">
        <v>7650.0</v>
      </c>
      <c r="M588" s="14">
        <v>7750.0</v>
      </c>
      <c r="N588" s="1">
        <v>7450.0</v>
      </c>
    </row>
    <row r="589">
      <c r="A589" s="13" t="s">
        <v>3205</v>
      </c>
      <c r="B589" s="31" t="s">
        <v>3206</v>
      </c>
      <c r="C589" s="13" t="s">
        <v>1209</v>
      </c>
      <c r="D589" s="13" t="s">
        <v>1209</v>
      </c>
      <c r="E589" s="13" t="s">
        <v>1316</v>
      </c>
      <c r="F589" s="13" t="s">
        <v>1315</v>
      </c>
      <c r="G589" s="13" t="s">
        <v>2279</v>
      </c>
      <c r="H589" s="13" t="s">
        <v>1209</v>
      </c>
      <c r="I589" s="13" t="s">
        <v>1209</v>
      </c>
      <c r="J589" s="13" t="s">
        <v>3203</v>
      </c>
      <c r="K589" s="13" t="s">
        <v>3204</v>
      </c>
      <c r="L589" s="14">
        <v>7650.0</v>
      </c>
      <c r="M589" s="14">
        <v>7750.0</v>
      </c>
      <c r="N589" s="1">
        <v>7450.0</v>
      </c>
    </row>
    <row r="590">
      <c r="A590" s="13" t="s">
        <v>3208</v>
      </c>
      <c r="B590" s="31" t="s">
        <v>3209</v>
      </c>
      <c r="C590" s="13" t="s">
        <v>1209</v>
      </c>
      <c r="D590" s="13" t="s">
        <v>1209</v>
      </c>
      <c r="E590" s="13" t="s">
        <v>1350</v>
      </c>
      <c r="F590" s="13" t="s">
        <v>1315</v>
      </c>
      <c r="G590" s="13" t="s">
        <v>2279</v>
      </c>
      <c r="H590" s="13" t="s">
        <v>1209</v>
      </c>
      <c r="I590" s="13" t="s">
        <v>1209</v>
      </c>
      <c r="J590" s="13" t="s">
        <v>295</v>
      </c>
      <c r="K590" s="13" t="s">
        <v>3210</v>
      </c>
      <c r="L590" s="14">
        <v>8898.0</v>
      </c>
      <c r="M590" s="13" t="s">
        <v>1209</v>
      </c>
      <c r="N590" s="1" t="s">
        <v>1209</v>
      </c>
    </row>
    <row r="591">
      <c r="A591" s="13" t="s">
        <v>3211</v>
      </c>
      <c r="B591" s="31" t="s">
        <v>3212</v>
      </c>
      <c r="C591" s="13" t="s">
        <v>1209</v>
      </c>
      <c r="D591" s="13" t="s">
        <v>1209</v>
      </c>
      <c r="E591" s="13" t="s">
        <v>1350</v>
      </c>
      <c r="F591" s="13" t="s">
        <v>1315</v>
      </c>
      <c r="G591" s="13" t="s">
        <v>2279</v>
      </c>
      <c r="H591" s="13" t="s">
        <v>1209</v>
      </c>
      <c r="I591" s="13" t="s">
        <v>1209</v>
      </c>
      <c r="J591" s="13" t="s">
        <v>295</v>
      </c>
      <c r="K591" s="13" t="s">
        <v>3210</v>
      </c>
      <c r="L591" s="14">
        <v>8927.0</v>
      </c>
      <c r="M591" s="13" t="s">
        <v>1209</v>
      </c>
      <c r="N591" s="1" t="s">
        <v>1209</v>
      </c>
    </row>
    <row r="592">
      <c r="A592" s="13" t="s">
        <v>1640</v>
      </c>
      <c r="B592" s="31" t="s">
        <v>3214</v>
      </c>
      <c r="C592" s="13" t="s">
        <v>1209</v>
      </c>
      <c r="D592" s="13" t="s">
        <v>1209</v>
      </c>
      <c r="E592" s="13" t="s">
        <v>1316</v>
      </c>
      <c r="F592" s="13" t="s">
        <v>1315</v>
      </c>
      <c r="G592" s="13" t="s">
        <v>2279</v>
      </c>
      <c r="H592" s="14">
        <v>52.0186</v>
      </c>
      <c r="I592" s="14">
        <v>5.1758</v>
      </c>
      <c r="J592" s="13" t="s">
        <v>1250</v>
      </c>
      <c r="K592" s="13" t="s">
        <v>1650</v>
      </c>
      <c r="L592" s="14">
        <v>850.0</v>
      </c>
      <c r="M592" s="14">
        <v>950.0</v>
      </c>
      <c r="N592" s="1">
        <v>450.0</v>
      </c>
    </row>
    <row r="593">
      <c r="A593" s="13" t="s">
        <v>3215</v>
      </c>
      <c r="B593" s="31" t="s">
        <v>3216</v>
      </c>
      <c r="C593" s="13" t="s">
        <v>1209</v>
      </c>
      <c r="D593" s="13" t="s">
        <v>1209</v>
      </c>
      <c r="E593" s="13" t="s">
        <v>1316</v>
      </c>
      <c r="F593" s="13" t="s">
        <v>1315</v>
      </c>
      <c r="G593" s="13" t="s">
        <v>2279</v>
      </c>
      <c r="H593" s="13" t="s">
        <v>1209</v>
      </c>
      <c r="I593" s="13" t="s">
        <v>1209</v>
      </c>
      <c r="J593" s="13" t="s">
        <v>1250</v>
      </c>
      <c r="K593" s="13" t="s">
        <v>3217</v>
      </c>
      <c r="L593" s="14">
        <v>2375.0</v>
      </c>
      <c r="M593" s="14">
        <v>2450.0</v>
      </c>
      <c r="N593" s="1">
        <v>2200.0</v>
      </c>
    </row>
    <row r="594">
      <c r="A594" s="13" t="s">
        <v>3218</v>
      </c>
      <c r="B594" s="31" t="s">
        <v>3219</v>
      </c>
      <c r="C594" s="13" t="s">
        <v>1209</v>
      </c>
      <c r="D594" s="13" t="s">
        <v>1209</v>
      </c>
      <c r="E594" s="13" t="s">
        <v>1316</v>
      </c>
      <c r="F594" s="13" t="s">
        <v>1315</v>
      </c>
      <c r="G594" s="13" t="s">
        <v>2279</v>
      </c>
      <c r="H594" s="13" t="s">
        <v>1209</v>
      </c>
      <c r="I594" s="13" t="s">
        <v>1209</v>
      </c>
      <c r="J594" s="13" t="s">
        <v>201</v>
      </c>
      <c r="K594" s="13" t="s">
        <v>783</v>
      </c>
      <c r="L594" s="14">
        <v>7120.0</v>
      </c>
      <c r="M594" s="14">
        <v>7290.0</v>
      </c>
      <c r="N594" s="1">
        <v>6850.0</v>
      </c>
    </row>
    <row r="595">
      <c r="A595" s="13" t="s">
        <v>3220</v>
      </c>
      <c r="B595" s="31" t="s">
        <v>3221</v>
      </c>
      <c r="C595" s="13" t="s">
        <v>1209</v>
      </c>
      <c r="D595" s="13" t="s">
        <v>1209</v>
      </c>
      <c r="E595" s="13" t="s">
        <v>1316</v>
      </c>
      <c r="F595" s="13" t="s">
        <v>1315</v>
      </c>
      <c r="G595" s="13" t="s">
        <v>2279</v>
      </c>
      <c r="H595" s="13" t="s">
        <v>1209</v>
      </c>
      <c r="I595" s="13" t="s">
        <v>1209</v>
      </c>
      <c r="J595" s="13" t="s">
        <v>201</v>
      </c>
      <c r="K595" s="13" t="s">
        <v>783</v>
      </c>
      <c r="L595" s="14">
        <v>7120.0</v>
      </c>
      <c r="M595" s="14">
        <v>7290.0</v>
      </c>
      <c r="N595" s="1">
        <v>6850.0</v>
      </c>
    </row>
    <row r="596">
      <c r="A596" s="13" t="s">
        <v>3223</v>
      </c>
      <c r="B596" s="31" t="s">
        <v>3224</v>
      </c>
      <c r="C596" s="13" t="s">
        <v>1209</v>
      </c>
      <c r="D596" s="13" t="s">
        <v>1209</v>
      </c>
      <c r="E596" s="13" t="s">
        <v>1350</v>
      </c>
      <c r="F596" s="13" t="s">
        <v>1315</v>
      </c>
      <c r="G596" s="13" t="s">
        <v>2279</v>
      </c>
      <c r="H596" s="13" t="s">
        <v>1209</v>
      </c>
      <c r="I596" s="13" t="s">
        <v>1209</v>
      </c>
      <c r="J596" s="13" t="s">
        <v>2497</v>
      </c>
      <c r="K596" s="13" t="s">
        <v>2498</v>
      </c>
      <c r="L596" s="14">
        <v>2900.0</v>
      </c>
      <c r="M596" s="14">
        <v>3150.0</v>
      </c>
      <c r="N596" s="1">
        <v>2550.0</v>
      </c>
    </row>
    <row r="597">
      <c r="A597" s="13" t="s">
        <v>2070</v>
      </c>
      <c r="B597" s="31" t="s">
        <v>3225</v>
      </c>
      <c r="C597" s="13" t="s">
        <v>1209</v>
      </c>
      <c r="D597" s="13" t="s">
        <v>1209</v>
      </c>
      <c r="E597" s="13" t="s">
        <v>1316</v>
      </c>
      <c r="F597" s="13" t="s">
        <v>1315</v>
      </c>
      <c r="G597" s="13" t="s">
        <v>2279</v>
      </c>
      <c r="H597" s="14">
        <v>51.1133</v>
      </c>
      <c r="I597" s="14">
        <v>1.4703</v>
      </c>
      <c r="J597" s="13" t="s">
        <v>804</v>
      </c>
      <c r="K597" s="13" t="s">
        <v>2075</v>
      </c>
      <c r="L597" s="14">
        <v>6500.0</v>
      </c>
      <c r="M597" s="13" t="s">
        <v>1209</v>
      </c>
      <c r="N597" s="1" t="s">
        <v>1209</v>
      </c>
    </row>
    <row r="598">
      <c r="A598" s="13" t="s">
        <v>3227</v>
      </c>
      <c r="B598" s="31" t="s">
        <v>3228</v>
      </c>
      <c r="C598" s="13" t="s">
        <v>1209</v>
      </c>
      <c r="D598" s="13" t="s">
        <v>1209</v>
      </c>
      <c r="E598" s="13" t="s">
        <v>1316</v>
      </c>
      <c r="F598" s="13" t="s">
        <v>1315</v>
      </c>
      <c r="G598" s="13" t="s">
        <v>2279</v>
      </c>
      <c r="H598" s="13" t="s">
        <v>1209</v>
      </c>
      <c r="I598" s="13" t="s">
        <v>1209</v>
      </c>
      <c r="J598" s="13" t="s">
        <v>1476</v>
      </c>
      <c r="K598" s="13" t="s">
        <v>3230</v>
      </c>
      <c r="L598" s="14">
        <v>6000.0</v>
      </c>
      <c r="M598" s="13" t="s">
        <v>1472</v>
      </c>
      <c r="N598" s="1" t="s">
        <v>1472</v>
      </c>
    </row>
    <row r="599">
      <c r="A599" s="13" t="s">
        <v>3231</v>
      </c>
      <c r="B599" s="31" t="s">
        <v>3232</v>
      </c>
      <c r="C599" s="13" t="s">
        <v>1209</v>
      </c>
      <c r="D599" s="13" t="s">
        <v>1209</v>
      </c>
      <c r="E599" s="13" t="s">
        <v>1316</v>
      </c>
      <c r="F599" s="13" t="s">
        <v>1315</v>
      </c>
      <c r="G599" s="13" t="s">
        <v>2279</v>
      </c>
      <c r="H599" s="13" t="s">
        <v>1209</v>
      </c>
      <c r="I599" s="13" t="s">
        <v>1209</v>
      </c>
      <c r="J599" s="13" t="s">
        <v>2058</v>
      </c>
      <c r="K599" s="13" t="s">
        <v>3233</v>
      </c>
      <c r="L599" s="14">
        <v>3050.0</v>
      </c>
      <c r="M599" s="13" t="s">
        <v>1472</v>
      </c>
      <c r="N599" s="1" t="s">
        <v>1472</v>
      </c>
    </row>
    <row r="600">
      <c r="A600" s="13" t="s">
        <v>3234</v>
      </c>
      <c r="B600" s="31" t="s">
        <v>3235</v>
      </c>
      <c r="C600" s="13" t="s">
        <v>1209</v>
      </c>
      <c r="D600" s="13" t="s">
        <v>1209</v>
      </c>
      <c r="E600" s="13" t="s">
        <v>1316</v>
      </c>
      <c r="F600" s="13" t="s">
        <v>1315</v>
      </c>
      <c r="G600" s="13" t="s">
        <v>2279</v>
      </c>
      <c r="H600" s="13" t="s">
        <v>1209</v>
      </c>
      <c r="I600" s="13" t="s">
        <v>1209</v>
      </c>
      <c r="J600" s="13" t="s">
        <v>2519</v>
      </c>
      <c r="K600" s="13" t="s">
        <v>3237</v>
      </c>
      <c r="L600" s="14">
        <v>2000.0</v>
      </c>
      <c r="M600" s="13" t="s">
        <v>1472</v>
      </c>
      <c r="N600" s="1" t="s">
        <v>1472</v>
      </c>
    </row>
    <row r="601">
      <c r="A601" s="13" t="s">
        <v>3238</v>
      </c>
      <c r="B601" s="31" t="s">
        <v>3239</v>
      </c>
      <c r="C601" s="13" t="s">
        <v>1209</v>
      </c>
      <c r="D601" s="13" t="s">
        <v>1209</v>
      </c>
      <c r="E601" s="13" t="s">
        <v>1316</v>
      </c>
      <c r="F601" s="13" t="s">
        <v>1315</v>
      </c>
      <c r="G601" s="13" t="s">
        <v>2279</v>
      </c>
      <c r="H601" s="13" t="s">
        <v>1209</v>
      </c>
      <c r="I601" s="13" t="s">
        <v>1209</v>
      </c>
      <c r="J601" s="13" t="s">
        <v>1230</v>
      </c>
      <c r="K601" s="13" t="s">
        <v>3240</v>
      </c>
      <c r="L601" s="14">
        <v>7297.0</v>
      </c>
      <c r="M601" s="14">
        <v>7421.0</v>
      </c>
      <c r="N601" s="1">
        <v>7173.0</v>
      </c>
    </row>
    <row r="602">
      <c r="A602" s="13" t="s">
        <v>3241</v>
      </c>
      <c r="B602" s="31" t="s">
        <v>3242</v>
      </c>
      <c r="C602" s="13" t="s">
        <v>1209</v>
      </c>
      <c r="D602" s="13" t="s">
        <v>1209</v>
      </c>
      <c r="E602" s="13" t="s">
        <v>1316</v>
      </c>
      <c r="F602" s="13" t="s">
        <v>1315</v>
      </c>
      <c r="G602" s="13" t="s">
        <v>2279</v>
      </c>
      <c r="H602" s="13" t="s">
        <v>1209</v>
      </c>
      <c r="I602" s="13" t="s">
        <v>1209</v>
      </c>
      <c r="J602" s="13" t="s">
        <v>804</v>
      </c>
      <c r="K602" s="13" t="s">
        <v>3243</v>
      </c>
      <c r="L602" s="14">
        <v>1800.0</v>
      </c>
      <c r="M602" s="13" t="s">
        <v>1472</v>
      </c>
      <c r="N602" s="1" t="s">
        <v>1472</v>
      </c>
    </row>
    <row r="603">
      <c r="A603" s="13" t="s">
        <v>3244</v>
      </c>
      <c r="B603" s="31" t="s">
        <v>3245</v>
      </c>
      <c r="C603" s="13" t="s">
        <v>1209</v>
      </c>
      <c r="D603" s="13" t="s">
        <v>1209</v>
      </c>
      <c r="E603" s="13" t="s">
        <v>3246</v>
      </c>
      <c r="F603" s="13" t="s">
        <v>1315</v>
      </c>
      <c r="G603" s="13" t="s">
        <v>2279</v>
      </c>
      <c r="H603" s="13" t="s">
        <v>1209</v>
      </c>
      <c r="I603" s="13" t="s">
        <v>1209</v>
      </c>
      <c r="J603" s="13" t="s">
        <v>1476</v>
      </c>
      <c r="K603" s="13" t="s">
        <v>2861</v>
      </c>
      <c r="L603" s="14">
        <v>8275.0</v>
      </c>
      <c r="M603" s="13" t="s">
        <v>1472</v>
      </c>
      <c r="N603" s="1" t="s">
        <v>1472</v>
      </c>
    </row>
    <row r="604">
      <c r="A604" s="13" t="s">
        <v>3247</v>
      </c>
      <c r="B604" s="31" t="s">
        <v>3248</v>
      </c>
      <c r="C604" s="13" t="s">
        <v>1209</v>
      </c>
      <c r="D604" s="13" t="s">
        <v>1209</v>
      </c>
      <c r="E604" s="13" t="s">
        <v>1316</v>
      </c>
      <c r="F604" s="13" t="s">
        <v>1315</v>
      </c>
      <c r="G604" s="13" t="s">
        <v>2279</v>
      </c>
      <c r="H604" s="13" t="s">
        <v>1209</v>
      </c>
      <c r="I604" s="13" t="s">
        <v>1209</v>
      </c>
      <c r="J604" s="13" t="s">
        <v>1476</v>
      </c>
      <c r="K604" s="13" t="s">
        <v>3249</v>
      </c>
      <c r="L604" s="14">
        <v>7148.0</v>
      </c>
      <c r="M604" s="14">
        <v>7267.0</v>
      </c>
      <c r="N604" s="1">
        <v>7028.0</v>
      </c>
    </row>
    <row r="605">
      <c r="A605" s="13" t="s">
        <v>3250</v>
      </c>
      <c r="B605" s="31" t="s">
        <v>3251</v>
      </c>
      <c r="C605" s="13" t="s">
        <v>1209</v>
      </c>
      <c r="D605" s="13" t="s">
        <v>1209</v>
      </c>
      <c r="E605" s="13" t="s">
        <v>1316</v>
      </c>
      <c r="F605" s="13" t="s">
        <v>1315</v>
      </c>
      <c r="G605" s="13" t="s">
        <v>2279</v>
      </c>
      <c r="H605" s="13" t="s">
        <v>1209</v>
      </c>
      <c r="I605" s="13" t="s">
        <v>1209</v>
      </c>
      <c r="J605" s="13" t="s">
        <v>213</v>
      </c>
      <c r="K605" s="13" t="s">
        <v>3199</v>
      </c>
      <c r="L605" s="14">
        <v>5330.0</v>
      </c>
      <c r="M605" s="13" t="s">
        <v>1472</v>
      </c>
      <c r="N605" s="1" t="s">
        <v>1472</v>
      </c>
    </row>
    <row r="606">
      <c r="A606" s="13" t="s">
        <v>3254</v>
      </c>
      <c r="B606" s="31" t="s">
        <v>3255</v>
      </c>
      <c r="C606" s="13" t="s">
        <v>1209</v>
      </c>
      <c r="D606" s="13" t="s">
        <v>1209</v>
      </c>
      <c r="E606" s="13" t="s">
        <v>3246</v>
      </c>
      <c r="F606" s="13" t="s">
        <v>1315</v>
      </c>
      <c r="G606" s="13" t="s">
        <v>2279</v>
      </c>
      <c r="H606" s="13" t="s">
        <v>1209</v>
      </c>
      <c r="I606" s="13" t="s">
        <v>1209</v>
      </c>
      <c r="J606" s="13" t="s">
        <v>2956</v>
      </c>
      <c r="K606" s="13" t="s">
        <v>2957</v>
      </c>
      <c r="L606" s="14">
        <v>10980.0</v>
      </c>
      <c r="M606" s="13" t="s">
        <v>1472</v>
      </c>
      <c r="N606" s="1" t="s">
        <v>1472</v>
      </c>
    </row>
    <row r="607">
      <c r="A607" s="31" t="s">
        <v>3258</v>
      </c>
      <c r="B607" s="31" t="s">
        <v>3259</v>
      </c>
      <c r="C607" s="13" t="s">
        <v>1209</v>
      </c>
      <c r="D607" s="13" t="s">
        <v>1209</v>
      </c>
      <c r="E607" s="13" t="s">
        <v>1316</v>
      </c>
      <c r="F607" s="13" t="s">
        <v>1315</v>
      </c>
      <c r="G607" s="13" t="s">
        <v>2279</v>
      </c>
      <c r="H607" s="13" t="s">
        <v>1209</v>
      </c>
      <c r="I607" s="13" t="s">
        <v>1209</v>
      </c>
      <c r="J607" s="13" t="s">
        <v>2058</v>
      </c>
      <c r="K607" s="13" t="s">
        <v>3233</v>
      </c>
      <c r="L607" s="14">
        <v>3400.0</v>
      </c>
      <c r="M607" s="13" t="s">
        <v>1472</v>
      </c>
      <c r="N607" s="1" t="s">
        <v>1472</v>
      </c>
    </row>
    <row r="608">
      <c r="A608" s="31" t="s">
        <v>3260</v>
      </c>
      <c r="B608" s="31" t="s">
        <v>3261</v>
      </c>
      <c r="C608" s="13" t="s">
        <v>1209</v>
      </c>
      <c r="D608" s="13" t="s">
        <v>1209</v>
      </c>
      <c r="E608" s="13" t="s">
        <v>1350</v>
      </c>
      <c r="F608" s="13" t="s">
        <v>1315</v>
      </c>
      <c r="G608" s="13" t="s">
        <v>2279</v>
      </c>
      <c r="H608" s="13" t="s">
        <v>1209</v>
      </c>
      <c r="I608" s="13" t="s">
        <v>1209</v>
      </c>
      <c r="J608" s="13" t="s">
        <v>1476</v>
      </c>
      <c r="K608" s="13" t="s">
        <v>3262</v>
      </c>
      <c r="L608" s="13" t="s">
        <v>1209</v>
      </c>
      <c r="M608" s="13" t="s">
        <v>1472</v>
      </c>
      <c r="N608" s="1" t="s">
        <v>1472</v>
      </c>
    </row>
    <row r="609">
      <c r="A609" s="31" t="s">
        <v>3263</v>
      </c>
      <c r="B609" s="31" t="s">
        <v>3264</v>
      </c>
      <c r="C609" s="13" t="s">
        <v>1209</v>
      </c>
      <c r="D609" s="13" t="s">
        <v>1209</v>
      </c>
      <c r="E609" s="13" t="s">
        <v>1335</v>
      </c>
      <c r="F609" s="13" t="s">
        <v>1315</v>
      </c>
      <c r="G609" s="13" t="s">
        <v>2279</v>
      </c>
      <c r="H609" s="13" t="s">
        <v>1209</v>
      </c>
      <c r="I609" s="13" t="s">
        <v>1209</v>
      </c>
      <c r="J609" s="13" t="s">
        <v>1079</v>
      </c>
      <c r="K609" s="13" t="s">
        <v>3265</v>
      </c>
      <c r="L609" s="14">
        <v>4650.0</v>
      </c>
      <c r="M609" s="13" t="s">
        <v>1472</v>
      </c>
      <c r="N609" s="1" t="s">
        <v>1472</v>
      </c>
    </row>
    <row r="610">
      <c r="A610" s="31" t="s">
        <v>3266</v>
      </c>
      <c r="B610" s="31" t="s">
        <v>3267</v>
      </c>
      <c r="C610" s="13" t="s">
        <v>1209</v>
      </c>
      <c r="D610" s="13" t="s">
        <v>1209</v>
      </c>
      <c r="E610" s="13" t="s">
        <v>1350</v>
      </c>
      <c r="F610" s="13" t="s">
        <v>1315</v>
      </c>
      <c r="G610" s="13" t="s">
        <v>2279</v>
      </c>
      <c r="H610" s="13" t="s">
        <v>1209</v>
      </c>
      <c r="I610" s="13" t="s">
        <v>1209</v>
      </c>
      <c r="J610" s="13" t="s">
        <v>1476</v>
      </c>
      <c r="K610" s="13" t="s">
        <v>3262</v>
      </c>
      <c r="L610" s="14">
        <v>10106.0</v>
      </c>
      <c r="M610" s="14">
        <v>10223.0</v>
      </c>
      <c r="N610" s="1">
        <v>9798.0</v>
      </c>
    </row>
    <row r="611">
      <c r="A611" s="31" t="s">
        <v>3268</v>
      </c>
      <c r="B611" s="31" t="s">
        <v>3269</v>
      </c>
      <c r="C611" s="13" t="s">
        <v>1209</v>
      </c>
      <c r="D611" s="13" t="s">
        <v>1209</v>
      </c>
      <c r="E611" s="13" t="s">
        <v>1316</v>
      </c>
      <c r="F611" s="13" t="s">
        <v>1315</v>
      </c>
      <c r="G611" s="13" t="s">
        <v>2279</v>
      </c>
      <c r="H611" s="13" t="s">
        <v>1209</v>
      </c>
      <c r="I611" s="13" t="s">
        <v>1209</v>
      </c>
      <c r="J611" s="13" t="s">
        <v>213</v>
      </c>
      <c r="K611" s="13" t="s">
        <v>3199</v>
      </c>
      <c r="L611" s="14">
        <v>5330.0</v>
      </c>
      <c r="M611" s="13" t="s">
        <v>1472</v>
      </c>
      <c r="N611" s="1" t="s">
        <v>1472</v>
      </c>
    </row>
    <row r="612">
      <c r="A612" s="31" t="s">
        <v>3271</v>
      </c>
      <c r="B612" s="31" t="s">
        <v>3272</v>
      </c>
      <c r="C612" s="13" t="s">
        <v>1209</v>
      </c>
      <c r="D612" s="13" t="s">
        <v>1209</v>
      </c>
      <c r="E612" s="13" t="s">
        <v>1350</v>
      </c>
      <c r="F612" s="13" t="s">
        <v>1315</v>
      </c>
      <c r="G612" s="13" t="s">
        <v>2279</v>
      </c>
      <c r="H612" s="13" t="s">
        <v>1209</v>
      </c>
      <c r="I612" s="13" t="s">
        <v>1209</v>
      </c>
      <c r="J612" s="13" t="s">
        <v>1476</v>
      </c>
      <c r="K612" s="13" t="s">
        <v>3262</v>
      </c>
      <c r="L612" s="14">
        <v>9350.0</v>
      </c>
      <c r="M612" s="13" t="s">
        <v>1472</v>
      </c>
      <c r="N612" s="1" t="s">
        <v>1472</v>
      </c>
    </row>
    <row r="613">
      <c r="A613" s="31" t="s">
        <v>3274</v>
      </c>
      <c r="B613" s="31" t="s">
        <v>3275</v>
      </c>
      <c r="C613" s="13" t="s">
        <v>1209</v>
      </c>
      <c r="D613" s="13" t="s">
        <v>1209</v>
      </c>
      <c r="E613" s="13" t="s">
        <v>1350</v>
      </c>
      <c r="F613" s="13" t="s">
        <v>1315</v>
      </c>
      <c r="G613" s="13" t="s">
        <v>2279</v>
      </c>
      <c r="H613" s="13" t="s">
        <v>1209</v>
      </c>
      <c r="I613" s="13" t="s">
        <v>1209</v>
      </c>
      <c r="J613" s="13" t="s">
        <v>1476</v>
      </c>
      <c r="K613" s="13" t="s">
        <v>3249</v>
      </c>
      <c r="L613" s="14">
        <v>8000.0</v>
      </c>
      <c r="M613" s="13" t="s">
        <v>1472</v>
      </c>
      <c r="N613" s="1" t="s">
        <v>1472</v>
      </c>
    </row>
    <row r="614">
      <c r="A614" s="31" t="s">
        <v>3276</v>
      </c>
      <c r="B614" s="31" t="s">
        <v>3277</v>
      </c>
      <c r="C614" s="13" t="s">
        <v>1209</v>
      </c>
      <c r="D614" s="13" t="s">
        <v>1209</v>
      </c>
      <c r="E614" s="13" t="s">
        <v>1316</v>
      </c>
      <c r="F614" s="13" t="s">
        <v>1315</v>
      </c>
      <c r="G614" s="13" t="s">
        <v>2279</v>
      </c>
      <c r="H614" s="13" t="s">
        <v>1209</v>
      </c>
      <c r="I614" s="13" t="s">
        <v>1209</v>
      </c>
      <c r="J614" s="13" t="s">
        <v>213</v>
      </c>
      <c r="K614" s="13" t="s">
        <v>3199</v>
      </c>
      <c r="L614" s="14">
        <v>5330.0</v>
      </c>
      <c r="M614" s="13" t="s">
        <v>1472</v>
      </c>
      <c r="N614" s="1" t="s">
        <v>1472</v>
      </c>
    </row>
    <row r="615">
      <c r="A615" s="31" t="s">
        <v>3278</v>
      </c>
      <c r="B615" s="31" t="s">
        <v>3279</v>
      </c>
      <c r="C615" s="13" t="s">
        <v>1209</v>
      </c>
      <c r="D615" s="13" t="s">
        <v>1209</v>
      </c>
      <c r="E615" s="13" t="s">
        <v>1350</v>
      </c>
      <c r="F615" s="13" t="s">
        <v>1315</v>
      </c>
      <c r="G615" s="13" t="s">
        <v>2279</v>
      </c>
      <c r="H615" s="13" t="s">
        <v>1209</v>
      </c>
      <c r="I615" s="13" t="s">
        <v>1209</v>
      </c>
      <c r="J615" s="13" t="s">
        <v>2956</v>
      </c>
      <c r="K615" s="13" t="s">
        <v>2957</v>
      </c>
      <c r="L615" s="14">
        <v>9268.0</v>
      </c>
      <c r="M615" s="13" t="s">
        <v>1472</v>
      </c>
      <c r="N615" s="1" t="s">
        <v>1472</v>
      </c>
    </row>
    <row r="616">
      <c r="A616" s="31" t="s">
        <v>3281</v>
      </c>
      <c r="B616" s="31" t="s">
        <v>3282</v>
      </c>
      <c r="C616" s="13" t="s">
        <v>1209</v>
      </c>
      <c r="D616" s="13" t="s">
        <v>1209</v>
      </c>
      <c r="E616" s="13" t="s">
        <v>1335</v>
      </c>
      <c r="F616" s="13" t="s">
        <v>1315</v>
      </c>
      <c r="G616" s="13" t="s">
        <v>2279</v>
      </c>
      <c r="H616" s="13" t="s">
        <v>1209</v>
      </c>
      <c r="I616" s="13" t="s">
        <v>1209</v>
      </c>
      <c r="J616" s="13" t="s">
        <v>2058</v>
      </c>
      <c r="K616" s="13" t="s">
        <v>3283</v>
      </c>
      <c r="L616" s="14">
        <v>2500.0</v>
      </c>
      <c r="M616" s="13" t="s">
        <v>1472</v>
      </c>
      <c r="N616" s="1" t="s">
        <v>1472</v>
      </c>
    </row>
    <row r="617">
      <c r="A617" s="31" t="s">
        <v>3284</v>
      </c>
      <c r="B617" s="31" t="s">
        <v>3285</v>
      </c>
      <c r="C617" s="13" t="s">
        <v>1209</v>
      </c>
      <c r="D617" s="13" t="s">
        <v>1209</v>
      </c>
      <c r="E617" s="13" t="s">
        <v>1316</v>
      </c>
      <c r="F617" s="13" t="s">
        <v>1315</v>
      </c>
      <c r="G617" s="13" t="s">
        <v>2279</v>
      </c>
      <c r="H617" s="13" t="s">
        <v>1209</v>
      </c>
      <c r="I617" s="13" t="s">
        <v>1209</v>
      </c>
      <c r="J617" s="13" t="s">
        <v>1230</v>
      </c>
      <c r="K617" s="13" t="s">
        <v>2686</v>
      </c>
      <c r="L617" s="14">
        <v>2850.0</v>
      </c>
      <c r="M617" s="13" t="s">
        <v>1472</v>
      </c>
      <c r="N617" s="1" t="s">
        <v>1472</v>
      </c>
    </row>
    <row r="618">
      <c r="A618" s="31" t="s">
        <v>3286</v>
      </c>
      <c r="B618" s="31" t="s">
        <v>3288</v>
      </c>
      <c r="C618" s="13" t="s">
        <v>1209</v>
      </c>
      <c r="D618" s="13" t="s">
        <v>1209</v>
      </c>
      <c r="E618" s="13" t="s">
        <v>1316</v>
      </c>
      <c r="F618" s="13" t="s">
        <v>1315</v>
      </c>
      <c r="G618" s="13" t="s">
        <v>2279</v>
      </c>
      <c r="H618" s="13" t="s">
        <v>1209</v>
      </c>
      <c r="I618" s="13" t="s">
        <v>1209</v>
      </c>
      <c r="J618" s="13" t="s">
        <v>2486</v>
      </c>
      <c r="K618" s="13" t="s">
        <v>3289</v>
      </c>
      <c r="L618" s="14">
        <v>1440.0</v>
      </c>
      <c r="M618" s="13" t="s">
        <v>1472</v>
      </c>
      <c r="N618" s="1" t="s">
        <v>1472</v>
      </c>
    </row>
    <row r="619">
      <c r="A619" s="31" t="s">
        <v>3290</v>
      </c>
      <c r="B619" s="31" t="s">
        <v>3291</v>
      </c>
      <c r="C619" s="13" t="s">
        <v>1209</v>
      </c>
      <c r="D619" s="13" t="s">
        <v>1209</v>
      </c>
      <c r="E619" s="13" t="s">
        <v>1316</v>
      </c>
      <c r="F619" s="13" t="s">
        <v>1315</v>
      </c>
      <c r="G619" s="13" t="s">
        <v>2279</v>
      </c>
      <c r="H619" s="13" t="s">
        <v>1209</v>
      </c>
      <c r="I619" s="13" t="s">
        <v>1209</v>
      </c>
      <c r="J619" s="13" t="s">
        <v>1476</v>
      </c>
      <c r="K619" s="13" t="s">
        <v>3230</v>
      </c>
      <c r="L619" s="14">
        <v>6000.0</v>
      </c>
      <c r="M619" s="13" t="s">
        <v>1472</v>
      </c>
      <c r="N619" s="1" t="s">
        <v>1472</v>
      </c>
    </row>
    <row r="620">
      <c r="A620" s="31" t="s">
        <v>3293</v>
      </c>
      <c r="B620" s="31" t="s">
        <v>3294</v>
      </c>
      <c r="C620" s="13" t="s">
        <v>1209</v>
      </c>
      <c r="D620" s="13" t="s">
        <v>1209</v>
      </c>
      <c r="E620" s="13" t="s">
        <v>1335</v>
      </c>
      <c r="F620" s="13" t="s">
        <v>1315</v>
      </c>
      <c r="G620" s="13" t="s">
        <v>2279</v>
      </c>
      <c r="H620" s="13" t="s">
        <v>1209</v>
      </c>
      <c r="I620" s="13" t="s">
        <v>1209</v>
      </c>
      <c r="J620" s="13" t="s">
        <v>1476</v>
      </c>
      <c r="K620" s="13" t="s">
        <v>3295</v>
      </c>
      <c r="L620" s="14">
        <v>6500.0</v>
      </c>
      <c r="M620" s="13" t="s">
        <v>1472</v>
      </c>
      <c r="N620" s="1" t="s">
        <v>1472</v>
      </c>
    </row>
    <row r="621">
      <c r="A621" s="31" t="s">
        <v>3296</v>
      </c>
      <c r="B621" s="31" t="s">
        <v>3297</v>
      </c>
      <c r="C621" s="13" t="s">
        <v>1209</v>
      </c>
      <c r="D621" s="13" t="s">
        <v>1209</v>
      </c>
      <c r="E621" s="13" t="s">
        <v>1350</v>
      </c>
      <c r="F621" s="13" t="s">
        <v>1315</v>
      </c>
      <c r="G621" s="13" t="s">
        <v>2279</v>
      </c>
      <c r="H621" s="13" t="s">
        <v>1209</v>
      </c>
      <c r="I621" s="13" t="s">
        <v>1209</v>
      </c>
      <c r="J621" s="13" t="s">
        <v>2519</v>
      </c>
      <c r="K621" s="13" t="s">
        <v>3299</v>
      </c>
      <c r="L621" s="14">
        <v>4550.0</v>
      </c>
      <c r="M621" s="13" t="s">
        <v>1472</v>
      </c>
      <c r="N621" s="1" t="s">
        <v>1472</v>
      </c>
    </row>
    <row r="622">
      <c r="A622" s="31" t="s">
        <v>3300</v>
      </c>
      <c r="B622" s="31" t="s">
        <v>3301</v>
      </c>
      <c r="C622" s="13" t="s">
        <v>1209</v>
      </c>
      <c r="D622" s="13" t="s">
        <v>1209</v>
      </c>
      <c r="E622" s="13" t="s">
        <v>1350</v>
      </c>
      <c r="F622" s="13" t="s">
        <v>1315</v>
      </c>
      <c r="G622" s="13" t="s">
        <v>2279</v>
      </c>
      <c r="H622" s="13" t="s">
        <v>1209</v>
      </c>
      <c r="I622" s="13" t="s">
        <v>1209</v>
      </c>
      <c r="J622" s="13" t="s">
        <v>2519</v>
      </c>
      <c r="K622" s="13" t="s">
        <v>3299</v>
      </c>
      <c r="L622" s="14">
        <v>4550.0</v>
      </c>
      <c r="M622" s="13" t="s">
        <v>1472</v>
      </c>
      <c r="N622" s="1" t="s">
        <v>1472</v>
      </c>
    </row>
    <row r="623">
      <c r="A623" s="31" t="s">
        <v>3302</v>
      </c>
      <c r="B623" s="31" t="s">
        <v>3303</v>
      </c>
      <c r="C623" s="13" t="s">
        <v>1209</v>
      </c>
      <c r="D623" s="13" t="s">
        <v>1209</v>
      </c>
      <c r="E623" s="13" t="s">
        <v>1316</v>
      </c>
      <c r="F623" s="13" t="s">
        <v>1315</v>
      </c>
      <c r="G623" s="13" t="s">
        <v>2279</v>
      </c>
      <c r="H623" s="13" t="s">
        <v>1209</v>
      </c>
      <c r="I623" s="13" t="s">
        <v>1209</v>
      </c>
      <c r="J623" s="13" t="s">
        <v>1476</v>
      </c>
      <c r="K623" s="13" t="s">
        <v>2454</v>
      </c>
      <c r="L623" s="14">
        <v>3350.0</v>
      </c>
      <c r="M623" s="13" t="s">
        <v>1472</v>
      </c>
      <c r="N623" s="1" t="s">
        <v>1472</v>
      </c>
    </row>
    <row r="624">
      <c r="A624" s="31" t="s">
        <v>3304</v>
      </c>
      <c r="B624" s="31" t="s">
        <v>3305</v>
      </c>
      <c r="C624" s="13" t="s">
        <v>1209</v>
      </c>
      <c r="D624" s="13" t="s">
        <v>1209</v>
      </c>
      <c r="E624" s="13" t="s">
        <v>1316</v>
      </c>
      <c r="F624" s="13" t="s">
        <v>1315</v>
      </c>
      <c r="G624" s="13" t="s">
        <v>2279</v>
      </c>
      <c r="H624" s="13" t="s">
        <v>1209</v>
      </c>
      <c r="I624" s="13" t="s">
        <v>1209</v>
      </c>
      <c r="J624" s="13" t="s">
        <v>1476</v>
      </c>
      <c r="K624" s="13" t="s">
        <v>3307</v>
      </c>
      <c r="L624" s="14">
        <v>1750.0</v>
      </c>
      <c r="M624" s="13" t="s">
        <v>1472</v>
      </c>
      <c r="N624" s="1" t="s">
        <v>1472</v>
      </c>
    </row>
    <row r="625">
      <c r="A625" s="31" t="s">
        <v>3308</v>
      </c>
      <c r="B625" s="31" t="s">
        <v>3309</v>
      </c>
      <c r="C625" s="13" t="s">
        <v>1209</v>
      </c>
      <c r="D625" s="13" t="s">
        <v>1209</v>
      </c>
      <c r="E625" s="13" t="s">
        <v>1316</v>
      </c>
      <c r="F625" s="13" t="s">
        <v>1315</v>
      </c>
      <c r="G625" s="13" t="s">
        <v>2279</v>
      </c>
      <c r="H625" s="13" t="s">
        <v>1209</v>
      </c>
      <c r="I625" s="13" t="s">
        <v>1209</v>
      </c>
      <c r="J625" s="13" t="s">
        <v>213</v>
      </c>
      <c r="K625" s="13" t="s">
        <v>2461</v>
      </c>
      <c r="L625" s="14">
        <v>2345.0</v>
      </c>
      <c r="M625" s="13" t="s">
        <v>1472</v>
      </c>
      <c r="N625" s="1" t="s">
        <v>1472</v>
      </c>
    </row>
    <row r="626">
      <c r="A626" s="31" t="s">
        <v>3310</v>
      </c>
      <c r="B626" s="31" t="s">
        <v>3311</v>
      </c>
      <c r="C626" s="13" t="s">
        <v>1209</v>
      </c>
      <c r="D626" s="13" t="s">
        <v>1209</v>
      </c>
      <c r="E626" s="13" t="s">
        <v>1316</v>
      </c>
      <c r="F626" s="13" t="s">
        <v>1315</v>
      </c>
      <c r="G626" s="13" t="s">
        <v>2279</v>
      </c>
      <c r="H626" s="13" t="s">
        <v>1209</v>
      </c>
      <c r="I626" s="13" t="s">
        <v>1209</v>
      </c>
      <c r="J626" s="13" t="s">
        <v>213</v>
      </c>
      <c r="K626" s="13" t="s">
        <v>2461</v>
      </c>
      <c r="L626" s="14">
        <v>3300.0</v>
      </c>
      <c r="M626" s="13" t="s">
        <v>1472</v>
      </c>
      <c r="N626" s="1" t="s">
        <v>1472</v>
      </c>
    </row>
    <row r="627">
      <c r="A627" s="31" t="s">
        <v>3312</v>
      </c>
      <c r="B627" s="31" t="s">
        <v>3313</v>
      </c>
      <c r="C627" s="13" t="s">
        <v>1209</v>
      </c>
      <c r="D627" s="13" t="s">
        <v>1209</v>
      </c>
      <c r="E627" s="13" t="s">
        <v>1316</v>
      </c>
      <c r="F627" s="13" t="s">
        <v>1315</v>
      </c>
      <c r="G627" s="13" t="s">
        <v>2279</v>
      </c>
      <c r="H627" s="13" t="s">
        <v>1209</v>
      </c>
      <c r="I627" s="13" t="s">
        <v>1209</v>
      </c>
      <c r="J627" s="13" t="s">
        <v>2058</v>
      </c>
      <c r="K627" s="13" t="s">
        <v>3233</v>
      </c>
      <c r="L627" s="14">
        <v>3100.0</v>
      </c>
      <c r="M627" s="13" t="s">
        <v>1472</v>
      </c>
      <c r="N627" s="1" t="s">
        <v>1472</v>
      </c>
    </row>
    <row r="628">
      <c r="A628" s="31" t="s">
        <v>3316</v>
      </c>
      <c r="B628" s="31" t="s">
        <v>3317</v>
      </c>
      <c r="C628" s="13" t="s">
        <v>1209</v>
      </c>
      <c r="D628" s="13" t="s">
        <v>1209</v>
      </c>
      <c r="E628" s="13" t="s">
        <v>1335</v>
      </c>
      <c r="F628" s="13" t="s">
        <v>1315</v>
      </c>
      <c r="G628" s="13" t="s">
        <v>2279</v>
      </c>
      <c r="H628" s="13" t="s">
        <v>1209</v>
      </c>
      <c r="I628" s="13" t="s">
        <v>1209</v>
      </c>
      <c r="J628" s="13" t="s">
        <v>2058</v>
      </c>
      <c r="K628" s="13" t="s">
        <v>3318</v>
      </c>
      <c r="L628" s="14">
        <v>900.0</v>
      </c>
      <c r="M628" s="13" t="s">
        <v>1472</v>
      </c>
      <c r="N628" s="1" t="s">
        <v>1472</v>
      </c>
    </row>
    <row r="629">
      <c r="A629" s="31" t="s">
        <v>3319</v>
      </c>
      <c r="B629" s="31" t="s">
        <v>3320</v>
      </c>
      <c r="C629" s="13" t="s">
        <v>1209</v>
      </c>
      <c r="D629" s="13" t="s">
        <v>1209</v>
      </c>
      <c r="E629" s="13" t="s">
        <v>1316</v>
      </c>
      <c r="F629" s="13" t="s">
        <v>1315</v>
      </c>
      <c r="G629" s="13" t="s">
        <v>2279</v>
      </c>
      <c r="H629" s="13" t="s">
        <v>1209</v>
      </c>
      <c r="I629" s="13" t="s">
        <v>1209</v>
      </c>
      <c r="J629" s="13" t="s">
        <v>2058</v>
      </c>
      <c r="K629" s="13" t="s">
        <v>3233</v>
      </c>
      <c r="L629" s="14">
        <v>3100.0</v>
      </c>
      <c r="M629" s="13" t="s">
        <v>1472</v>
      </c>
      <c r="N629" s="1" t="s">
        <v>1472</v>
      </c>
    </row>
    <row r="630">
      <c r="A630" s="31" t="s">
        <v>3323</v>
      </c>
      <c r="B630" s="31" t="s">
        <v>3324</v>
      </c>
      <c r="C630" s="13" t="s">
        <v>1209</v>
      </c>
      <c r="D630" s="13" t="s">
        <v>1209</v>
      </c>
      <c r="E630" s="13" t="s">
        <v>1316</v>
      </c>
      <c r="F630" s="13" t="s">
        <v>1315</v>
      </c>
      <c r="G630" s="13" t="s">
        <v>2279</v>
      </c>
      <c r="H630" s="13" t="s">
        <v>1209</v>
      </c>
      <c r="I630" s="13" t="s">
        <v>1209</v>
      </c>
      <c r="J630" s="13" t="s">
        <v>2058</v>
      </c>
      <c r="K630" s="13" t="s">
        <v>3325</v>
      </c>
      <c r="L630" s="14">
        <v>2500.0</v>
      </c>
      <c r="M630" s="13" t="s">
        <v>1472</v>
      </c>
      <c r="N630" s="1" t="s">
        <v>1472</v>
      </c>
    </row>
    <row r="631">
      <c r="A631" s="31" t="s">
        <v>3327</v>
      </c>
      <c r="B631" s="31" t="s">
        <v>3328</v>
      </c>
      <c r="C631" s="13" t="s">
        <v>1209</v>
      </c>
      <c r="D631" s="13" t="s">
        <v>1209</v>
      </c>
      <c r="E631" s="13" t="s">
        <v>1335</v>
      </c>
      <c r="F631" s="13" t="s">
        <v>1315</v>
      </c>
      <c r="G631" s="13" t="s">
        <v>2279</v>
      </c>
      <c r="H631" s="13" t="s">
        <v>1209</v>
      </c>
      <c r="I631" s="13" t="s">
        <v>1209</v>
      </c>
      <c r="J631" s="13" t="s">
        <v>2419</v>
      </c>
      <c r="K631" s="13" t="s">
        <v>2482</v>
      </c>
      <c r="L631" s="14">
        <v>4300.0</v>
      </c>
      <c r="M631" s="13" t="s">
        <v>1472</v>
      </c>
      <c r="N631" s="1" t="s">
        <v>1472</v>
      </c>
    </row>
    <row r="632">
      <c r="A632" s="31" t="s">
        <v>3331</v>
      </c>
      <c r="B632" s="31" t="s">
        <v>3332</v>
      </c>
      <c r="C632" s="13" t="s">
        <v>1209</v>
      </c>
      <c r="D632" s="13" t="s">
        <v>1209</v>
      </c>
      <c r="E632" s="13" t="s">
        <v>1316</v>
      </c>
      <c r="F632" s="13" t="s">
        <v>1315</v>
      </c>
      <c r="G632" s="13" t="s">
        <v>2279</v>
      </c>
      <c r="H632" s="13" t="s">
        <v>1209</v>
      </c>
      <c r="I632" s="13" t="s">
        <v>1209</v>
      </c>
      <c r="J632" s="13" t="s">
        <v>2486</v>
      </c>
      <c r="K632" s="13" t="s">
        <v>2666</v>
      </c>
      <c r="L632" s="14">
        <v>1440.0</v>
      </c>
      <c r="M632" s="13" t="s">
        <v>1472</v>
      </c>
      <c r="N632" s="1" t="s">
        <v>1472</v>
      </c>
    </row>
    <row r="633">
      <c r="A633" s="31" t="s">
        <v>3333</v>
      </c>
      <c r="B633" s="31" t="s">
        <v>3334</v>
      </c>
      <c r="C633" s="13" t="s">
        <v>1209</v>
      </c>
      <c r="D633" s="13" t="s">
        <v>1209</v>
      </c>
      <c r="E633" s="13" t="s">
        <v>1350</v>
      </c>
      <c r="F633" s="13" t="s">
        <v>1315</v>
      </c>
      <c r="G633" s="13" t="s">
        <v>2279</v>
      </c>
      <c r="H633" s="13" t="s">
        <v>1209</v>
      </c>
      <c r="I633" s="13" t="s">
        <v>1209</v>
      </c>
      <c r="J633" s="13" t="s">
        <v>1230</v>
      </c>
      <c r="K633" s="13" t="s">
        <v>3240</v>
      </c>
      <c r="L633" s="14">
        <v>7085.0</v>
      </c>
      <c r="M633" s="14">
        <v>7256.0</v>
      </c>
      <c r="N633" s="1">
        <v>6913.0</v>
      </c>
    </row>
    <row r="634">
      <c r="A634" s="31" t="s">
        <v>3336</v>
      </c>
      <c r="B634" s="31" t="s">
        <v>3337</v>
      </c>
      <c r="C634" s="13" t="s">
        <v>1209</v>
      </c>
      <c r="D634" s="13" t="s">
        <v>1209</v>
      </c>
      <c r="E634" s="13" t="s">
        <v>1335</v>
      </c>
      <c r="F634" s="13" t="s">
        <v>1315</v>
      </c>
      <c r="G634" s="13" t="s">
        <v>2279</v>
      </c>
      <c r="H634" s="13" t="s">
        <v>1209</v>
      </c>
      <c r="I634" s="13" t="s">
        <v>1209</v>
      </c>
      <c r="J634" s="13" t="s">
        <v>1079</v>
      </c>
      <c r="K634" s="13" t="s">
        <v>3265</v>
      </c>
      <c r="L634" s="14">
        <v>4650.0</v>
      </c>
      <c r="M634" s="13" t="s">
        <v>1472</v>
      </c>
      <c r="N634" s="1" t="s">
        <v>1472</v>
      </c>
    </row>
    <row r="635">
      <c r="A635" s="31" t="s">
        <v>3340</v>
      </c>
      <c r="B635" s="31" t="s">
        <v>3341</v>
      </c>
      <c r="C635" s="13" t="s">
        <v>1209</v>
      </c>
      <c r="D635" s="13" t="s">
        <v>1209</v>
      </c>
      <c r="E635" s="13" t="s">
        <v>1335</v>
      </c>
      <c r="F635" s="13" t="s">
        <v>1315</v>
      </c>
      <c r="G635" s="13" t="s">
        <v>2279</v>
      </c>
      <c r="H635" s="13" t="s">
        <v>1209</v>
      </c>
      <c r="I635" s="13" t="s">
        <v>1209</v>
      </c>
      <c r="J635" s="13" t="s">
        <v>1079</v>
      </c>
      <c r="K635" s="13" t="s">
        <v>3265</v>
      </c>
      <c r="L635" s="14">
        <v>4650.0</v>
      </c>
      <c r="M635" s="13" t="s">
        <v>1472</v>
      </c>
      <c r="N635" s="1" t="s">
        <v>1472</v>
      </c>
    </row>
    <row r="636">
      <c r="A636" s="31" t="s">
        <v>2850</v>
      </c>
      <c r="B636" s="31" t="s">
        <v>3342</v>
      </c>
      <c r="C636" s="13" t="s">
        <v>1209</v>
      </c>
      <c r="D636" s="13" t="s">
        <v>1209</v>
      </c>
      <c r="E636" s="13" t="s">
        <v>1335</v>
      </c>
      <c r="F636" s="13" t="s">
        <v>1315</v>
      </c>
      <c r="G636" s="13" t="s">
        <v>2279</v>
      </c>
      <c r="H636" s="13" t="s">
        <v>1209</v>
      </c>
      <c r="I636" s="13" t="s">
        <v>1209</v>
      </c>
      <c r="J636" s="13" t="s">
        <v>1079</v>
      </c>
      <c r="K636" s="13" t="s">
        <v>3265</v>
      </c>
      <c r="L636" s="14">
        <v>4650.0</v>
      </c>
      <c r="M636" s="13" t="s">
        <v>1472</v>
      </c>
      <c r="N636" s="1" t="s">
        <v>1472</v>
      </c>
    </row>
    <row r="637">
      <c r="A637" s="31" t="s">
        <v>3344</v>
      </c>
      <c r="B637" s="31" t="s">
        <v>3345</v>
      </c>
      <c r="C637" s="13" t="s">
        <v>1209</v>
      </c>
      <c r="D637" s="13" t="s">
        <v>1209</v>
      </c>
      <c r="E637" s="13" t="s">
        <v>1316</v>
      </c>
      <c r="F637" s="13" t="s">
        <v>1315</v>
      </c>
      <c r="G637" s="13" t="s">
        <v>2279</v>
      </c>
      <c r="H637" s="13" t="s">
        <v>1209</v>
      </c>
      <c r="I637" s="13" t="s">
        <v>1209</v>
      </c>
      <c r="J637" s="13" t="s">
        <v>804</v>
      </c>
      <c r="K637" s="13" t="s">
        <v>3243</v>
      </c>
      <c r="L637" s="14">
        <v>1800.0</v>
      </c>
      <c r="M637" s="13" t="s">
        <v>1472</v>
      </c>
      <c r="N637" s="1" t="s">
        <v>1472</v>
      </c>
    </row>
    <row r="638">
      <c r="A638" s="31" t="s">
        <v>3346</v>
      </c>
      <c r="B638" s="31" t="s">
        <v>3347</v>
      </c>
      <c r="C638" s="13" t="s">
        <v>1209</v>
      </c>
      <c r="D638" s="13" t="s">
        <v>1209</v>
      </c>
      <c r="E638" s="13" t="s">
        <v>1316</v>
      </c>
      <c r="F638" s="13" t="s">
        <v>1315</v>
      </c>
      <c r="G638" s="13" t="s">
        <v>2279</v>
      </c>
      <c r="H638" s="13" t="s">
        <v>1209</v>
      </c>
      <c r="I638" s="13" t="s">
        <v>1209</v>
      </c>
      <c r="J638" s="13" t="s">
        <v>804</v>
      </c>
      <c r="K638" s="13" t="s">
        <v>3348</v>
      </c>
      <c r="L638" s="14">
        <v>1800.0</v>
      </c>
      <c r="M638" s="13" t="s">
        <v>1472</v>
      </c>
      <c r="N638" s="1" t="s">
        <v>1472</v>
      </c>
    </row>
    <row r="639">
      <c r="A639" s="31" t="s">
        <v>3349</v>
      </c>
      <c r="B639" s="31" t="s">
        <v>3350</v>
      </c>
      <c r="C639" s="13" t="s">
        <v>1209</v>
      </c>
      <c r="D639" s="13" t="s">
        <v>1209</v>
      </c>
      <c r="E639" s="13" t="s">
        <v>1316</v>
      </c>
      <c r="F639" s="13" t="s">
        <v>1315</v>
      </c>
      <c r="G639" s="13" t="s">
        <v>2279</v>
      </c>
      <c r="H639" s="13" t="s">
        <v>1209</v>
      </c>
      <c r="I639" s="13" t="s">
        <v>1209</v>
      </c>
      <c r="J639" s="13" t="s">
        <v>804</v>
      </c>
      <c r="K639" s="13" t="s">
        <v>3348</v>
      </c>
      <c r="L639" s="14">
        <v>1800.0</v>
      </c>
      <c r="M639" s="13" t="s">
        <v>1472</v>
      </c>
      <c r="N639" s="1" t="s">
        <v>1472</v>
      </c>
    </row>
    <row r="640">
      <c r="A640" s="31" t="s">
        <v>3351</v>
      </c>
      <c r="B640" s="31" t="s">
        <v>3352</v>
      </c>
      <c r="C640" s="13" t="s">
        <v>1209</v>
      </c>
      <c r="D640" s="13" t="s">
        <v>1209</v>
      </c>
      <c r="E640" s="13" t="s">
        <v>1335</v>
      </c>
      <c r="F640" s="13" t="s">
        <v>1315</v>
      </c>
      <c r="G640" s="13" t="s">
        <v>2279</v>
      </c>
      <c r="H640" s="13" t="s">
        <v>1209</v>
      </c>
      <c r="I640" s="13" t="s">
        <v>1209</v>
      </c>
      <c r="J640" s="13" t="s">
        <v>1104</v>
      </c>
      <c r="K640" s="13" t="s">
        <v>2800</v>
      </c>
      <c r="L640" s="14">
        <v>3500.0</v>
      </c>
      <c r="M640" s="13" t="s">
        <v>1472</v>
      </c>
      <c r="N640" s="1" t="s">
        <v>1472</v>
      </c>
    </row>
    <row r="641">
      <c r="A641" s="31" t="s">
        <v>3353</v>
      </c>
      <c r="B641" s="31" t="s">
        <v>3354</v>
      </c>
      <c r="C641" s="13" t="s">
        <v>1209</v>
      </c>
      <c r="D641" s="13" t="s">
        <v>1209</v>
      </c>
      <c r="E641" s="13" t="s">
        <v>1316</v>
      </c>
      <c r="F641" s="13" t="s">
        <v>1315</v>
      </c>
      <c r="G641" s="13" t="s">
        <v>2279</v>
      </c>
      <c r="H641" s="13" t="s">
        <v>1209</v>
      </c>
      <c r="I641" s="13" t="s">
        <v>1209</v>
      </c>
      <c r="J641" s="13" t="s">
        <v>201</v>
      </c>
      <c r="K641" s="13" t="s">
        <v>3355</v>
      </c>
      <c r="L641" s="14">
        <v>7250.0</v>
      </c>
      <c r="M641" s="13" t="s">
        <v>1472</v>
      </c>
      <c r="N641" s="1" t="s">
        <v>1472</v>
      </c>
    </row>
    <row r="642">
      <c r="A642" s="31" t="s">
        <v>3356</v>
      </c>
      <c r="B642" s="31" t="s">
        <v>3357</v>
      </c>
      <c r="C642" s="13" t="s">
        <v>1209</v>
      </c>
      <c r="D642" s="13" t="s">
        <v>1209</v>
      </c>
      <c r="E642" s="13" t="s">
        <v>1335</v>
      </c>
      <c r="F642" s="13" t="s">
        <v>1315</v>
      </c>
      <c r="G642" s="13" t="s">
        <v>2279</v>
      </c>
      <c r="H642" s="13" t="s">
        <v>1209</v>
      </c>
      <c r="I642" s="13" t="s">
        <v>1209</v>
      </c>
      <c r="J642" s="13" t="s">
        <v>201</v>
      </c>
      <c r="K642" s="13" t="s">
        <v>3355</v>
      </c>
      <c r="L642" s="14">
        <v>7250.0</v>
      </c>
      <c r="M642" s="13" t="s">
        <v>1472</v>
      </c>
      <c r="N642" s="1" t="s">
        <v>1472</v>
      </c>
    </row>
    <row r="643">
      <c r="A643" s="31" t="s">
        <v>3359</v>
      </c>
      <c r="B643" s="31" t="s">
        <v>3360</v>
      </c>
      <c r="C643" s="13" t="s">
        <v>1209</v>
      </c>
      <c r="D643" s="13" t="s">
        <v>1209</v>
      </c>
      <c r="E643" s="13" t="s">
        <v>1350</v>
      </c>
      <c r="F643" s="13" t="s">
        <v>1315</v>
      </c>
      <c r="G643" s="13" t="s">
        <v>2279</v>
      </c>
      <c r="H643" s="13" t="s">
        <v>1209</v>
      </c>
      <c r="I643" s="13" t="s">
        <v>1209</v>
      </c>
      <c r="J643" s="13" t="s">
        <v>201</v>
      </c>
      <c r="K643" s="13" t="s">
        <v>3355</v>
      </c>
      <c r="L643" s="14">
        <v>7250.0</v>
      </c>
      <c r="M643" s="13" t="s">
        <v>1472</v>
      </c>
      <c r="N643" s="1" t="s">
        <v>1472</v>
      </c>
    </row>
    <row r="644">
      <c r="A644" s="31" t="s">
        <v>3361</v>
      </c>
      <c r="B644" s="31" t="s">
        <v>3362</v>
      </c>
      <c r="C644" s="13" t="s">
        <v>1209</v>
      </c>
      <c r="D644" s="13" t="s">
        <v>1209</v>
      </c>
      <c r="E644" s="13" t="s">
        <v>1335</v>
      </c>
      <c r="F644" s="13" t="s">
        <v>1315</v>
      </c>
      <c r="G644" s="13" t="s">
        <v>2279</v>
      </c>
      <c r="H644" s="13" t="s">
        <v>1209</v>
      </c>
      <c r="I644" s="13" t="s">
        <v>1209</v>
      </c>
      <c r="J644" s="13" t="s">
        <v>2956</v>
      </c>
      <c r="K644" s="13" t="s">
        <v>2957</v>
      </c>
      <c r="L644" s="14">
        <v>6300.0</v>
      </c>
      <c r="M644" s="13" t="s">
        <v>1472</v>
      </c>
      <c r="N644" s="1" t="s">
        <v>1472</v>
      </c>
    </row>
    <row r="645">
      <c r="A645" s="31" t="s">
        <v>3364</v>
      </c>
      <c r="B645" s="31" t="s">
        <v>3365</v>
      </c>
      <c r="C645" s="13" t="s">
        <v>1209</v>
      </c>
      <c r="D645" s="13" t="s">
        <v>1209</v>
      </c>
      <c r="E645" s="13" t="s">
        <v>1350</v>
      </c>
      <c r="F645" s="13" t="s">
        <v>1315</v>
      </c>
      <c r="G645" s="13" t="s">
        <v>2279</v>
      </c>
      <c r="H645" s="13" t="s">
        <v>1209</v>
      </c>
      <c r="I645" s="13" t="s">
        <v>1209</v>
      </c>
      <c r="J645" s="13" t="s">
        <v>2956</v>
      </c>
      <c r="K645" s="13" t="s">
        <v>2957</v>
      </c>
      <c r="L645" s="14">
        <v>11500.0</v>
      </c>
      <c r="M645" s="13" t="s">
        <v>1472</v>
      </c>
      <c r="N645" s="1" t="s">
        <v>1472</v>
      </c>
    </row>
    <row r="646">
      <c r="A646" s="31" t="s">
        <v>3366</v>
      </c>
      <c r="B646" s="31" t="s">
        <v>3367</v>
      </c>
      <c r="C646" s="13" t="s">
        <v>1209</v>
      </c>
      <c r="D646" s="13" t="s">
        <v>1209</v>
      </c>
      <c r="E646" s="13" t="s">
        <v>1350</v>
      </c>
      <c r="F646" s="13" t="s">
        <v>1315</v>
      </c>
      <c r="G646" s="13" t="s">
        <v>2279</v>
      </c>
      <c r="H646" s="13" t="s">
        <v>1209</v>
      </c>
      <c r="I646" s="13" t="s">
        <v>1209</v>
      </c>
      <c r="J646" s="13" t="s">
        <v>1476</v>
      </c>
      <c r="K646" s="13" t="s">
        <v>3262</v>
      </c>
      <c r="L646" s="14">
        <v>10106.0</v>
      </c>
      <c r="M646" s="14">
        <v>10198.0</v>
      </c>
      <c r="N646" s="1">
        <v>9914.0</v>
      </c>
    </row>
    <row r="647">
      <c r="A647" s="31" t="s">
        <v>3368</v>
      </c>
      <c r="B647" s="31" t="s">
        <v>3369</v>
      </c>
      <c r="C647" s="13" t="s">
        <v>1209</v>
      </c>
      <c r="D647" s="13" t="s">
        <v>1209</v>
      </c>
      <c r="E647" s="13" t="s">
        <v>1316</v>
      </c>
      <c r="F647" s="13" t="s">
        <v>1315</v>
      </c>
      <c r="G647" s="13" t="s">
        <v>2279</v>
      </c>
      <c r="H647" s="13" t="s">
        <v>1209</v>
      </c>
      <c r="I647" s="13" t="s">
        <v>1209</v>
      </c>
      <c r="J647" s="13" t="s">
        <v>213</v>
      </c>
      <c r="K647" s="13" t="s">
        <v>3199</v>
      </c>
      <c r="L647" s="14">
        <v>5330.0</v>
      </c>
      <c r="M647" s="13" t="s">
        <v>1472</v>
      </c>
      <c r="N647" s="1" t="s">
        <v>1472</v>
      </c>
    </row>
    <row r="648">
      <c r="A648" s="31" t="s">
        <v>3370</v>
      </c>
      <c r="B648" s="31" t="s">
        <v>3371</v>
      </c>
      <c r="C648" s="13" t="s">
        <v>1209</v>
      </c>
      <c r="D648" s="13" t="s">
        <v>1209</v>
      </c>
      <c r="E648" s="13" t="s">
        <v>1350</v>
      </c>
      <c r="F648" s="13" t="s">
        <v>1315</v>
      </c>
      <c r="G648" s="13" t="s">
        <v>2279</v>
      </c>
      <c r="H648" s="13" t="s">
        <v>1209</v>
      </c>
      <c r="I648" s="13" t="s">
        <v>1209</v>
      </c>
      <c r="J648" s="13" t="s">
        <v>128</v>
      </c>
      <c r="K648" s="13" t="s">
        <v>3373</v>
      </c>
      <c r="L648" s="14">
        <v>9700.0</v>
      </c>
      <c r="M648" s="13" t="s">
        <v>1472</v>
      </c>
      <c r="N648" s="1" t="s">
        <v>1472</v>
      </c>
    </row>
    <row r="649">
      <c r="A649" s="31" t="s">
        <v>3374</v>
      </c>
      <c r="B649" s="31" t="s">
        <v>3375</v>
      </c>
      <c r="C649" s="13" t="s">
        <v>1209</v>
      </c>
      <c r="D649" s="13" t="s">
        <v>1209</v>
      </c>
      <c r="E649" s="13" t="s">
        <v>1350</v>
      </c>
      <c r="F649" s="13" t="s">
        <v>1315</v>
      </c>
      <c r="G649" s="13" t="s">
        <v>2279</v>
      </c>
      <c r="H649" s="13" t="s">
        <v>1209</v>
      </c>
      <c r="I649" s="13" t="s">
        <v>1209</v>
      </c>
      <c r="J649" s="13" t="s">
        <v>201</v>
      </c>
      <c r="K649" s="13" t="s">
        <v>3376</v>
      </c>
      <c r="L649" s="14">
        <v>10000.0</v>
      </c>
      <c r="M649" s="13" t="s">
        <v>1472</v>
      </c>
      <c r="N649" s="1" t="s">
        <v>1472</v>
      </c>
    </row>
    <row r="650">
      <c r="A650" s="31" t="s">
        <v>3377</v>
      </c>
      <c r="B650" s="31" t="s">
        <v>3378</v>
      </c>
      <c r="C650" s="13" t="s">
        <v>1209</v>
      </c>
      <c r="D650" s="13" t="s">
        <v>1209</v>
      </c>
      <c r="E650" s="13" t="s">
        <v>1350</v>
      </c>
      <c r="F650" s="13" t="s">
        <v>1315</v>
      </c>
      <c r="G650" s="13" t="s">
        <v>2279</v>
      </c>
      <c r="H650" s="13" t="s">
        <v>1209</v>
      </c>
      <c r="I650" s="13" t="s">
        <v>1209</v>
      </c>
      <c r="J650" s="13" t="s">
        <v>1250</v>
      </c>
      <c r="K650" s="13" t="s">
        <v>3379</v>
      </c>
      <c r="L650" s="14">
        <v>10540.0</v>
      </c>
      <c r="M650" s="13" t="s">
        <v>1472</v>
      </c>
      <c r="N650" s="1" t="s">
        <v>1472</v>
      </c>
    </row>
    <row r="651">
      <c r="A651" s="31" t="s">
        <v>3380</v>
      </c>
      <c r="B651" s="31" t="s">
        <v>3381</v>
      </c>
      <c r="C651" s="13" t="s">
        <v>1209</v>
      </c>
      <c r="D651" s="13" t="s">
        <v>1209</v>
      </c>
      <c r="E651" s="13" t="s">
        <v>1350</v>
      </c>
      <c r="F651" s="13" t="s">
        <v>1315</v>
      </c>
      <c r="G651" s="13" t="s">
        <v>2279</v>
      </c>
      <c r="H651" s="13" t="s">
        <v>1209</v>
      </c>
      <c r="I651" s="13" t="s">
        <v>1209</v>
      </c>
      <c r="J651" s="13" t="s">
        <v>1230</v>
      </c>
      <c r="K651" s="13" t="s">
        <v>3382</v>
      </c>
      <c r="L651" s="14">
        <v>5850.0</v>
      </c>
      <c r="M651" s="13" t="s">
        <v>1472</v>
      </c>
      <c r="N651" s="1" t="s">
        <v>1472</v>
      </c>
    </row>
    <row r="652">
      <c r="A652" s="31" t="s">
        <v>3384</v>
      </c>
      <c r="B652" s="31" t="s">
        <v>3385</v>
      </c>
      <c r="C652" s="13" t="s">
        <v>1209</v>
      </c>
      <c r="D652" s="13" t="s">
        <v>1209</v>
      </c>
      <c r="E652" s="13" t="s">
        <v>1350</v>
      </c>
      <c r="F652" s="13" t="s">
        <v>1315</v>
      </c>
      <c r="G652" s="13" t="s">
        <v>2279</v>
      </c>
      <c r="H652" s="13" t="s">
        <v>1209</v>
      </c>
      <c r="I652" s="13" t="s">
        <v>1209</v>
      </c>
      <c r="J652" s="13" t="s">
        <v>2171</v>
      </c>
      <c r="K652" s="13" t="s">
        <v>2412</v>
      </c>
      <c r="L652" s="14">
        <v>6200.0</v>
      </c>
      <c r="M652" s="13" t="s">
        <v>1472</v>
      </c>
      <c r="N652" s="1" t="s">
        <v>1472</v>
      </c>
    </row>
    <row r="653">
      <c r="A653" s="31" t="s">
        <v>3386</v>
      </c>
      <c r="B653" s="31" t="s">
        <v>3387</v>
      </c>
      <c r="C653" s="13" t="s">
        <v>1209</v>
      </c>
      <c r="D653" s="13" t="s">
        <v>1209</v>
      </c>
      <c r="E653" s="13" t="s">
        <v>1350</v>
      </c>
      <c r="F653" s="13" t="s">
        <v>1315</v>
      </c>
      <c r="G653" s="13" t="s">
        <v>2279</v>
      </c>
      <c r="H653" s="13" t="s">
        <v>1209</v>
      </c>
      <c r="I653" s="13" t="s">
        <v>1209</v>
      </c>
      <c r="J653" s="13" t="s">
        <v>128</v>
      </c>
      <c r="K653" s="13" t="s">
        <v>3388</v>
      </c>
      <c r="L653" s="14">
        <v>600.0</v>
      </c>
      <c r="M653" s="13" t="s">
        <v>1472</v>
      </c>
      <c r="N653" s="1" t="s">
        <v>1472</v>
      </c>
    </row>
    <row r="654">
      <c r="A654" s="31" t="s">
        <v>3389</v>
      </c>
      <c r="B654" s="31" t="s">
        <v>3390</v>
      </c>
      <c r="C654" s="13" t="s">
        <v>1209</v>
      </c>
      <c r="D654" s="13" t="s">
        <v>1209</v>
      </c>
      <c r="E654" s="13" t="s">
        <v>1335</v>
      </c>
      <c r="F654" s="13" t="s">
        <v>1315</v>
      </c>
      <c r="G654" s="13" t="s">
        <v>2279</v>
      </c>
      <c r="H654" s="13" t="s">
        <v>1209</v>
      </c>
      <c r="I654" s="13" t="s">
        <v>1209</v>
      </c>
      <c r="J654" s="13" t="s">
        <v>2771</v>
      </c>
      <c r="K654" s="13" t="s">
        <v>3391</v>
      </c>
      <c r="L654" s="14">
        <v>4200.0</v>
      </c>
      <c r="M654" s="13" t="s">
        <v>1472</v>
      </c>
      <c r="N654" s="1" t="s">
        <v>1472</v>
      </c>
    </row>
    <row r="655">
      <c r="A655" s="31" t="s">
        <v>3392</v>
      </c>
      <c r="B655" s="31" t="s">
        <v>3393</v>
      </c>
      <c r="C655" s="13" t="s">
        <v>1209</v>
      </c>
      <c r="D655" s="13" t="s">
        <v>1209</v>
      </c>
      <c r="E655" s="13" t="s">
        <v>1350</v>
      </c>
      <c r="F655" s="13" t="s">
        <v>1315</v>
      </c>
      <c r="G655" s="13" t="s">
        <v>2279</v>
      </c>
      <c r="H655" s="13" t="s">
        <v>1209</v>
      </c>
      <c r="I655" s="13" t="s">
        <v>1209</v>
      </c>
      <c r="J655" s="13" t="s">
        <v>128</v>
      </c>
      <c r="K655" s="13" t="s">
        <v>3388</v>
      </c>
      <c r="L655" s="14">
        <v>650.0</v>
      </c>
      <c r="M655" s="13" t="s">
        <v>1472</v>
      </c>
      <c r="N655" s="1" t="s">
        <v>1472</v>
      </c>
    </row>
    <row r="656">
      <c r="A656" s="31" t="s">
        <v>3395</v>
      </c>
      <c r="B656" s="31" t="s">
        <v>3396</v>
      </c>
      <c r="C656" s="13" t="s">
        <v>1209</v>
      </c>
      <c r="D656" s="13" t="s">
        <v>1209</v>
      </c>
      <c r="E656" s="13" t="s">
        <v>1350</v>
      </c>
      <c r="F656" s="13" t="s">
        <v>1315</v>
      </c>
      <c r="G656" s="13" t="s">
        <v>2279</v>
      </c>
      <c r="H656" s="13" t="s">
        <v>1209</v>
      </c>
      <c r="I656" s="13" t="s">
        <v>1209</v>
      </c>
      <c r="J656" s="13" t="s">
        <v>128</v>
      </c>
      <c r="K656" s="13" t="s">
        <v>3397</v>
      </c>
      <c r="L656" s="14">
        <v>1150.0</v>
      </c>
      <c r="M656" s="13" t="s">
        <v>1472</v>
      </c>
      <c r="N656" s="1" t="s">
        <v>1472</v>
      </c>
    </row>
    <row r="657">
      <c r="A657" s="31" t="s">
        <v>3398</v>
      </c>
      <c r="B657" s="31" t="s">
        <v>3399</v>
      </c>
      <c r="C657" s="13" t="s">
        <v>1209</v>
      </c>
      <c r="D657" s="13" t="s">
        <v>1209</v>
      </c>
      <c r="E657" s="13" t="s">
        <v>1350</v>
      </c>
      <c r="F657" s="13" t="s">
        <v>1315</v>
      </c>
      <c r="G657" s="13" t="s">
        <v>2279</v>
      </c>
      <c r="H657" s="13" t="s">
        <v>1209</v>
      </c>
      <c r="I657" s="13" t="s">
        <v>1209</v>
      </c>
      <c r="J657" s="13" t="s">
        <v>804</v>
      </c>
      <c r="K657" s="13" t="s">
        <v>3400</v>
      </c>
      <c r="L657" s="14">
        <v>1750.0</v>
      </c>
      <c r="M657" s="13" t="s">
        <v>1472</v>
      </c>
      <c r="N657" s="1" t="s">
        <v>1472</v>
      </c>
    </row>
    <row r="658">
      <c r="A658" s="31" t="s">
        <v>3401</v>
      </c>
      <c r="B658" s="31" t="s">
        <v>3402</v>
      </c>
      <c r="C658" s="13" t="s">
        <v>1209</v>
      </c>
      <c r="D658" s="13" t="s">
        <v>1209</v>
      </c>
      <c r="E658" s="13" t="s">
        <v>1350</v>
      </c>
      <c r="F658" s="13" t="s">
        <v>1315</v>
      </c>
      <c r="G658" s="13" t="s">
        <v>2279</v>
      </c>
      <c r="H658" s="13" t="s">
        <v>1209</v>
      </c>
      <c r="I658" s="13" t="s">
        <v>1209</v>
      </c>
      <c r="J658" s="13" t="s">
        <v>201</v>
      </c>
      <c r="K658" s="13" t="s">
        <v>3376</v>
      </c>
      <c r="L658" s="14">
        <v>9000.0</v>
      </c>
      <c r="M658" s="13" t="s">
        <v>1472</v>
      </c>
      <c r="N658" s="1" t="s">
        <v>1472</v>
      </c>
    </row>
    <row r="659">
      <c r="A659" s="31" t="s">
        <v>3403</v>
      </c>
      <c r="B659" s="31" t="s">
        <v>3404</v>
      </c>
      <c r="C659" s="13" t="s">
        <v>1209</v>
      </c>
      <c r="D659" s="13" t="s">
        <v>1209</v>
      </c>
      <c r="E659" s="13" t="s">
        <v>1350</v>
      </c>
      <c r="F659" s="13" t="s">
        <v>1315</v>
      </c>
      <c r="G659" s="13" t="s">
        <v>2279</v>
      </c>
      <c r="H659" s="13" t="s">
        <v>1209</v>
      </c>
      <c r="I659" s="13" t="s">
        <v>1209</v>
      </c>
      <c r="J659" s="13" t="s">
        <v>128</v>
      </c>
      <c r="K659" s="13" t="s">
        <v>3405</v>
      </c>
      <c r="L659" s="14">
        <v>1300.0</v>
      </c>
      <c r="M659" s="13" t="s">
        <v>1472</v>
      </c>
      <c r="N659" s="1" t="s">
        <v>1472</v>
      </c>
    </row>
    <row r="660">
      <c r="A660" s="33" t="s">
        <v>1614</v>
      </c>
      <c r="B660" s="33" t="s">
        <v>3408</v>
      </c>
      <c r="C660" s="13" t="s">
        <v>195</v>
      </c>
      <c r="D660" s="4" t="s">
        <v>1414</v>
      </c>
      <c r="E660" s="4" t="s">
        <v>1413</v>
      </c>
      <c r="F660" s="4" t="s">
        <v>1390</v>
      </c>
      <c r="G660" s="4" t="s">
        <v>3409</v>
      </c>
      <c r="H660" s="4" t="s">
        <v>3410</v>
      </c>
      <c r="I660" s="4" t="s">
        <v>3411</v>
      </c>
      <c r="J660" s="4" t="s">
        <v>201</v>
      </c>
      <c r="K660" s="4" t="s">
        <v>783</v>
      </c>
      <c r="L660" s="4" t="s">
        <v>1209</v>
      </c>
      <c r="M660" s="4" t="s">
        <v>1472</v>
      </c>
      <c r="N660" s="1" t="s">
        <v>1472</v>
      </c>
    </row>
    <row r="661">
      <c r="A661" s="33" t="s">
        <v>2912</v>
      </c>
      <c r="B661" s="33" t="s">
        <v>3412</v>
      </c>
      <c r="C661" s="13" t="s">
        <v>195</v>
      </c>
      <c r="D661" s="4" t="s">
        <v>1414</v>
      </c>
      <c r="E661" s="4" t="s">
        <v>1413</v>
      </c>
      <c r="F661" s="4" t="s">
        <v>1390</v>
      </c>
      <c r="G661" s="4" t="s">
        <v>3409</v>
      </c>
      <c r="H661" s="4" t="s">
        <v>3413</v>
      </c>
      <c r="I661" s="4" t="s">
        <v>3414</v>
      </c>
      <c r="J661" s="4" t="s">
        <v>2058</v>
      </c>
      <c r="K661" s="4" t="s">
        <v>3415</v>
      </c>
      <c r="L661" s="4" t="s">
        <v>3417</v>
      </c>
      <c r="M661" s="4" t="s">
        <v>3418</v>
      </c>
      <c r="N661" s="1">
        <v>13789.0</v>
      </c>
    </row>
    <row r="662">
      <c r="A662" s="33" t="s">
        <v>1538</v>
      </c>
      <c r="B662" s="33" t="s">
        <v>3419</v>
      </c>
      <c r="C662" s="13" t="s">
        <v>195</v>
      </c>
      <c r="D662" s="4" t="s">
        <v>1541</v>
      </c>
      <c r="E662" s="4" t="s">
        <v>1413</v>
      </c>
      <c r="F662" s="4" t="s">
        <v>1390</v>
      </c>
      <c r="G662" s="4" t="s">
        <v>3409</v>
      </c>
      <c r="H662" s="4" t="s">
        <v>3422</v>
      </c>
      <c r="I662" s="4" t="s">
        <v>3423</v>
      </c>
      <c r="J662" s="4" t="s">
        <v>1116</v>
      </c>
      <c r="K662" s="4" t="s">
        <v>1546</v>
      </c>
      <c r="L662" s="4" t="s">
        <v>3425</v>
      </c>
      <c r="M662" s="4" t="s">
        <v>3426</v>
      </c>
      <c r="N662" s="1">
        <v>9035.0</v>
      </c>
    </row>
    <row r="663">
      <c r="A663" s="33" t="s">
        <v>3298</v>
      </c>
      <c r="B663" s="33" t="s">
        <v>3427</v>
      </c>
      <c r="C663" s="13" t="s">
        <v>195</v>
      </c>
      <c r="D663" s="4" t="s">
        <v>1414</v>
      </c>
      <c r="E663" s="4" t="s">
        <v>1413</v>
      </c>
      <c r="F663" s="4" t="s">
        <v>1390</v>
      </c>
      <c r="G663" s="4" t="s">
        <v>3409</v>
      </c>
      <c r="H663" s="4" t="s">
        <v>3428</v>
      </c>
      <c r="I663" s="4" t="s">
        <v>3429</v>
      </c>
      <c r="J663" s="4" t="s">
        <v>1244</v>
      </c>
      <c r="K663" s="4" t="s">
        <v>3430</v>
      </c>
      <c r="L663" s="4" t="s">
        <v>3431</v>
      </c>
      <c r="M663" s="4" t="s">
        <v>3433</v>
      </c>
      <c r="N663" s="1">
        <v>11941.0</v>
      </c>
    </row>
    <row r="664">
      <c r="A664" s="33" t="s">
        <v>2084</v>
      </c>
      <c r="B664" s="33" t="s">
        <v>3435</v>
      </c>
      <c r="C664" s="13" t="s">
        <v>195</v>
      </c>
      <c r="D664" s="4" t="s">
        <v>1414</v>
      </c>
      <c r="E664" s="4" t="s">
        <v>1413</v>
      </c>
      <c r="F664" s="4" t="s">
        <v>1390</v>
      </c>
      <c r="G664" s="4" t="s">
        <v>3409</v>
      </c>
      <c r="H664" s="4" t="s">
        <v>3437</v>
      </c>
      <c r="I664" s="4" t="s">
        <v>3438</v>
      </c>
      <c r="J664" s="4" t="s">
        <v>479</v>
      </c>
      <c r="K664" s="4" t="s">
        <v>2091</v>
      </c>
      <c r="L664" s="4" t="s">
        <v>3439</v>
      </c>
      <c r="M664" s="4" t="s">
        <v>3440</v>
      </c>
      <c r="N664" s="1">
        <v>5932.0</v>
      </c>
    </row>
    <row r="665">
      <c r="A665" s="33" t="s">
        <v>3441</v>
      </c>
      <c r="B665" s="33" t="s">
        <v>3442</v>
      </c>
      <c r="C665" s="13" t="s">
        <v>195</v>
      </c>
      <c r="D665" s="4" t="s">
        <v>1414</v>
      </c>
      <c r="E665" s="4" t="s">
        <v>1413</v>
      </c>
      <c r="F665" s="4" t="s">
        <v>1390</v>
      </c>
      <c r="G665" s="4" t="s">
        <v>3409</v>
      </c>
      <c r="H665" s="4" t="s">
        <v>3443</v>
      </c>
      <c r="I665" s="4" t="s">
        <v>3444</v>
      </c>
      <c r="J665" s="4" t="s">
        <v>1244</v>
      </c>
      <c r="K665" s="4" t="s">
        <v>2082</v>
      </c>
      <c r="L665" s="4" t="s">
        <v>3445</v>
      </c>
      <c r="M665" s="4" t="s">
        <v>3446</v>
      </c>
      <c r="N665" s="1">
        <v>7164.0</v>
      </c>
    </row>
    <row r="666">
      <c r="A666" s="33" t="s">
        <v>3449</v>
      </c>
      <c r="B666" s="33" t="s">
        <v>3450</v>
      </c>
      <c r="C666" s="13" t="s">
        <v>195</v>
      </c>
      <c r="D666" s="4" t="s">
        <v>1414</v>
      </c>
      <c r="E666" s="4" t="s">
        <v>1413</v>
      </c>
      <c r="F666" s="4" t="s">
        <v>1390</v>
      </c>
      <c r="G666" s="4" t="s">
        <v>3409</v>
      </c>
      <c r="H666" s="4" t="s">
        <v>3451</v>
      </c>
      <c r="I666" s="4" t="s">
        <v>3453</v>
      </c>
      <c r="J666" s="13" t="s">
        <v>804</v>
      </c>
      <c r="K666" s="4" t="s">
        <v>3454</v>
      </c>
      <c r="L666" s="4" t="s">
        <v>3455</v>
      </c>
      <c r="M666" s="4" t="s">
        <v>3456</v>
      </c>
      <c r="N666" s="1">
        <v>4584.0</v>
      </c>
    </row>
    <row r="667">
      <c r="A667" s="33" t="s">
        <v>2078</v>
      </c>
      <c r="B667" s="33" t="s">
        <v>3457</v>
      </c>
      <c r="C667" s="13" t="s">
        <v>195</v>
      </c>
      <c r="D667" s="4" t="s">
        <v>1414</v>
      </c>
      <c r="E667" s="4" t="s">
        <v>1413</v>
      </c>
      <c r="F667" s="4" t="s">
        <v>1390</v>
      </c>
      <c r="G667" s="4" t="s">
        <v>3409</v>
      </c>
      <c r="H667" s="4" t="s">
        <v>3443</v>
      </c>
      <c r="I667" s="4" t="s">
        <v>3444</v>
      </c>
      <c r="J667" s="4" t="s">
        <v>1244</v>
      </c>
      <c r="K667" s="4" t="s">
        <v>2082</v>
      </c>
      <c r="L667" s="4" t="s">
        <v>3458</v>
      </c>
      <c r="M667" s="4" t="s">
        <v>3459</v>
      </c>
      <c r="N667" s="1">
        <v>7426.0</v>
      </c>
    </row>
    <row r="668">
      <c r="A668" s="33" t="s">
        <v>2831</v>
      </c>
      <c r="B668" s="33" t="s">
        <v>3461</v>
      </c>
      <c r="C668" s="13" t="s">
        <v>195</v>
      </c>
      <c r="D668" s="4" t="s">
        <v>1414</v>
      </c>
      <c r="E668" s="4" t="s">
        <v>1413</v>
      </c>
      <c r="F668" s="4" t="s">
        <v>1390</v>
      </c>
      <c r="G668" s="4" t="s">
        <v>3409</v>
      </c>
      <c r="H668" s="4" t="s">
        <v>3463</v>
      </c>
      <c r="I668" s="4" t="s">
        <v>3464</v>
      </c>
      <c r="J668" s="4" t="s">
        <v>1244</v>
      </c>
      <c r="K668" s="4" t="s">
        <v>3465</v>
      </c>
      <c r="L668" s="4" t="s">
        <v>3466</v>
      </c>
      <c r="M668" s="4" t="s">
        <v>3467</v>
      </c>
      <c r="N668" s="1">
        <v>40672.0</v>
      </c>
    </row>
    <row r="669">
      <c r="A669" s="33" t="s">
        <v>3468</v>
      </c>
      <c r="B669" s="33" t="s">
        <v>3469</v>
      </c>
      <c r="C669" s="13" t="s">
        <v>195</v>
      </c>
      <c r="D669" s="4" t="s">
        <v>1414</v>
      </c>
      <c r="E669" s="4" t="s">
        <v>1413</v>
      </c>
      <c r="F669" s="4" t="s">
        <v>1390</v>
      </c>
      <c r="G669" s="4" t="s">
        <v>3409</v>
      </c>
      <c r="H669" s="4" t="s">
        <v>3470</v>
      </c>
      <c r="I669" s="4" t="s">
        <v>3471</v>
      </c>
      <c r="J669" s="4" t="s">
        <v>201</v>
      </c>
      <c r="K669" s="4" t="s">
        <v>3472</v>
      </c>
      <c r="L669" s="13" t="s">
        <v>1209</v>
      </c>
      <c r="M669" s="13" t="s">
        <v>1472</v>
      </c>
      <c r="N669" s="1" t="s">
        <v>1472</v>
      </c>
    </row>
    <row r="670">
      <c r="A670" s="33" t="s">
        <v>1548</v>
      </c>
      <c r="B670" s="33" t="s">
        <v>3473</v>
      </c>
      <c r="C670" s="13" t="s">
        <v>209</v>
      </c>
      <c r="D670" s="4" t="s">
        <v>211</v>
      </c>
      <c r="E670" s="4" t="s">
        <v>1413</v>
      </c>
      <c r="F670" s="4" t="s">
        <v>1390</v>
      </c>
      <c r="G670" s="4" t="s">
        <v>3409</v>
      </c>
      <c r="H670" s="4" t="s">
        <v>3422</v>
      </c>
      <c r="I670" s="4" t="s">
        <v>3423</v>
      </c>
      <c r="J670" s="4" t="s">
        <v>1116</v>
      </c>
      <c r="K670" s="4" t="s">
        <v>1546</v>
      </c>
      <c r="L670" s="4" t="s">
        <v>3475</v>
      </c>
      <c r="M670" s="4" t="s">
        <v>3476</v>
      </c>
      <c r="N670" s="1">
        <v>9039.0</v>
      </c>
    </row>
    <row r="671">
      <c r="A671" s="33" t="s">
        <v>3477</v>
      </c>
      <c r="B671" s="33" t="s">
        <v>3478</v>
      </c>
      <c r="C671" s="13" t="s">
        <v>195</v>
      </c>
      <c r="D671" s="4" t="s">
        <v>1414</v>
      </c>
      <c r="E671" s="4" t="s">
        <v>1413</v>
      </c>
      <c r="F671" s="4" t="s">
        <v>1390</v>
      </c>
      <c r="G671" s="4" t="s">
        <v>3409</v>
      </c>
      <c r="H671" s="4" t="s">
        <v>3481</v>
      </c>
      <c r="I671" s="4" t="s">
        <v>3482</v>
      </c>
      <c r="J671" s="4" t="s">
        <v>128</v>
      </c>
      <c r="K671" s="4" t="s">
        <v>3484</v>
      </c>
      <c r="L671" s="4" t="s">
        <v>3485</v>
      </c>
      <c r="M671" s="4" t="s">
        <v>3486</v>
      </c>
      <c r="N671" s="1">
        <v>17798.0</v>
      </c>
    </row>
    <row r="672">
      <c r="A672" s="33" t="s">
        <v>3487</v>
      </c>
      <c r="B672" s="33" t="s">
        <v>3488</v>
      </c>
      <c r="C672" s="13" t="s">
        <v>195</v>
      </c>
      <c r="D672" s="4" t="s">
        <v>1414</v>
      </c>
      <c r="E672" s="4" t="s">
        <v>1392</v>
      </c>
      <c r="F672" s="4" t="s">
        <v>1390</v>
      </c>
      <c r="G672" s="4" t="s">
        <v>3489</v>
      </c>
      <c r="H672" s="4" t="s">
        <v>3490</v>
      </c>
      <c r="I672" s="4" t="s">
        <v>3491</v>
      </c>
      <c r="J672" s="4" t="s">
        <v>1244</v>
      </c>
      <c r="K672" s="4" t="s">
        <v>3492</v>
      </c>
      <c r="L672" s="4" t="s">
        <v>3494</v>
      </c>
      <c r="M672" s="4" t="s">
        <v>3496</v>
      </c>
      <c r="N672" s="1">
        <v>3905.0</v>
      </c>
    </row>
    <row r="673">
      <c r="A673" s="33" t="s">
        <v>3497</v>
      </c>
      <c r="B673" s="33" t="s">
        <v>3498</v>
      </c>
      <c r="C673" s="13" t="s">
        <v>195</v>
      </c>
      <c r="D673" s="4" t="s">
        <v>1414</v>
      </c>
      <c r="E673" s="4" t="s">
        <v>1392</v>
      </c>
      <c r="F673" s="4" t="s">
        <v>1390</v>
      </c>
      <c r="G673" s="4" t="s">
        <v>3489</v>
      </c>
      <c r="H673" s="4" t="s">
        <v>3499</v>
      </c>
      <c r="I673" s="4" t="s">
        <v>3500</v>
      </c>
      <c r="J673" s="4" t="s">
        <v>1244</v>
      </c>
      <c r="K673" s="4" t="s">
        <v>3502</v>
      </c>
      <c r="L673" s="4" t="s">
        <v>3503</v>
      </c>
      <c r="M673" s="4" t="s">
        <v>3504</v>
      </c>
      <c r="N673" s="1">
        <v>3927.0</v>
      </c>
    </row>
    <row r="674">
      <c r="A674" s="33" t="s">
        <v>1410</v>
      </c>
      <c r="B674" s="33" t="s">
        <v>3506</v>
      </c>
      <c r="C674" s="13" t="s">
        <v>195</v>
      </c>
      <c r="D674" s="4" t="s">
        <v>1414</v>
      </c>
      <c r="E674" s="4" t="s">
        <v>1413</v>
      </c>
      <c r="F674" s="4" t="s">
        <v>1390</v>
      </c>
      <c r="G674" s="4" t="s">
        <v>3409</v>
      </c>
      <c r="H674" s="4" t="s">
        <v>3507</v>
      </c>
      <c r="I674" s="4" t="s">
        <v>3508</v>
      </c>
      <c r="J674" s="4" t="s">
        <v>201</v>
      </c>
      <c r="K674" s="4" t="s">
        <v>1417</v>
      </c>
      <c r="L674" s="4" t="s">
        <v>3509</v>
      </c>
      <c r="M674" s="4" t="s">
        <v>3510</v>
      </c>
      <c r="N674" s="1">
        <v>11402.0</v>
      </c>
    </row>
    <row r="675">
      <c r="A675" s="33" t="s">
        <v>3511</v>
      </c>
      <c r="B675" s="33" t="s">
        <v>3512</v>
      </c>
      <c r="C675" s="13" t="s">
        <v>209</v>
      </c>
      <c r="D675" s="4" t="s">
        <v>3513</v>
      </c>
      <c r="E675" s="4" t="s">
        <v>1413</v>
      </c>
      <c r="F675" s="4" t="s">
        <v>1390</v>
      </c>
      <c r="G675" s="4" t="s">
        <v>3409</v>
      </c>
      <c r="H675" s="4" t="s">
        <v>3514</v>
      </c>
      <c r="I675" s="4" t="s">
        <v>3516</v>
      </c>
      <c r="J675" s="4" t="s">
        <v>201</v>
      </c>
      <c r="K675" s="4" t="s">
        <v>3518</v>
      </c>
      <c r="L675" s="4" t="s">
        <v>3519</v>
      </c>
      <c r="M675" s="4" t="s">
        <v>3520</v>
      </c>
      <c r="N675" s="1">
        <v>9902.0</v>
      </c>
    </row>
    <row r="676">
      <c r="A676" s="33" t="s">
        <v>3521</v>
      </c>
      <c r="B676" s="33" t="s">
        <v>3522</v>
      </c>
      <c r="C676" s="13" t="s">
        <v>195</v>
      </c>
      <c r="D676" s="4" t="s">
        <v>1414</v>
      </c>
      <c r="E676" s="4" t="s">
        <v>1413</v>
      </c>
      <c r="F676" s="4" t="s">
        <v>1390</v>
      </c>
      <c r="G676" s="4" t="s">
        <v>3409</v>
      </c>
      <c r="H676" s="4" t="s">
        <v>3470</v>
      </c>
      <c r="I676" s="4" t="s">
        <v>3471</v>
      </c>
      <c r="J676" s="4" t="s">
        <v>201</v>
      </c>
      <c r="K676" s="4" t="s">
        <v>3472</v>
      </c>
      <c r="L676" s="4" t="s">
        <v>3523</v>
      </c>
      <c r="M676" s="4" t="s">
        <v>3524</v>
      </c>
      <c r="N676" s="1">
        <v>45238.0</v>
      </c>
    </row>
    <row r="677">
      <c r="A677" s="33" t="s">
        <v>3525</v>
      </c>
      <c r="B677" s="33" t="s">
        <v>3526</v>
      </c>
      <c r="C677" s="13" t="s">
        <v>195</v>
      </c>
      <c r="D677" s="4" t="s">
        <v>1414</v>
      </c>
      <c r="E677" s="4" t="s">
        <v>1413</v>
      </c>
      <c r="F677" s="4" t="s">
        <v>1390</v>
      </c>
      <c r="G677" s="4" t="s">
        <v>3409</v>
      </c>
      <c r="H677" s="4" t="s">
        <v>1209</v>
      </c>
      <c r="I677" s="4" t="s">
        <v>1209</v>
      </c>
      <c r="J677" s="4" t="s">
        <v>1209</v>
      </c>
      <c r="K677" s="4" t="s">
        <v>3527</v>
      </c>
      <c r="L677" s="4" t="s">
        <v>3528</v>
      </c>
      <c r="M677" s="4" t="s">
        <v>3529</v>
      </c>
      <c r="N677" s="1">
        <v>4305.0</v>
      </c>
    </row>
    <row r="678">
      <c r="A678" s="33" t="s">
        <v>3383</v>
      </c>
      <c r="B678" s="33" t="s">
        <v>3530</v>
      </c>
      <c r="C678" s="13" t="s">
        <v>195</v>
      </c>
      <c r="D678" s="4" t="s">
        <v>1414</v>
      </c>
      <c r="E678" s="4" t="s">
        <v>1413</v>
      </c>
      <c r="F678" s="4" t="s">
        <v>1390</v>
      </c>
      <c r="G678" s="4" t="s">
        <v>3409</v>
      </c>
      <c r="H678" s="4" t="s">
        <v>3531</v>
      </c>
      <c r="I678" s="4" t="s">
        <v>3532</v>
      </c>
      <c r="J678" s="4" t="s">
        <v>128</v>
      </c>
      <c r="K678" s="4" t="s">
        <v>3533</v>
      </c>
      <c r="L678" s="4" t="s">
        <v>3534</v>
      </c>
      <c r="M678" s="4" t="s">
        <v>3535</v>
      </c>
      <c r="N678" s="1">
        <v>9429.0</v>
      </c>
    </row>
    <row r="679">
      <c r="A679" s="33" t="s">
        <v>3536</v>
      </c>
      <c r="B679" s="33" t="s">
        <v>3538</v>
      </c>
      <c r="C679" s="13" t="s">
        <v>195</v>
      </c>
      <c r="D679" s="4" t="s">
        <v>1414</v>
      </c>
      <c r="E679" s="4" t="s">
        <v>1392</v>
      </c>
      <c r="F679" s="4" t="s">
        <v>1390</v>
      </c>
      <c r="G679" s="4" t="s">
        <v>3489</v>
      </c>
      <c r="H679" s="4" t="s">
        <v>3490</v>
      </c>
      <c r="I679" s="4" t="s">
        <v>3491</v>
      </c>
      <c r="J679" s="4" t="s">
        <v>1244</v>
      </c>
      <c r="K679" s="4" t="s">
        <v>3492</v>
      </c>
      <c r="L679" s="4" t="s">
        <v>3539</v>
      </c>
      <c r="M679" s="4" t="s">
        <v>3540</v>
      </c>
      <c r="N679" s="1">
        <v>3893.0</v>
      </c>
    </row>
    <row r="680">
      <c r="A680" s="33" t="s">
        <v>3541</v>
      </c>
      <c r="B680" s="33" t="s">
        <v>3542</v>
      </c>
      <c r="C680" s="13" t="s">
        <v>195</v>
      </c>
      <c r="D680" s="4" t="s">
        <v>1414</v>
      </c>
      <c r="E680" s="4" t="s">
        <v>1413</v>
      </c>
      <c r="F680" s="4" t="s">
        <v>1390</v>
      </c>
      <c r="G680" s="4" t="s">
        <v>3409</v>
      </c>
      <c r="H680" s="4" t="s">
        <v>1209</v>
      </c>
      <c r="I680" s="4" t="s">
        <v>1209</v>
      </c>
      <c r="J680" s="4" t="s">
        <v>1209</v>
      </c>
      <c r="K680" s="4" t="s">
        <v>3527</v>
      </c>
      <c r="L680" s="4" t="s">
        <v>3543</v>
      </c>
      <c r="M680" s="4" t="s">
        <v>3544</v>
      </c>
      <c r="N680" s="1">
        <v>3840.0</v>
      </c>
    </row>
    <row r="681">
      <c r="A681" s="33" t="s">
        <v>3547</v>
      </c>
      <c r="B681" s="33" t="s">
        <v>3548</v>
      </c>
      <c r="C681" s="13" t="s">
        <v>1114</v>
      </c>
      <c r="D681" s="4" t="s">
        <v>2040</v>
      </c>
      <c r="E681" s="4" t="s">
        <v>1413</v>
      </c>
      <c r="F681" s="4" t="s">
        <v>1390</v>
      </c>
      <c r="G681" s="4" t="s">
        <v>3409</v>
      </c>
      <c r="H681" s="4" t="s">
        <v>3549</v>
      </c>
      <c r="I681" s="4" t="s">
        <v>3550</v>
      </c>
      <c r="J681" s="4" t="s">
        <v>2018</v>
      </c>
      <c r="K681" s="4" t="s">
        <v>3551</v>
      </c>
      <c r="L681" s="4" t="s">
        <v>3552</v>
      </c>
      <c r="M681" s="4" t="s">
        <v>3553</v>
      </c>
      <c r="N681" s="1">
        <v>4839.0</v>
      </c>
    </row>
    <row r="682">
      <c r="A682" s="33" t="s">
        <v>3501</v>
      </c>
      <c r="B682" s="33" t="s">
        <v>3554</v>
      </c>
      <c r="C682" s="13" t="s">
        <v>195</v>
      </c>
      <c r="D682" s="4" t="s">
        <v>1414</v>
      </c>
      <c r="E682" s="4" t="s">
        <v>1413</v>
      </c>
      <c r="F682" s="4" t="s">
        <v>1390</v>
      </c>
      <c r="G682" s="4" t="s">
        <v>3409</v>
      </c>
      <c r="H682" s="4" t="s">
        <v>3470</v>
      </c>
      <c r="I682" s="4" t="s">
        <v>3471</v>
      </c>
      <c r="J682" s="4" t="s">
        <v>201</v>
      </c>
      <c r="K682" s="4" t="s">
        <v>3472</v>
      </c>
      <c r="L682" s="4" t="s">
        <v>3556</v>
      </c>
      <c r="M682" s="4" t="s">
        <v>1472</v>
      </c>
      <c r="N682" s="1" t="s">
        <v>1472</v>
      </c>
    </row>
    <row r="683">
      <c r="A683" s="33" t="s">
        <v>2698</v>
      </c>
      <c r="B683" s="33" t="s">
        <v>3557</v>
      </c>
      <c r="C683" s="13" t="s">
        <v>195</v>
      </c>
      <c r="D683" s="4" t="s">
        <v>1414</v>
      </c>
      <c r="E683" s="4" t="s">
        <v>1413</v>
      </c>
      <c r="F683" s="4" t="s">
        <v>1390</v>
      </c>
      <c r="G683" s="4" t="s">
        <v>3409</v>
      </c>
      <c r="H683" s="4" t="s">
        <v>3437</v>
      </c>
      <c r="I683" s="4" t="s">
        <v>3438</v>
      </c>
      <c r="J683" s="4" t="s">
        <v>479</v>
      </c>
      <c r="K683" s="4" t="s">
        <v>2091</v>
      </c>
      <c r="L683" s="4" t="s">
        <v>1209</v>
      </c>
      <c r="M683" s="4" t="s">
        <v>1472</v>
      </c>
      <c r="N683" s="1" t="s">
        <v>1472</v>
      </c>
    </row>
    <row r="684">
      <c r="A684" s="33" t="s">
        <v>3558</v>
      </c>
      <c r="B684" s="33" t="s">
        <v>3559</v>
      </c>
      <c r="C684" s="13" t="s">
        <v>195</v>
      </c>
      <c r="D684" s="4" t="s">
        <v>1414</v>
      </c>
      <c r="E684" s="4" t="s">
        <v>1413</v>
      </c>
      <c r="F684" s="4" t="s">
        <v>1390</v>
      </c>
      <c r="G684" s="4" t="s">
        <v>3409</v>
      </c>
      <c r="H684" s="4" t="s">
        <v>3560</v>
      </c>
      <c r="I684" s="4" t="s">
        <v>3561</v>
      </c>
      <c r="J684" s="4" t="s">
        <v>2171</v>
      </c>
      <c r="K684" s="4" t="s">
        <v>3562</v>
      </c>
      <c r="L684" s="4" t="s">
        <v>3563</v>
      </c>
      <c r="M684" s="4" t="s">
        <v>3564</v>
      </c>
      <c r="N684" s="1">
        <v>7976.0</v>
      </c>
    </row>
    <row r="685">
      <c r="A685" s="33" t="s">
        <v>3565</v>
      </c>
      <c r="B685" s="33" t="s">
        <v>3566</v>
      </c>
      <c r="C685" s="13" t="s">
        <v>195</v>
      </c>
      <c r="D685" s="4" t="s">
        <v>1414</v>
      </c>
      <c r="E685" s="4" t="s">
        <v>1392</v>
      </c>
      <c r="F685" s="4" t="s">
        <v>1390</v>
      </c>
      <c r="G685" s="4" t="s">
        <v>3489</v>
      </c>
      <c r="H685" s="4" t="s">
        <v>3499</v>
      </c>
      <c r="I685" s="4" t="s">
        <v>3500</v>
      </c>
      <c r="J685" s="4" t="s">
        <v>1244</v>
      </c>
      <c r="K685" s="4" t="s">
        <v>3502</v>
      </c>
      <c r="L685" s="4" t="s">
        <v>3568</v>
      </c>
      <c r="M685" s="4" t="s">
        <v>3569</v>
      </c>
      <c r="N685" s="1">
        <v>3831.0</v>
      </c>
    </row>
    <row r="686">
      <c r="A686" s="33" t="s">
        <v>2788</v>
      </c>
      <c r="B686" s="33" t="s">
        <v>3570</v>
      </c>
      <c r="C686" s="13" t="s">
        <v>195</v>
      </c>
      <c r="D686" s="4" t="s">
        <v>1414</v>
      </c>
      <c r="E686" s="4" t="s">
        <v>1663</v>
      </c>
      <c r="F686" s="4" t="s">
        <v>1390</v>
      </c>
      <c r="G686" s="4" t="s">
        <v>3573</v>
      </c>
      <c r="H686" s="4" t="s">
        <v>3574</v>
      </c>
      <c r="I686" s="4" t="s">
        <v>3575</v>
      </c>
      <c r="J686" s="4" t="s">
        <v>1461</v>
      </c>
      <c r="K686" s="4" t="s">
        <v>3576</v>
      </c>
      <c r="L686" s="4" t="s">
        <v>1209</v>
      </c>
      <c r="M686" s="4" t="s">
        <v>1472</v>
      </c>
      <c r="N686" s="1" t="s">
        <v>1472</v>
      </c>
    </row>
    <row r="687">
      <c r="A687" s="33" t="s">
        <v>3577</v>
      </c>
      <c r="B687" s="33" t="s">
        <v>3579</v>
      </c>
      <c r="C687" s="13" t="s">
        <v>195</v>
      </c>
      <c r="D687" s="4" t="s">
        <v>1414</v>
      </c>
      <c r="E687" s="4" t="s">
        <v>1392</v>
      </c>
      <c r="F687" s="4" t="s">
        <v>1390</v>
      </c>
      <c r="G687" s="4" t="s">
        <v>3489</v>
      </c>
      <c r="H687" s="4" t="s">
        <v>3582</v>
      </c>
      <c r="I687" s="4" t="s">
        <v>3583</v>
      </c>
      <c r="J687" s="4" t="s">
        <v>1764</v>
      </c>
      <c r="K687" s="4" t="s">
        <v>1765</v>
      </c>
      <c r="L687" s="4" t="s">
        <v>3584</v>
      </c>
      <c r="M687" s="4" t="s">
        <v>3585</v>
      </c>
      <c r="N687" s="1">
        <v>6299.0</v>
      </c>
    </row>
    <row r="688">
      <c r="A688" s="33" t="s">
        <v>3049</v>
      </c>
      <c r="B688" s="33" t="s">
        <v>3586</v>
      </c>
      <c r="C688" s="13" t="s">
        <v>209</v>
      </c>
      <c r="D688" s="4" t="s">
        <v>211</v>
      </c>
      <c r="E688" s="4" t="s">
        <v>1413</v>
      </c>
      <c r="F688" s="4" t="s">
        <v>1390</v>
      </c>
      <c r="G688" s="4" t="s">
        <v>3409</v>
      </c>
      <c r="H688" s="4" t="s">
        <v>3422</v>
      </c>
      <c r="I688" s="4" t="s">
        <v>3423</v>
      </c>
      <c r="J688" s="4" t="s">
        <v>1116</v>
      </c>
      <c r="K688" s="4" t="s">
        <v>1546</v>
      </c>
      <c r="L688" s="4" t="s">
        <v>3587</v>
      </c>
      <c r="M688" s="4" t="s">
        <v>3588</v>
      </c>
      <c r="N688" s="1">
        <v>9026.0</v>
      </c>
    </row>
    <row r="689">
      <c r="A689" s="33" t="s">
        <v>2036</v>
      </c>
      <c r="B689" s="33" t="s">
        <v>3590</v>
      </c>
      <c r="C689" s="13" t="s">
        <v>1114</v>
      </c>
      <c r="D689" s="4" t="s">
        <v>2040</v>
      </c>
      <c r="E689" s="4" t="s">
        <v>1392</v>
      </c>
      <c r="F689" s="4" t="s">
        <v>1390</v>
      </c>
      <c r="G689" s="4" t="s">
        <v>3489</v>
      </c>
      <c r="H689" s="4" t="s">
        <v>3591</v>
      </c>
      <c r="I689" s="4" t="s">
        <v>3592</v>
      </c>
      <c r="J689" s="4" t="s">
        <v>2018</v>
      </c>
      <c r="K689" s="4" t="s">
        <v>2045</v>
      </c>
      <c r="L689" s="4" t="s">
        <v>3593</v>
      </c>
      <c r="M689" s="4" t="s">
        <v>3594</v>
      </c>
      <c r="N689" s="1">
        <v>3698.0</v>
      </c>
    </row>
    <row r="690">
      <c r="A690" s="33" t="s">
        <v>3597</v>
      </c>
      <c r="B690" s="33" t="s">
        <v>3599</v>
      </c>
      <c r="C690" s="13" t="s">
        <v>195</v>
      </c>
      <c r="D690" s="4" t="s">
        <v>1414</v>
      </c>
      <c r="E690" s="4" t="s">
        <v>1392</v>
      </c>
      <c r="F690" s="4" t="s">
        <v>1390</v>
      </c>
      <c r="G690" s="4" t="s">
        <v>3489</v>
      </c>
      <c r="H690" s="4" t="s">
        <v>3582</v>
      </c>
      <c r="I690" s="4" t="s">
        <v>3583</v>
      </c>
      <c r="J690" s="4" t="s">
        <v>1764</v>
      </c>
      <c r="K690" s="4" t="s">
        <v>1765</v>
      </c>
      <c r="L690" s="4" t="s">
        <v>1209</v>
      </c>
      <c r="M690" s="4" t="s">
        <v>1472</v>
      </c>
      <c r="N690" s="1" t="s">
        <v>1472</v>
      </c>
    </row>
    <row r="691">
      <c r="A691" s="33" t="s">
        <v>3022</v>
      </c>
      <c r="B691" s="33" t="s">
        <v>3601</v>
      </c>
      <c r="C691" s="13" t="s">
        <v>195</v>
      </c>
      <c r="D691" s="4" t="s">
        <v>1414</v>
      </c>
      <c r="E691" s="4" t="s">
        <v>1413</v>
      </c>
      <c r="F691" s="4" t="s">
        <v>1390</v>
      </c>
      <c r="G691" s="4" t="s">
        <v>3409</v>
      </c>
      <c r="H691" s="4" t="s">
        <v>3602</v>
      </c>
      <c r="I691" s="4" t="s">
        <v>3603</v>
      </c>
      <c r="J691" s="4" t="s">
        <v>1079</v>
      </c>
      <c r="K691" s="4" t="s">
        <v>3604</v>
      </c>
      <c r="L691" s="4" t="s">
        <v>3606</v>
      </c>
      <c r="M691" s="4" t="s">
        <v>3607</v>
      </c>
      <c r="N691" s="1">
        <v>9434.0</v>
      </c>
    </row>
    <row r="692">
      <c r="A692" s="33" t="s">
        <v>3008</v>
      </c>
      <c r="B692" s="33" t="s">
        <v>3608</v>
      </c>
      <c r="C692" s="13" t="s">
        <v>195</v>
      </c>
      <c r="D692" s="4" t="s">
        <v>1414</v>
      </c>
      <c r="E692" s="4" t="s">
        <v>1413</v>
      </c>
      <c r="F692" s="4" t="s">
        <v>1390</v>
      </c>
      <c r="G692" s="4" t="s">
        <v>3409</v>
      </c>
      <c r="H692" s="4" t="s">
        <v>3610</v>
      </c>
      <c r="I692" s="4" t="s">
        <v>3611</v>
      </c>
      <c r="J692" s="4" t="s">
        <v>1079</v>
      </c>
      <c r="K692" s="4" t="s">
        <v>3612</v>
      </c>
      <c r="L692" s="4" t="s">
        <v>3613</v>
      </c>
      <c r="M692" s="4" t="s">
        <v>3614</v>
      </c>
      <c r="N692" s="1">
        <v>9133.0</v>
      </c>
    </row>
    <row r="693">
      <c r="A693" s="33" t="s">
        <v>2964</v>
      </c>
      <c r="B693" s="33" t="s">
        <v>3615</v>
      </c>
      <c r="C693" s="13" t="s">
        <v>1114</v>
      </c>
      <c r="D693" s="4" t="s">
        <v>2040</v>
      </c>
      <c r="E693" s="4" t="s">
        <v>1413</v>
      </c>
      <c r="F693" s="4" t="s">
        <v>1390</v>
      </c>
      <c r="G693" s="4" t="s">
        <v>3409</v>
      </c>
      <c r="H693" s="4" t="s">
        <v>3616</v>
      </c>
      <c r="I693" s="4" t="s">
        <v>3618</v>
      </c>
      <c r="J693" s="4" t="s">
        <v>2018</v>
      </c>
      <c r="K693" s="4" t="s">
        <v>3620</v>
      </c>
      <c r="L693" s="4" t="s">
        <v>3621</v>
      </c>
      <c r="M693" s="4" t="s">
        <v>3622</v>
      </c>
      <c r="N693" s="1">
        <v>6447.0</v>
      </c>
    </row>
    <row r="694">
      <c r="A694" s="33" t="s">
        <v>2163</v>
      </c>
      <c r="B694" s="33" t="s">
        <v>3623</v>
      </c>
      <c r="C694" s="13" t="s">
        <v>195</v>
      </c>
      <c r="D694" s="4" t="s">
        <v>1414</v>
      </c>
      <c r="E694" s="4" t="s">
        <v>1413</v>
      </c>
      <c r="F694" s="4" t="s">
        <v>1390</v>
      </c>
      <c r="G694" s="4" t="s">
        <v>3409</v>
      </c>
      <c r="H694" s="4" t="s">
        <v>3624</v>
      </c>
      <c r="I694" s="4" t="s">
        <v>3625</v>
      </c>
      <c r="J694" s="4" t="s">
        <v>2171</v>
      </c>
      <c r="K694" s="4" t="s">
        <v>2173</v>
      </c>
      <c r="L694" s="4" t="s">
        <v>1209</v>
      </c>
      <c r="M694" s="4" t="s">
        <v>1472</v>
      </c>
      <c r="N694" s="1" t="s">
        <v>1472</v>
      </c>
    </row>
    <row r="695">
      <c r="A695" s="33" t="s">
        <v>3627</v>
      </c>
      <c r="B695" s="33" t="s">
        <v>3628</v>
      </c>
      <c r="C695" s="13" t="s">
        <v>1114</v>
      </c>
      <c r="D695" s="4" t="s">
        <v>2040</v>
      </c>
      <c r="E695" s="4" t="s">
        <v>1413</v>
      </c>
      <c r="F695" s="4" t="s">
        <v>1390</v>
      </c>
      <c r="G695" s="4" t="s">
        <v>3409</v>
      </c>
      <c r="H695" s="4" t="s">
        <v>3549</v>
      </c>
      <c r="I695" s="4" t="s">
        <v>3550</v>
      </c>
      <c r="J695" s="4" t="s">
        <v>2018</v>
      </c>
      <c r="K695" s="4" t="s">
        <v>3551</v>
      </c>
      <c r="L695" s="4" t="s">
        <v>3629</v>
      </c>
      <c r="M695" s="4" t="s">
        <v>3630</v>
      </c>
      <c r="N695" s="1">
        <v>4851.0</v>
      </c>
    </row>
    <row r="696">
      <c r="A696" s="33" t="s">
        <v>3149</v>
      </c>
      <c r="B696" s="33" t="s">
        <v>3631</v>
      </c>
      <c r="C696" s="13" t="s">
        <v>195</v>
      </c>
      <c r="D696" s="4" t="s">
        <v>1414</v>
      </c>
      <c r="E696" s="4" t="s">
        <v>1413</v>
      </c>
      <c r="F696" s="4" t="s">
        <v>1390</v>
      </c>
      <c r="G696" s="4" t="s">
        <v>3409</v>
      </c>
      <c r="H696" s="4" t="s">
        <v>3632</v>
      </c>
      <c r="I696" s="4" t="s">
        <v>3633</v>
      </c>
      <c r="J696" s="4" t="s">
        <v>128</v>
      </c>
      <c r="K696" s="4" t="s">
        <v>3634</v>
      </c>
      <c r="L696" s="4" t="s">
        <v>3635</v>
      </c>
      <c r="M696" s="4" t="s">
        <v>3637</v>
      </c>
      <c r="N696" s="1">
        <v>12931.0</v>
      </c>
    </row>
    <row r="697">
      <c r="A697" s="33" t="s">
        <v>3106</v>
      </c>
      <c r="B697" s="33" t="s">
        <v>3638</v>
      </c>
      <c r="C697" s="13" t="s">
        <v>195</v>
      </c>
      <c r="D697" s="4" t="s">
        <v>1414</v>
      </c>
      <c r="E697" s="4" t="s">
        <v>1413</v>
      </c>
      <c r="F697" s="4" t="s">
        <v>1390</v>
      </c>
      <c r="G697" s="4" t="s">
        <v>3409</v>
      </c>
      <c r="H697" s="4" t="s">
        <v>3639</v>
      </c>
      <c r="I697" s="4" t="s">
        <v>3640</v>
      </c>
      <c r="J697" s="4" t="s">
        <v>128</v>
      </c>
      <c r="K697" s="4" t="s">
        <v>3641</v>
      </c>
      <c r="L697" s="4" t="s">
        <v>3642</v>
      </c>
      <c r="M697" s="4" t="s">
        <v>3643</v>
      </c>
      <c r="N697" s="1">
        <v>13793.0</v>
      </c>
    </row>
    <row r="698">
      <c r="A698" s="33" t="s">
        <v>2010</v>
      </c>
      <c r="B698" s="33" t="s">
        <v>3645</v>
      </c>
      <c r="C698" s="13" t="s">
        <v>1240</v>
      </c>
      <c r="D698" s="4" t="s">
        <v>2013</v>
      </c>
      <c r="E698" s="4" t="s">
        <v>1413</v>
      </c>
      <c r="F698" s="4" t="s">
        <v>1390</v>
      </c>
      <c r="G698" s="4" t="s">
        <v>3409</v>
      </c>
      <c r="H698" s="4" t="s">
        <v>3646</v>
      </c>
      <c r="I698" s="4" t="s">
        <v>3647</v>
      </c>
      <c r="J698" s="4" t="s">
        <v>2018</v>
      </c>
      <c r="K698" s="4" t="s">
        <v>2019</v>
      </c>
      <c r="L698" s="4" t="s">
        <v>3648</v>
      </c>
      <c r="M698" s="4" t="s">
        <v>3649</v>
      </c>
      <c r="N698" s="1">
        <v>5307.0</v>
      </c>
    </row>
    <row r="699">
      <c r="A699" s="33" t="s">
        <v>3650</v>
      </c>
      <c r="B699" s="33" t="s">
        <v>3651</v>
      </c>
      <c r="C699" s="13" t="s">
        <v>195</v>
      </c>
      <c r="D699" s="4" t="s">
        <v>1414</v>
      </c>
      <c r="E699" s="4" t="s">
        <v>1413</v>
      </c>
      <c r="F699" s="4" t="s">
        <v>1390</v>
      </c>
      <c r="G699" s="4" t="s">
        <v>3409</v>
      </c>
      <c r="H699" s="4" t="s">
        <v>3624</v>
      </c>
      <c r="I699" s="4" t="s">
        <v>3625</v>
      </c>
      <c r="J699" s="4" t="s">
        <v>2171</v>
      </c>
      <c r="K699" s="4" t="s">
        <v>2173</v>
      </c>
      <c r="L699" s="4" t="s">
        <v>1209</v>
      </c>
      <c r="M699" s="4" t="s">
        <v>1472</v>
      </c>
      <c r="N699" s="1" t="s">
        <v>1472</v>
      </c>
    </row>
    <row r="700">
      <c r="A700" s="33" t="s">
        <v>3654</v>
      </c>
      <c r="B700" s="33" t="s">
        <v>3655</v>
      </c>
      <c r="C700" s="13" t="s">
        <v>195</v>
      </c>
      <c r="D700" s="4" t="s">
        <v>1414</v>
      </c>
      <c r="E700" s="4" t="s">
        <v>1413</v>
      </c>
      <c r="F700" s="4" t="s">
        <v>1390</v>
      </c>
      <c r="G700" s="4" t="s">
        <v>3409</v>
      </c>
      <c r="H700" s="4" t="s">
        <v>3656</v>
      </c>
      <c r="I700" s="4" t="s">
        <v>3657</v>
      </c>
      <c r="J700" s="4" t="s">
        <v>1244</v>
      </c>
      <c r="K700" s="4" t="s">
        <v>3658</v>
      </c>
      <c r="L700" s="4" t="s">
        <v>3659</v>
      </c>
      <c r="M700" s="4" t="s">
        <v>3662</v>
      </c>
      <c r="N700" s="1">
        <v>5041.0</v>
      </c>
    </row>
    <row r="701">
      <c r="A701" s="33" t="s">
        <v>3663</v>
      </c>
      <c r="B701" s="33" t="s">
        <v>3664</v>
      </c>
      <c r="C701" s="13" t="s">
        <v>195</v>
      </c>
      <c r="D701" s="4" t="s">
        <v>3665</v>
      </c>
      <c r="E701" s="4" t="s">
        <v>1413</v>
      </c>
      <c r="F701" s="4" t="s">
        <v>1390</v>
      </c>
      <c r="G701" s="4" t="s">
        <v>3409</v>
      </c>
      <c r="H701" s="4" t="s">
        <v>3666</v>
      </c>
      <c r="I701" s="4" t="s">
        <v>3667</v>
      </c>
      <c r="J701" s="4" t="s">
        <v>2018</v>
      </c>
      <c r="K701" s="4" t="s">
        <v>3668</v>
      </c>
      <c r="L701" s="4" t="s">
        <v>1209</v>
      </c>
      <c r="M701" s="4" t="s">
        <v>1472</v>
      </c>
      <c r="N701" s="1" t="s">
        <v>1472</v>
      </c>
    </row>
    <row r="702">
      <c r="A702" s="33" t="s">
        <v>3669</v>
      </c>
      <c r="B702" s="33" t="s">
        <v>3670</v>
      </c>
      <c r="C702" s="13" t="s">
        <v>1240</v>
      </c>
      <c r="D702" s="4" t="s">
        <v>2013</v>
      </c>
      <c r="E702" s="4" t="s">
        <v>1413</v>
      </c>
      <c r="F702" s="4" t="s">
        <v>1390</v>
      </c>
      <c r="G702" s="4" t="s">
        <v>3409</v>
      </c>
      <c r="H702" s="4" t="s">
        <v>3646</v>
      </c>
      <c r="I702" s="4" t="s">
        <v>3647</v>
      </c>
      <c r="J702" s="4" t="s">
        <v>2018</v>
      </c>
      <c r="K702" s="4" t="s">
        <v>2019</v>
      </c>
      <c r="L702" s="4" t="s">
        <v>3673</v>
      </c>
      <c r="M702" s="4" t="s">
        <v>3649</v>
      </c>
      <c r="N702" s="1">
        <v>5298.0</v>
      </c>
    </row>
    <row r="703">
      <c r="A703" s="33" t="s">
        <v>3674</v>
      </c>
      <c r="B703" s="33" t="s">
        <v>3675</v>
      </c>
      <c r="C703" s="13" t="s">
        <v>195</v>
      </c>
      <c r="D703" s="4" t="s">
        <v>1414</v>
      </c>
      <c r="E703" s="4" t="s">
        <v>1413</v>
      </c>
      <c r="F703" s="4" t="s">
        <v>1390</v>
      </c>
      <c r="G703" s="4" t="s">
        <v>3409</v>
      </c>
      <c r="H703" s="4" t="s">
        <v>3656</v>
      </c>
      <c r="I703" s="4" t="s">
        <v>3657</v>
      </c>
      <c r="J703" s="4" t="s">
        <v>1244</v>
      </c>
      <c r="K703" s="4" t="s">
        <v>3658</v>
      </c>
      <c r="L703" s="4" t="s">
        <v>3677</v>
      </c>
      <c r="M703" s="4" t="s">
        <v>3679</v>
      </c>
      <c r="N703" s="1">
        <v>4990.0</v>
      </c>
    </row>
    <row r="704">
      <c r="A704" s="33" t="s">
        <v>3416</v>
      </c>
      <c r="B704" s="34" t="s">
        <v>3680</v>
      </c>
      <c r="C704" s="13" t="s">
        <v>1209</v>
      </c>
      <c r="D704" s="4" t="s">
        <v>1209</v>
      </c>
      <c r="E704" s="4" t="s">
        <v>1413</v>
      </c>
      <c r="F704" s="4" t="s">
        <v>1390</v>
      </c>
      <c r="G704" s="4" t="s">
        <v>3409</v>
      </c>
      <c r="H704" s="4" t="s">
        <v>3681</v>
      </c>
      <c r="I704" s="4" t="s">
        <v>3682</v>
      </c>
      <c r="J704" s="4" t="s">
        <v>201</v>
      </c>
      <c r="K704" s="4" t="s">
        <v>1417</v>
      </c>
      <c r="L704" s="4" t="s">
        <v>3683</v>
      </c>
      <c r="M704" s="4" t="s">
        <v>1472</v>
      </c>
      <c r="N704" s="1" t="s">
        <v>1472</v>
      </c>
    </row>
    <row r="705">
      <c r="A705" s="33" t="s">
        <v>3330</v>
      </c>
      <c r="B705" s="33" t="s">
        <v>3684</v>
      </c>
      <c r="C705" s="13" t="s">
        <v>1209</v>
      </c>
      <c r="D705" s="4" t="s">
        <v>1209</v>
      </c>
      <c r="E705" s="4" t="s">
        <v>1392</v>
      </c>
      <c r="F705" s="4" t="s">
        <v>1390</v>
      </c>
      <c r="G705" s="4" t="s">
        <v>3489</v>
      </c>
      <c r="H705" s="4" t="s">
        <v>3686</v>
      </c>
      <c r="I705" s="4" t="s">
        <v>3687</v>
      </c>
      <c r="J705" s="4" t="s">
        <v>213</v>
      </c>
      <c r="K705" s="4" t="s">
        <v>3688</v>
      </c>
      <c r="L705" s="4" t="s">
        <v>3689</v>
      </c>
      <c r="M705" s="4" t="s">
        <v>1472</v>
      </c>
      <c r="N705" s="1" t="s">
        <v>1472</v>
      </c>
    </row>
    <row r="706">
      <c r="A706" s="33" t="s">
        <v>3690</v>
      </c>
      <c r="B706" s="33" t="s">
        <v>3691</v>
      </c>
      <c r="C706" s="13" t="s">
        <v>1209</v>
      </c>
      <c r="D706" s="4" t="s">
        <v>1209</v>
      </c>
      <c r="E706" s="4" t="s">
        <v>1663</v>
      </c>
      <c r="F706" s="4" t="s">
        <v>1390</v>
      </c>
      <c r="G706" s="4" t="s">
        <v>3573</v>
      </c>
      <c r="H706" s="4" t="s">
        <v>3692</v>
      </c>
      <c r="I706" s="4" t="s">
        <v>3693</v>
      </c>
      <c r="J706" s="4" t="s">
        <v>3694</v>
      </c>
      <c r="K706" s="4" t="s">
        <v>3695</v>
      </c>
      <c r="L706" s="4" t="s">
        <v>3696</v>
      </c>
      <c r="M706" s="4" t="s">
        <v>3697</v>
      </c>
      <c r="N706" s="1">
        <v>553.0</v>
      </c>
    </row>
    <row r="707">
      <c r="A707" s="33" t="s">
        <v>3698</v>
      </c>
      <c r="B707" s="33" t="s">
        <v>3699</v>
      </c>
      <c r="C707" s="13" t="s">
        <v>1209</v>
      </c>
      <c r="D707" s="4" t="s">
        <v>1209</v>
      </c>
      <c r="E707" s="4" t="s">
        <v>1413</v>
      </c>
      <c r="F707" s="4" t="s">
        <v>1390</v>
      </c>
      <c r="G707" s="4" t="s">
        <v>3409</v>
      </c>
      <c r="H707" s="4" t="s">
        <v>3700</v>
      </c>
      <c r="I707" s="4" t="s">
        <v>3701</v>
      </c>
      <c r="J707" s="4" t="s">
        <v>804</v>
      </c>
      <c r="K707" s="4" t="s">
        <v>3702</v>
      </c>
      <c r="L707" s="4" t="s">
        <v>3703</v>
      </c>
      <c r="M707" s="4" t="s">
        <v>1472</v>
      </c>
      <c r="N707" s="1" t="s">
        <v>1472</v>
      </c>
    </row>
    <row r="708">
      <c r="A708" s="33" t="s">
        <v>3704</v>
      </c>
      <c r="B708" s="33" t="s">
        <v>3705</v>
      </c>
      <c r="C708" s="13" t="s">
        <v>1209</v>
      </c>
      <c r="D708" s="4" t="s">
        <v>1209</v>
      </c>
      <c r="E708" s="4" t="s">
        <v>1663</v>
      </c>
      <c r="F708" s="4" t="s">
        <v>1390</v>
      </c>
      <c r="G708" s="4" t="s">
        <v>3573</v>
      </c>
      <c r="H708" s="4" t="s">
        <v>3706</v>
      </c>
      <c r="I708" s="4" t="s">
        <v>3707</v>
      </c>
      <c r="J708" s="4" t="s">
        <v>564</v>
      </c>
      <c r="K708" s="4" t="s">
        <v>1673</v>
      </c>
      <c r="L708" s="4" t="s">
        <v>3708</v>
      </c>
      <c r="M708" s="4" t="s">
        <v>1472</v>
      </c>
      <c r="N708" s="1" t="s">
        <v>1472</v>
      </c>
    </row>
    <row r="709">
      <c r="A709" s="33" t="s">
        <v>3157</v>
      </c>
      <c r="B709" s="33" t="s">
        <v>3711</v>
      </c>
      <c r="C709" s="13" t="s">
        <v>1209</v>
      </c>
      <c r="D709" s="4" t="s">
        <v>1209</v>
      </c>
      <c r="E709" s="4" t="s">
        <v>1392</v>
      </c>
      <c r="F709" s="4" t="s">
        <v>1390</v>
      </c>
      <c r="G709" s="4" t="s">
        <v>3489</v>
      </c>
      <c r="H709" s="4" t="s">
        <v>3712</v>
      </c>
      <c r="I709" s="4" t="s">
        <v>3713</v>
      </c>
      <c r="J709" s="4" t="s">
        <v>213</v>
      </c>
      <c r="K709" s="4" t="s">
        <v>1001</v>
      </c>
      <c r="L709" s="4" t="s">
        <v>3714</v>
      </c>
      <c r="M709" s="4" t="s">
        <v>1472</v>
      </c>
      <c r="N709" s="1" t="s">
        <v>1472</v>
      </c>
    </row>
    <row r="710">
      <c r="A710" s="33" t="s">
        <v>3715</v>
      </c>
      <c r="B710" s="33" t="s">
        <v>3716</v>
      </c>
      <c r="C710" s="13" t="s">
        <v>1209</v>
      </c>
      <c r="D710" s="4" t="s">
        <v>1209</v>
      </c>
      <c r="E710" s="4" t="s">
        <v>1392</v>
      </c>
      <c r="F710" s="4" t="s">
        <v>1390</v>
      </c>
      <c r="G710" s="4" t="s">
        <v>3489</v>
      </c>
      <c r="H710" s="4" t="s">
        <v>3717</v>
      </c>
      <c r="I710" s="4" t="s">
        <v>3718</v>
      </c>
      <c r="J710" s="4" t="s">
        <v>295</v>
      </c>
      <c r="K710" s="4" t="s">
        <v>3721</v>
      </c>
      <c r="L710" s="4" t="s">
        <v>3722</v>
      </c>
      <c r="M710" s="4" t="s">
        <v>1472</v>
      </c>
      <c r="N710" s="1" t="s">
        <v>1472</v>
      </c>
    </row>
    <row r="711">
      <c r="A711" s="33" t="s">
        <v>3723</v>
      </c>
      <c r="B711" s="33" t="s">
        <v>3724</v>
      </c>
      <c r="C711" s="13" t="s">
        <v>1209</v>
      </c>
      <c r="D711" s="4" t="s">
        <v>1209</v>
      </c>
      <c r="E711" s="4" t="s">
        <v>1392</v>
      </c>
      <c r="F711" s="4" t="s">
        <v>1390</v>
      </c>
      <c r="G711" s="4" t="s">
        <v>3489</v>
      </c>
      <c r="H711" s="4" t="s">
        <v>3725</v>
      </c>
      <c r="I711" s="4" t="s">
        <v>3726</v>
      </c>
      <c r="J711" s="4" t="s">
        <v>2051</v>
      </c>
      <c r="K711" s="4" t="s">
        <v>2053</v>
      </c>
      <c r="L711" s="4" t="s">
        <v>3727</v>
      </c>
      <c r="M711" s="4" t="s">
        <v>1472</v>
      </c>
      <c r="N711" s="1" t="s">
        <v>1472</v>
      </c>
    </row>
    <row r="712">
      <c r="A712" s="33" t="s">
        <v>3730</v>
      </c>
      <c r="B712" s="33" t="s">
        <v>3731</v>
      </c>
      <c r="C712" s="13" t="s">
        <v>1209</v>
      </c>
      <c r="D712" s="4" t="s">
        <v>1209</v>
      </c>
      <c r="E712" s="4" t="s">
        <v>1392</v>
      </c>
      <c r="F712" s="4" t="s">
        <v>1390</v>
      </c>
      <c r="G712" s="4" t="s">
        <v>3489</v>
      </c>
      <c r="H712" s="4" t="s">
        <v>3717</v>
      </c>
      <c r="I712" s="4" t="s">
        <v>3718</v>
      </c>
      <c r="J712" s="4" t="s">
        <v>295</v>
      </c>
      <c r="K712" s="4" t="s">
        <v>3721</v>
      </c>
      <c r="L712" s="4" t="s">
        <v>3733</v>
      </c>
      <c r="M712" s="4" t="s">
        <v>1472</v>
      </c>
      <c r="N712" s="1" t="s">
        <v>1472</v>
      </c>
    </row>
    <row r="713">
      <c r="A713" s="33" t="s">
        <v>3734</v>
      </c>
      <c r="B713" s="33" t="s">
        <v>3735</v>
      </c>
      <c r="C713" s="13" t="s">
        <v>1209</v>
      </c>
      <c r="D713" s="4" t="s">
        <v>1209</v>
      </c>
      <c r="E713" s="4" t="s">
        <v>1663</v>
      </c>
      <c r="F713" s="4" t="s">
        <v>1390</v>
      </c>
      <c r="G713" s="4" t="s">
        <v>3573</v>
      </c>
      <c r="H713" s="4" t="s">
        <v>3692</v>
      </c>
      <c r="I713" s="4" t="s">
        <v>3693</v>
      </c>
      <c r="J713" s="4" t="s">
        <v>3694</v>
      </c>
      <c r="K713" s="4" t="s">
        <v>3695</v>
      </c>
      <c r="L713" s="4" t="s">
        <v>3737</v>
      </c>
      <c r="M713" s="4" t="s">
        <v>1472</v>
      </c>
      <c r="N713" s="1" t="s">
        <v>1472</v>
      </c>
    </row>
    <row r="714">
      <c r="A714" s="33" t="s">
        <v>3201</v>
      </c>
      <c r="B714" s="33" t="s">
        <v>3738</v>
      </c>
      <c r="C714" s="13" t="s">
        <v>1209</v>
      </c>
      <c r="D714" s="4" t="s">
        <v>1209</v>
      </c>
      <c r="E714" s="4" t="s">
        <v>1392</v>
      </c>
      <c r="F714" s="4" t="s">
        <v>1390</v>
      </c>
      <c r="G714" s="4" t="s">
        <v>3489</v>
      </c>
      <c r="H714" s="4" t="s">
        <v>3712</v>
      </c>
      <c r="I714" s="4" t="s">
        <v>3713</v>
      </c>
      <c r="J714" s="4" t="s">
        <v>213</v>
      </c>
      <c r="K714" s="4" t="s">
        <v>1001</v>
      </c>
      <c r="L714" s="4" t="s">
        <v>3739</v>
      </c>
      <c r="M714" s="4" t="s">
        <v>1472</v>
      </c>
      <c r="N714" s="1" t="s">
        <v>1472</v>
      </c>
    </row>
    <row r="715">
      <c r="A715" s="33" t="s">
        <v>2855</v>
      </c>
      <c r="B715" s="33" t="s">
        <v>3742</v>
      </c>
      <c r="C715" s="13" t="s">
        <v>1209</v>
      </c>
      <c r="D715" s="4" t="s">
        <v>1209</v>
      </c>
      <c r="E715" s="4" t="s">
        <v>1413</v>
      </c>
      <c r="F715" s="4" t="s">
        <v>1390</v>
      </c>
      <c r="G715" s="4" t="s">
        <v>3409</v>
      </c>
      <c r="H715" s="4" t="s">
        <v>3743</v>
      </c>
      <c r="I715" s="4" t="s">
        <v>3745</v>
      </c>
      <c r="J715" s="4" t="s">
        <v>2058</v>
      </c>
      <c r="K715" s="4" t="s">
        <v>3746</v>
      </c>
      <c r="L715" s="4" t="s">
        <v>3747</v>
      </c>
      <c r="M715" s="4" t="s">
        <v>1472</v>
      </c>
      <c r="N715" s="1" t="s">
        <v>1472</v>
      </c>
    </row>
    <row r="716">
      <c r="A716" s="33" t="s">
        <v>3748</v>
      </c>
      <c r="B716" s="33" t="s">
        <v>3749</v>
      </c>
      <c r="C716" s="13" t="s">
        <v>1209</v>
      </c>
      <c r="D716" s="4" t="s">
        <v>1209</v>
      </c>
      <c r="E716" s="4" t="s">
        <v>1663</v>
      </c>
      <c r="F716" s="4" t="s">
        <v>1390</v>
      </c>
      <c r="G716" s="4" t="s">
        <v>3573</v>
      </c>
      <c r="H716" s="4" t="s">
        <v>3750</v>
      </c>
      <c r="I716" s="4" t="s">
        <v>3751</v>
      </c>
      <c r="J716" s="4" t="s">
        <v>1461</v>
      </c>
      <c r="K716" s="4" t="s">
        <v>3752</v>
      </c>
      <c r="L716" s="4" t="s">
        <v>3753</v>
      </c>
      <c r="M716" s="4" t="s">
        <v>1472</v>
      </c>
      <c r="N716" s="1" t="s">
        <v>1472</v>
      </c>
    </row>
    <row r="717">
      <c r="A717" s="33" t="s">
        <v>3754</v>
      </c>
      <c r="B717" s="33" t="s">
        <v>3755</v>
      </c>
      <c r="C717" s="13" t="s">
        <v>1209</v>
      </c>
      <c r="D717" s="4" t="s">
        <v>1209</v>
      </c>
      <c r="E717" s="4" t="s">
        <v>1663</v>
      </c>
      <c r="F717" s="4" t="s">
        <v>1390</v>
      </c>
      <c r="G717" s="4" t="s">
        <v>3573</v>
      </c>
      <c r="H717" s="4" t="s">
        <v>3756</v>
      </c>
      <c r="I717" s="4" t="s">
        <v>3757</v>
      </c>
      <c r="J717" s="4" t="s">
        <v>1104</v>
      </c>
      <c r="K717" s="4" t="s">
        <v>3758</v>
      </c>
      <c r="L717" s="4" t="s">
        <v>3759</v>
      </c>
      <c r="M717" s="4" t="s">
        <v>1472</v>
      </c>
      <c r="N717" s="1" t="s">
        <v>1472</v>
      </c>
    </row>
    <row r="718">
      <c r="A718" s="33" t="s">
        <v>3760</v>
      </c>
      <c r="B718" s="33" t="s">
        <v>3761</v>
      </c>
      <c r="C718" s="13" t="s">
        <v>1209</v>
      </c>
      <c r="D718" s="4" t="s">
        <v>1209</v>
      </c>
      <c r="E718" s="4" t="s">
        <v>1392</v>
      </c>
      <c r="F718" s="4" t="s">
        <v>1390</v>
      </c>
      <c r="G718" s="4" t="s">
        <v>3489</v>
      </c>
      <c r="H718" s="4" t="s">
        <v>3762</v>
      </c>
      <c r="I718" s="4" t="s">
        <v>3763</v>
      </c>
      <c r="J718" s="4" t="s">
        <v>1104</v>
      </c>
      <c r="K718" s="4" t="s">
        <v>3764</v>
      </c>
      <c r="L718" s="4" t="s">
        <v>3765</v>
      </c>
      <c r="M718" s="4" t="s">
        <v>1472</v>
      </c>
      <c r="N718" s="1" t="s">
        <v>1472</v>
      </c>
    </row>
    <row r="719">
      <c r="A719" s="33" t="s">
        <v>2737</v>
      </c>
      <c r="B719" s="33" t="s">
        <v>3766</v>
      </c>
      <c r="C719" s="13" t="s">
        <v>1209</v>
      </c>
      <c r="D719" s="4" t="s">
        <v>1209</v>
      </c>
      <c r="E719" s="4" t="s">
        <v>1392</v>
      </c>
      <c r="F719" s="4" t="s">
        <v>1390</v>
      </c>
      <c r="G719" s="4" t="s">
        <v>3489</v>
      </c>
      <c r="H719" s="4" t="s">
        <v>3756</v>
      </c>
      <c r="I719" s="4" t="s">
        <v>3757</v>
      </c>
      <c r="J719" s="4" t="s">
        <v>1104</v>
      </c>
      <c r="K719" s="4" t="s">
        <v>3758</v>
      </c>
      <c r="L719" s="4" t="s">
        <v>3768</v>
      </c>
      <c r="M719" s="4" t="s">
        <v>1472</v>
      </c>
      <c r="N719" s="1" t="s">
        <v>1472</v>
      </c>
    </row>
    <row r="720">
      <c r="A720" s="33" t="s">
        <v>2748</v>
      </c>
      <c r="B720" s="33" t="s">
        <v>3769</v>
      </c>
      <c r="C720" s="13" t="s">
        <v>1209</v>
      </c>
      <c r="D720" s="4" t="s">
        <v>1209</v>
      </c>
      <c r="E720" s="4" t="s">
        <v>1663</v>
      </c>
      <c r="F720" s="4" t="s">
        <v>1390</v>
      </c>
      <c r="G720" s="4" t="s">
        <v>3573</v>
      </c>
      <c r="H720" s="4" t="s">
        <v>3770</v>
      </c>
      <c r="I720" s="4" t="s">
        <v>3771</v>
      </c>
      <c r="J720" s="4" t="s">
        <v>1050</v>
      </c>
      <c r="K720" s="4" t="s">
        <v>3772</v>
      </c>
      <c r="L720" s="4" t="s">
        <v>3773</v>
      </c>
      <c r="M720" s="4" t="s">
        <v>1472</v>
      </c>
      <c r="N720" s="1" t="s">
        <v>1472</v>
      </c>
    </row>
    <row r="721">
      <c r="A721" s="33" t="s">
        <v>3774</v>
      </c>
      <c r="B721" s="33" t="s">
        <v>3775</v>
      </c>
      <c r="C721" s="13" t="s">
        <v>1209</v>
      </c>
      <c r="D721" s="4" t="s">
        <v>1209</v>
      </c>
      <c r="E721" s="4" t="s">
        <v>1663</v>
      </c>
      <c r="F721" s="4" t="s">
        <v>1390</v>
      </c>
      <c r="G721" s="4" t="s">
        <v>3573</v>
      </c>
      <c r="H721" s="4" t="s">
        <v>3776</v>
      </c>
      <c r="I721" s="4" t="s">
        <v>3777</v>
      </c>
      <c r="J721" s="4" t="s">
        <v>1461</v>
      </c>
      <c r="K721" s="4" t="s">
        <v>3778</v>
      </c>
      <c r="L721" s="4" t="s">
        <v>3779</v>
      </c>
      <c r="M721" s="4" t="s">
        <v>1472</v>
      </c>
      <c r="N721" s="1" t="s">
        <v>1472</v>
      </c>
    </row>
    <row r="722">
      <c r="A722" s="33" t="s">
        <v>3363</v>
      </c>
      <c r="B722" s="33" t="s">
        <v>3780</v>
      </c>
      <c r="C722" s="13" t="s">
        <v>1209</v>
      </c>
      <c r="D722" s="4" t="s">
        <v>1209</v>
      </c>
      <c r="E722" s="4" t="s">
        <v>1392</v>
      </c>
      <c r="F722" s="4" t="s">
        <v>1390</v>
      </c>
      <c r="G722" s="4" t="s">
        <v>3489</v>
      </c>
      <c r="H722" s="4" t="s">
        <v>3717</v>
      </c>
      <c r="I722" s="4" t="s">
        <v>3718</v>
      </c>
      <c r="J722" s="4" t="s">
        <v>295</v>
      </c>
      <c r="K722" s="4" t="s">
        <v>3721</v>
      </c>
      <c r="L722" s="4" t="s">
        <v>3781</v>
      </c>
      <c r="M722" s="4" t="s">
        <v>1472</v>
      </c>
      <c r="N722" s="1" t="s">
        <v>1472</v>
      </c>
    </row>
    <row r="723">
      <c r="A723" s="33" t="s">
        <v>1662</v>
      </c>
      <c r="B723" s="33" t="s">
        <v>3782</v>
      </c>
      <c r="C723" s="13" t="s">
        <v>1209</v>
      </c>
      <c r="D723" s="4" t="s">
        <v>1209</v>
      </c>
      <c r="E723" s="4" t="s">
        <v>1663</v>
      </c>
      <c r="F723" s="4" t="s">
        <v>1390</v>
      </c>
      <c r="G723" s="4" t="s">
        <v>3573</v>
      </c>
      <c r="H723" s="4" t="s">
        <v>3706</v>
      </c>
      <c r="I723" s="4" t="s">
        <v>3707</v>
      </c>
      <c r="J723" s="4" t="s">
        <v>564</v>
      </c>
      <c r="K723" s="4" t="s">
        <v>1673</v>
      </c>
      <c r="L723" s="4" t="s">
        <v>3784</v>
      </c>
      <c r="M723" s="4" t="s">
        <v>1472</v>
      </c>
      <c r="N723" s="1" t="s">
        <v>1472</v>
      </c>
    </row>
    <row r="724">
      <c r="A724" s="33" t="s">
        <v>3785</v>
      </c>
      <c r="B724" s="33" t="s">
        <v>3786</v>
      </c>
      <c r="C724" s="13" t="s">
        <v>1209</v>
      </c>
      <c r="D724" s="4" t="s">
        <v>1209</v>
      </c>
      <c r="E724" s="4" t="s">
        <v>1663</v>
      </c>
      <c r="F724" s="4" t="s">
        <v>1390</v>
      </c>
      <c r="G724" s="4" t="s">
        <v>3573</v>
      </c>
      <c r="H724" s="4" t="s">
        <v>3706</v>
      </c>
      <c r="I724" s="4" t="s">
        <v>3707</v>
      </c>
      <c r="J724" s="4" t="s">
        <v>564</v>
      </c>
      <c r="K724" s="4" t="s">
        <v>1673</v>
      </c>
      <c r="L724" s="4" t="s">
        <v>3787</v>
      </c>
      <c r="M724" s="4" t="s">
        <v>1472</v>
      </c>
      <c r="N724" s="1" t="s">
        <v>1472</v>
      </c>
    </row>
    <row r="725">
      <c r="A725" s="33" t="s">
        <v>3788</v>
      </c>
      <c r="B725" s="33" t="s">
        <v>3789</v>
      </c>
      <c r="C725" s="13" t="s">
        <v>1209</v>
      </c>
      <c r="D725" s="4" t="s">
        <v>1209</v>
      </c>
      <c r="E725" s="4" t="s">
        <v>1392</v>
      </c>
      <c r="F725" s="4" t="s">
        <v>1390</v>
      </c>
      <c r="G725" s="4" t="s">
        <v>3489</v>
      </c>
      <c r="H725" s="4" t="s">
        <v>3791</v>
      </c>
      <c r="I725" s="4" t="s">
        <v>3792</v>
      </c>
      <c r="J725" s="4" t="s">
        <v>295</v>
      </c>
      <c r="K725" s="4" t="s">
        <v>3793</v>
      </c>
      <c r="L725" s="4" t="s">
        <v>3794</v>
      </c>
      <c r="M725" s="4" t="s">
        <v>1472</v>
      </c>
      <c r="N725" s="1" t="s">
        <v>1472</v>
      </c>
    </row>
    <row r="726">
      <c r="A726" s="33" t="s">
        <v>3795</v>
      </c>
      <c r="B726" s="33" t="s">
        <v>3796</v>
      </c>
      <c r="C726" s="13" t="s">
        <v>1209</v>
      </c>
      <c r="D726" s="4" t="s">
        <v>1209</v>
      </c>
      <c r="E726" s="4" t="s">
        <v>1392</v>
      </c>
      <c r="F726" s="4" t="s">
        <v>1390</v>
      </c>
      <c r="G726" s="4" t="s">
        <v>3489</v>
      </c>
      <c r="H726" s="4" t="s">
        <v>3717</v>
      </c>
      <c r="I726" s="4" t="s">
        <v>3718</v>
      </c>
      <c r="J726" s="4" t="s">
        <v>295</v>
      </c>
      <c r="K726" s="4" t="s">
        <v>3721</v>
      </c>
      <c r="L726" s="4" t="s">
        <v>3799</v>
      </c>
      <c r="M726" s="4" t="s">
        <v>1472</v>
      </c>
      <c r="N726" s="1" t="s">
        <v>1472</v>
      </c>
    </row>
    <row r="727">
      <c r="A727" s="33" t="s">
        <v>3800</v>
      </c>
      <c r="B727" s="33" t="s">
        <v>3801</v>
      </c>
      <c r="C727" s="13" t="s">
        <v>1209</v>
      </c>
      <c r="D727" s="4" t="s">
        <v>1209</v>
      </c>
      <c r="E727" s="4" t="s">
        <v>1413</v>
      </c>
      <c r="F727" s="4" t="s">
        <v>1390</v>
      </c>
      <c r="G727" s="4" t="s">
        <v>3409</v>
      </c>
      <c r="H727" s="4" t="s">
        <v>3803</v>
      </c>
      <c r="I727" s="4" t="s">
        <v>3804</v>
      </c>
      <c r="J727" s="4" t="s">
        <v>213</v>
      </c>
      <c r="K727" s="4" t="s">
        <v>3805</v>
      </c>
      <c r="L727" s="4" t="s">
        <v>3794</v>
      </c>
      <c r="M727" s="4" t="s">
        <v>1472</v>
      </c>
      <c r="N727" s="1" t="s">
        <v>1472</v>
      </c>
    </row>
    <row r="728">
      <c r="A728" s="33" t="s">
        <v>3806</v>
      </c>
      <c r="B728" s="33" t="s">
        <v>3807</v>
      </c>
      <c r="C728" s="13" t="s">
        <v>1209</v>
      </c>
      <c r="D728" s="4" t="s">
        <v>1209</v>
      </c>
      <c r="E728" s="4" t="s">
        <v>1663</v>
      </c>
      <c r="F728" s="4" t="s">
        <v>1390</v>
      </c>
      <c r="G728" s="4" t="s">
        <v>3573</v>
      </c>
      <c r="H728" s="4" t="s">
        <v>3706</v>
      </c>
      <c r="I728" s="4" t="s">
        <v>3707</v>
      </c>
      <c r="J728" s="4" t="s">
        <v>564</v>
      </c>
      <c r="K728" s="4" t="s">
        <v>1673</v>
      </c>
      <c r="L728" s="4" t="s">
        <v>3809</v>
      </c>
      <c r="M728" s="4" t="s">
        <v>1472</v>
      </c>
      <c r="N728" s="1" t="s">
        <v>1472</v>
      </c>
    </row>
    <row r="729">
      <c r="A729" s="33" t="s">
        <v>3810</v>
      </c>
      <c r="B729" s="33" t="s">
        <v>3811</v>
      </c>
      <c r="C729" s="13" t="s">
        <v>1209</v>
      </c>
      <c r="D729" s="4" t="s">
        <v>1209</v>
      </c>
      <c r="E729" s="4" t="s">
        <v>1663</v>
      </c>
      <c r="F729" s="4" t="s">
        <v>1390</v>
      </c>
      <c r="G729" s="4" t="s">
        <v>3573</v>
      </c>
      <c r="H729" s="4" t="s">
        <v>3812</v>
      </c>
      <c r="I729" s="4" t="s">
        <v>3813</v>
      </c>
      <c r="J729" s="4" t="s">
        <v>1104</v>
      </c>
      <c r="K729" s="4" t="s">
        <v>3814</v>
      </c>
      <c r="L729" s="4" t="s">
        <v>3815</v>
      </c>
      <c r="M729" s="4" t="s">
        <v>1472</v>
      </c>
      <c r="N729" s="1" t="s">
        <v>1472</v>
      </c>
    </row>
    <row r="730">
      <c r="A730" s="33" t="s">
        <v>3372</v>
      </c>
      <c r="B730" s="33" t="s">
        <v>3816</v>
      </c>
      <c r="C730" s="13" t="s">
        <v>1209</v>
      </c>
      <c r="D730" s="4" t="s">
        <v>1209</v>
      </c>
      <c r="E730" s="4" t="s">
        <v>1392</v>
      </c>
      <c r="F730" s="4" t="s">
        <v>1390</v>
      </c>
      <c r="G730" s="4" t="s">
        <v>3489</v>
      </c>
      <c r="H730" s="4" t="s">
        <v>3717</v>
      </c>
      <c r="I730" s="4" t="s">
        <v>3718</v>
      </c>
      <c r="J730" s="4" t="s">
        <v>295</v>
      </c>
      <c r="K730" s="4" t="s">
        <v>3721</v>
      </c>
      <c r="L730" s="4" t="s">
        <v>3817</v>
      </c>
      <c r="M730" s="4" t="s">
        <v>1472</v>
      </c>
      <c r="N730" s="1" t="s">
        <v>1472</v>
      </c>
    </row>
    <row r="731">
      <c r="A731" s="33" t="s">
        <v>3818</v>
      </c>
      <c r="B731" s="33" t="s">
        <v>3819</v>
      </c>
      <c r="C731" s="13" t="s">
        <v>1209</v>
      </c>
      <c r="D731" s="4" t="s">
        <v>1209</v>
      </c>
      <c r="E731" s="4" t="s">
        <v>1392</v>
      </c>
      <c r="F731" s="4" t="s">
        <v>1390</v>
      </c>
      <c r="G731" s="4" t="s">
        <v>3489</v>
      </c>
      <c r="H731" s="4" t="s">
        <v>3820</v>
      </c>
      <c r="I731" s="4" t="s">
        <v>3821</v>
      </c>
      <c r="J731" s="4" t="s">
        <v>1104</v>
      </c>
      <c r="K731" s="4" t="s">
        <v>3822</v>
      </c>
      <c r="L731" s="4" t="s">
        <v>3823</v>
      </c>
      <c r="M731" s="4" t="s">
        <v>1472</v>
      </c>
      <c r="N731" s="1" t="s">
        <v>1472</v>
      </c>
    </row>
    <row r="732">
      <c r="A732" s="33" t="s">
        <v>3824</v>
      </c>
      <c r="B732" s="33" t="s">
        <v>3825</v>
      </c>
      <c r="C732" s="13" t="s">
        <v>1209</v>
      </c>
      <c r="D732" s="4" t="s">
        <v>1209</v>
      </c>
      <c r="E732" s="4" t="s">
        <v>1392</v>
      </c>
      <c r="F732" s="4" t="s">
        <v>1390</v>
      </c>
      <c r="G732" s="4" t="s">
        <v>3489</v>
      </c>
      <c r="H732" s="4" t="s">
        <v>3826</v>
      </c>
      <c r="I732" s="4" t="s">
        <v>3827</v>
      </c>
      <c r="J732" s="4" t="s">
        <v>295</v>
      </c>
      <c r="K732" s="4" t="s">
        <v>3828</v>
      </c>
      <c r="L732" s="4" t="s">
        <v>3829</v>
      </c>
      <c r="M732" s="4" t="s">
        <v>1472</v>
      </c>
      <c r="N732" s="1" t="s">
        <v>1472</v>
      </c>
    </row>
    <row r="733">
      <c r="A733" s="33" t="s">
        <v>3832</v>
      </c>
      <c r="B733" s="33" t="s">
        <v>3833</v>
      </c>
      <c r="C733" s="13" t="s">
        <v>1209</v>
      </c>
      <c r="D733" s="4" t="s">
        <v>1209</v>
      </c>
      <c r="E733" s="4" t="s">
        <v>1392</v>
      </c>
      <c r="F733" s="4" t="s">
        <v>1390</v>
      </c>
      <c r="G733" s="4" t="s">
        <v>3489</v>
      </c>
      <c r="H733" s="4" t="s">
        <v>3725</v>
      </c>
      <c r="I733" s="4" t="s">
        <v>3726</v>
      </c>
      <c r="J733" s="4" t="s">
        <v>2051</v>
      </c>
      <c r="K733" s="4" t="s">
        <v>2053</v>
      </c>
      <c r="L733" s="4" t="s">
        <v>3727</v>
      </c>
      <c r="M733" s="4" t="s">
        <v>1472</v>
      </c>
      <c r="N733" s="1" t="s">
        <v>1472</v>
      </c>
    </row>
    <row r="734">
      <c r="A734" s="33" t="s">
        <v>3835</v>
      </c>
      <c r="B734" s="33" t="s">
        <v>3836</v>
      </c>
      <c r="C734" s="13" t="s">
        <v>1209</v>
      </c>
      <c r="D734" s="4" t="s">
        <v>1209</v>
      </c>
      <c r="E734" s="4" t="s">
        <v>1392</v>
      </c>
      <c r="F734" s="4" t="s">
        <v>1390</v>
      </c>
      <c r="G734" s="4" t="s">
        <v>3489</v>
      </c>
      <c r="H734" s="4" t="s">
        <v>3837</v>
      </c>
      <c r="I734" s="4" t="s">
        <v>3838</v>
      </c>
      <c r="J734" s="4" t="s">
        <v>295</v>
      </c>
      <c r="K734" s="4" t="s">
        <v>3839</v>
      </c>
      <c r="L734" s="4" t="s">
        <v>3840</v>
      </c>
      <c r="M734" s="4" t="s">
        <v>1472</v>
      </c>
      <c r="N734" s="1" t="s">
        <v>1472</v>
      </c>
    </row>
    <row r="735">
      <c r="A735" s="33" t="s">
        <v>3841</v>
      </c>
      <c r="B735" s="33" t="s">
        <v>3842</v>
      </c>
      <c r="C735" s="13" t="s">
        <v>1209</v>
      </c>
      <c r="D735" s="4" t="s">
        <v>1209</v>
      </c>
      <c r="E735" s="4" t="s">
        <v>1392</v>
      </c>
      <c r="F735" s="4" t="s">
        <v>1390</v>
      </c>
      <c r="G735" s="4" t="s">
        <v>3489</v>
      </c>
      <c r="H735" s="4" t="s">
        <v>3717</v>
      </c>
      <c r="I735" s="4" t="s">
        <v>3718</v>
      </c>
      <c r="J735" s="4" t="s">
        <v>295</v>
      </c>
      <c r="K735" s="4" t="s">
        <v>3721</v>
      </c>
      <c r="L735" s="4" t="s">
        <v>3843</v>
      </c>
      <c r="M735" s="4" t="s">
        <v>1472</v>
      </c>
      <c r="N735" s="1" t="s">
        <v>1472</v>
      </c>
    </row>
    <row r="736">
      <c r="A736" s="33" t="s">
        <v>3844</v>
      </c>
      <c r="B736" s="33" t="s">
        <v>3845</v>
      </c>
      <c r="C736" s="13" t="s">
        <v>1209</v>
      </c>
      <c r="D736" s="4" t="s">
        <v>1209</v>
      </c>
      <c r="E736" s="4" t="s">
        <v>1392</v>
      </c>
      <c r="F736" s="4" t="s">
        <v>1390</v>
      </c>
      <c r="G736" s="4" t="s">
        <v>3489</v>
      </c>
      <c r="H736" s="4" t="s">
        <v>3846</v>
      </c>
      <c r="I736" s="4" t="s">
        <v>3847</v>
      </c>
      <c r="J736" s="4" t="s">
        <v>213</v>
      </c>
      <c r="K736" s="4" t="s">
        <v>2722</v>
      </c>
      <c r="L736" s="4" t="s">
        <v>3848</v>
      </c>
      <c r="M736" s="4" t="s">
        <v>1472</v>
      </c>
      <c r="N736" s="1" t="s">
        <v>1472</v>
      </c>
    </row>
    <row r="737">
      <c r="A737" s="33" t="s">
        <v>3358</v>
      </c>
      <c r="B737" s="33" t="s">
        <v>3850</v>
      </c>
      <c r="C737" s="13" t="s">
        <v>1209</v>
      </c>
      <c r="D737" s="4" t="s">
        <v>1209</v>
      </c>
      <c r="E737" s="4" t="s">
        <v>1392</v>
      </c>
      <c r="F737" s="4" t="s">
        <v>1390</v>
      </c>
      <c r="G737" s="4" t="s">
        <v>3489</v>
      </c>
      <c r="H737" s="4" t="s">
        <v>3717</v>
      </c>
      <c r="I737" s="4" t="s">
        <v>3718</v>
      </c>
      <c r="J737" s="4" t="s">
        <v>295</v>
      </c>
      <c r="K737" s="4" t="s">
        <v>3721</v>
      </c>
      <c r="L737" s="4" t="s">
        <v>3722</v>
      </c>
      <c r="M737" s="4" t="s">
        <v>1472</v>
      </c>
      <c r="N737" s="1" t="s">
        <v>1472</v>
      </c>
    </row>
    <row r="738">
      <c r="A738" s="33" t="s">
        <v>3222</v>
      </c>
      <c r="B738" s="33" t="s">
        <v>3851</v>
      </c>
      <c r="C738" s="13" t="s">
        <v>1209</v>
      </c>
      <c r="D738" s="4" t="s">
        <v>1209</v>
      </c>
      <c r="E738" s="4" t="s">
        <v>1392</v>
      </c>
      <c r="F738" s="4" t="s">
        <v>1390</v>
      </c>
      <c r="G738" s="4" t="s">
        <v>3489</v>
      </c>
      <c r="H738" s="4" t="s">
        <v>3852</v>
      </c>
      <c r="I738" s="4" t="s">
        <v>3853</v>
      </c>
      <c r="J738" s="4" t="s">
        <v>2031</v>
      </c>
      <c r="K738" s="4" t="s">
        <v>2033</v>
      </c>
      <c r="L738" s="4" t="s">
        <v>3854</v>
      </c>
      <c r="M738" s="4" t="s">
        <v>1472</v>
      </c>
      <c r="N738" s="1" t="s">
        <v>1472</v>
      </c>
    </row>
    <row r="739">
      <c r="A739" s="33" t="s">
        <v>3855</v>
      </c>
      <c r="B739" s="33" t="s">
        <v>3856</v>
      </c>
      <c r="C739" s="13" t="s">
        <v>1209</v>
      </c>
      <c r="D739" s="4" t="s">
        <v>1209</v>
      </c>
      <c r="E739" s="4" t="s">
        <v>1392</v>
      </c>
      <c r="F739" s="4" t="s">
        <v>1390</v>
      </c>
      <c r="G739" s="4" t="s">
        <v>3489</v>
      </c>
      <c r="H739" s="4" t="s">
        <v>3837</v>
      </c>
      <c r="I739" s="4" t="s">
        <v>3838</v>
      </c>
      <c r="J739" s="4" t="s">
        <v>295</v>
      </c>
      <c r="K739" s="4" t="s">
        <v>3839</v>
      </c>
      <c r="L739" s="4" t="s">
        <v>3840</v>
      </c>
      <c r="M739" s="4" t="s">
        <v>1472</v>
      </c>
      <c r="N739" s="1" t="s">
        <v>1472</v>
      </c>
    </row>
    <row r="740">
      <c r="A740" s="33" t="s">
        <v>3236</v>
      </c>
      <c r="B740" s="33" t="s">
        <v>3857</v>
      </c>
      <c r="C740" s="13" t="s">
        <v>1209</v>
      </c>
      <c r="D740" s="4" t="s">
        <v>1209</v>
      </c>
      <c r="E740" s="4" t="s">
        <v>1392</v>
      </c>
      <c r="F740" s="4" t="s">
        <v>1390</v>
      </c>
      <c r="G740" s="4" t="s">
        <v>3489</v>
      </c>
      <c r="H740" s="4" t="s">
        <v>3852</v>
      </c>
      <c r="I740" s="4" t="s">
        <v>3853</v>
      </c>
      <c r="J740" s="4" t="s">
        <v>2031</v>
      </c>
      <c r="K740" s="4" t="s">
        <v>2033</v>
      </c>
      <c r="L740" s="4" t="s">
        <v>3858</v>
      </c>
      <c r="M740" s="4" t="s">
        <v>1472</v>
      </c>
      <c r="N740" s="1" t="s">
        <v>1472</v>
      </c>
    </row>
    <row r="741">
      <c r="A741" s="33" t="s">
        <v>3280</v>
      </c>
      <c r="B741" s="33" t="s">
        <v>3859</v>
      </c>
      <c r="C741" s="13" t="s">
        <v>1209</v>
      </c>
      <c r="D741" s="4" t="s">
        <v>1209</v>
      </c>
      <c r="E741" s="4" t="s">
        <v>1413</v>
      </c>
      <c r="F741" s="4" t="s">
        <v>1390</v>
      </c>
      <c r="G741" s="4" t="s">
        <v>3409</v>
      </c>
      <c r="H741" s="4" t="s">
        <v>3860</v>
      </c>
      <c r="I741" s="4" t="s">
        <v>3861</v>
      </c>
      <c r="J741" s="4" t="s">
        <v>3862</v>
      </c>
      <c r="K741" s="4" t="s">
        <v>3863</v>
      </c>
      <c r="L741" s="4" t="s">
        <v>3864</v>
      </c>
      <c r="M741" s="4" t="s">
        <v>1472</v>
      </c>
      <c r="N741" s="1" t="s">
        <v>1472</v>
      </c>
    </row>
    <row r="742">
      <c r="A742" s="33" t="s">
        <v>3865</v>
      </c>
      <c r="B742" s="33" t="s">
        <v>3866</v>
      </c>
      <c r="C742" s="13" t="s">
        <v>1209</v>
      </c>
      <c r="D742" s="4" t="s">
        <v>1209</v>
      </c>
      <c r="E742" s="4" t="s">
        <v>1392</v>
      </c>
      <c r="F742" s="4" t="s">
        <v>1390</v>
      </c>
      <c r="G742" s="4" t="s">
        <v>3489</v>
      </c>
      <c r="H742" s="4" t="s">
        <v>3717</v>
      </c>
      <c r="I742" s="4" t="s">
        <v>3718</v>
      </c>
      <c r="J742" s="4" t="s">
        <v>295</v>
      </c>
      <c r="K742" s="4" t="s">
        <v>3721</v>
      </c>
      <c r="L742" s="4" t="s">
        <v>3867</v>
      </c>
      <c r="M742" s="4" t="s">
        <v>1472</v>
      </c>
      <c r="N742" s="1" t="s">
        <v>1472</v>
      </c>
    </row>
    <row r="743">
      <c r="A743" s="33" t="s">
        <v>2953</v>
      </c>
      <c r="B743" s="33" t="s">
        <v>3868</v>
      </c>
      <c r="C743" s="13" t="s">
        <v>1209</v>
      </c>
      <c r="D743" s="4" t="s">
        <v>1209</v>
      </c>
      <c r="E743" s="4" t="s">
        <v>1663</v>
      </c>
      <c r="F743" s="4" t="s">
        <v>1390</v>
      </c>
      <c r="G743" s="4" t="s">
        <v>3573</v>
      </c>
      <c r="H743" s="4" t="s">
        <v>3869</v>
      </c>
      <c r="I743" s="4" t="s">
        <v>3870</v>
      </c>
      <c r="J743" s="4" t="s">
        <v>1050</v>
      </c>
      <c r="K743" s="4" t="s">
        <v>3871</v>
      </c>
      <c r="L743" s="4" t="s">
        <v>3815</v>
      </c>
      <c r="M743" s="4" t="s">
        <v>1472</v>
      </c>
      <c r="N743" s="1" t="s">
        <v>1472</v>
      </c>
    </row>
    <row r="744">
      <c r="A744" s="33" t="s">
        <v>3872</v>
      </c>
      <c r="B744" s="33" t="s">
        <v>3873</v>
      </c>
      <c r="C744" s="13" t="s">
        <v>1209</v>
      </c>
      <c r="D744" s="4" t="s">
        <v>1209</v>
      </c>
      <c r="E744" s="4" t="s">
        <v>1392</v>
      </c>
      <c r="F744" s="4" t="s">
        <v>1390</v>
      </c>
      <c r="G744" s="4" t="s">
        <v>3489</v>
      </c>
      <c r="H744" s="4" t="s">
        <v>3725</v>
      </c>
      <c r="I744" s="4" t="s">
        <v>3726</v>
      </c>
      <c r="J744" s="4" t="s">
        <v>2051</v>
      </c>
      <c r="K744" s="4" t="s">
        <v>2053</v>
      </c>
      <c r="L744" s="4" t="s">
        <v>3727</v>
      </c>
      <c r="M744" s="4" t="s">
        <v>1472</v>
      </c>
      <c r="N744" s="1" t="s">
        <v>1472</v>
      </c>
    </row>
    <row r="745">
      <c r="A745" s="33" t="s">
        <v>3874</v>
      </c>
      <c r="B745" s="33" t="s">
        <v>3875</v>
      </c>
      <c r="C745" s="13" t="s">
        <v>1209</v>
      </c>
      <c r="D745" s="4" t="s">
        <v>1209</v>
      </c>
      <c r="E745" s="4" t="s">
        <v>1663</v>
      </c>
      <c r="F745" s="4" t="s">
        <v>1390</v>
      </c>
      <c r="G745" s="4" t="s">
        <v>3573</v>
      </c>
      <c r="H745" s="4" t="s">
        <v>3876</v>
      </c>
      <c r="I745" s="4" t="s">
        <v>3877</v>
      </c>
      <c r="J745" s="4" t="s">
        <v>1461</v>
      </c>
      <c r="K745" s="4" t="s">
        <v>3576</v>
      </c>
      <c r="L745" s="4" t="s">
        <v>3878</v>
      </c>
      <c r="M745" s="4" t="s">
        <v>1472</v>
      </c>
      <c r="N745" s="1" t="s">
        <v>1472</v>
      </c>
    </row>
    <row r="746">
      <c r="A746" s="33" t="s">
        <v>3879</v>
      </c>
      <c r="B746" s="33" t="s">
        <v>3880</v>
      </c>
      <c r="C746" s="13" t="s">
        <v>1209</v>
      </c>
      <c r="D746" s="4" t="s">
        <v>1209</v>
      </c>
      <c r="E746" s="4" t="s">
        <v>1663</v>
      </c>
      <c r="F746" s="4" t="s">
        <v>1390</v>
      </c>
      <c r="G746" s="4" t="s">
        <v>3573</v>
      </c>
      <c r="H746" s="4" t="s">
        <v>3881</v>
      </c>
      <c r="I746" s="4" t="s">
        <v>3882</v>
      </c>
      <c r="J746" s="4" t="s">
        <v>1050</v>
      </c>
      <c r="K746" s="4" t="s">
        <v>3883</v>
      </c>
      <c r="L746" s="4" t="s">
        <v>3884</v>
      </c>
      <c r="M746" s="4" t="s">
        <v>1472</v>
      </c>
      <c r="N746" s="1" t="s">
        <v>1472</v>
      </c>
    </row>
    <row r="747">
      <c r="A747" s="33" t="s">
        <v>2731</v>
      </c>
      <c r="B747" s="33" t="s">
        <v>3885</v>
      </c>
      <c r="C747" s="13" t="s">
        <v>1209</v>
      </c>
      <c r="D747" s="4" t="s">
        <v>1209</v>
      </c>
      <c r="E747" s="4" t="s">
        <v>1663</v>
      </c>
      <c r="F747" s="4" t="s">
        <v>1390</v>
      </c>
      <c r="G747" s="4" t="s">
        <v>3573</v>
      </c>
      <c r="H747" s="4" t="s">
        <v>3756</v>
      </c>
      <c r="I747" s="4" t="s">
        <v>3757</v>
      </c>
      <c r="J747" s="4" t="s">
        <v>1104</v>
      </c>
      <c r="K747" s="4" t="s">
        <v>3758</v>
      </c>
      <c r="L747" s="4" t="s">
        <v>3886</v>
      </c>
      <c r="M747" s="4" t="s">
        <v>1472</v>
      </c>
      <c r="N747" s="1" t="s">
        <v>1472</v>
      </c>
    </row>
    <row r="748">
      <c r="A748" s="33" t="s">
        <v>3887</v>
      </c>
      <c r="B748" s="33" t="s">
        <v>3888</v>
      </c>
      <c r="C748" s="13" t="s">
        <v>1209</v>
      </c>
      <c r="D748" s="4" t="s">
        <v>1209</v>
      </c>
      <c r="E748" s="4" t="s">
        <v>1392</v>
      </c>
      <c r="F748" s="4" t="s">
        <v>1390</v>
      </c>
      <c r="G748" s="4" t="s">
        <v>3489</v>
      </c>
      <c r="H748" s="4" t="s">
        <v>3889</v>
      </c>
      <c r="I748" s="4" t="s">
        <v>3890</v>
      </c>
      <c r="J748" s="4" t="s">
        <v>1104</v>
      </c>
      <c r="K748" s="4" t="s">
        <v>3891</v>
      </c>
      <c r="L748" s="4" t="s">
        <v>3892</v>
      </c>
      <c r="M748" s="4" t="s">
        <v>1472</v>
      </c>
      <c r="N748" s="1" t="s">
        <v>1472</v>
      </c>
      <c r="V748" s="35"/>
    </row>
    <row r="749">
      <c r="A749" s="33" t="s">
        <v>3893</v>
      </c>
      <c r="B749" s="33" t="s">
        <v>3894</v>
      </c>
      <c r="C749" s="13" t="s">
        <v>1209</v>
      </c>
      <c r="D749" s="4" t="s">
        <v>1209</v>
      </c>
      <c r="E749" s="4" t="s">
        <v>1392</v>
      </c>
      <c r="F749" s="4" t="s">
        <v>1390</v>
      </c>
      <c r="G749" s="4" t="s">
        <v>3489</v>
      </c>
      <c r="H749" s="4" t="s">
        <v>3725</v>
      </c>
      <c r="I749" s="4" t="s">
        <v>3726</v>
      </c>
      <c r="J749" s="4" t="s">
        <v>2051</v>
      </c>
      <c r="K749" s="4" t="s">
        <v>2053</v>
      </c>
      <c r="L749" s="4" t="s">
        <v>3727</v>
      </c>
      <c r="M749" s="4" t="s">
        <v>1472</v>
      </c>
      <c r="N749" s="1" t="s">
        <v>1472</v>
      </c>
    </row>
    <row r="750">
      <c r="A750" s="33" t="s">
        <v>2692</v>
      </c>
      <c r="B750" s="33" t="s">
        <v>3897</v>
      </c>
      <c r="C750" s="13" t="s">
        <v>1209</v>
      </c>
      <c r="D750" s="4" t="s">
        <v>1209</v>
      </c>
      <c r="E750" s="4" t="s">
        <v>1663</v>
      </c>
      <c r="F750" s="4" t="s">
        <v>1390</v>
      </c>
      <c r="G750" s="4" t="s">
        <v>3573</v>
      </c>
      <c r="H750" s="4" t="s">
        <v>3898</v>
      </c>
      <c r="I750" s="4" t="s">
        <v>3899</v>
      </c>
      <c r="J750" s="4" t="s">
        <v>1050</v>
      </c>
      <c r="K750" s="4" t="s">
        <v>3900</v>
      </c>
      <c r="L750" s="4" t="s">
        <v>3901</v>
      </c>
      <c r="M750" s="4" t="s">
        <v>1472</v>
      </c>
      <c r="N750" s="1" t="s">
        <v>1472</v>
      </c>
    </row>
    <row r="751">
      <c r="A751" s="33" t="s">
        <v>3802</v>
      </c>
      <c r="B751" s="33" t="s">
        <v>3902</v>
      </c>
      <c r="C751" s="13" t="s">
        <v>1209</v>
      </c>
      <c r="D751" s="4" t="s">
        <v>1209</v>
      </c>
      <c r="E751" s="4" t="s">
        <v>1392</v>
      </c>
      <c r="F751" s="4" t="s">
        <v>1390</v>
      </c>
      <c r="G751" s="4" t="s">
        <v>3489</v>
      </c>
      <c r="H751" s="4" t="s">
        <v>3903</v>
      </c>
      <c r="I751" s="4" t="s">
        <v>3904</v>
      </c>
      <c r="J751" s="4" t="s">
        <v>1104</v>
      </c>
      <c r="K751" s="4" t="s">
        <v>3905</v>
      </c>
      <c r="L751" s="4" t="s">
        <v>3906</v>
      </c>
      <c r="M751" s="4" t="s">
        <v>1472</v>
      </c>
      <c r="N751" s="1" t="s">
        <v>1472</v>
      </c>
    </row>
    <row r="752">
      <c r="A752" s="33" t="s">
        <v>3907</v>
      </c>
      <c r="B752" s="33" t="s">
        <v>3908</v>
      </c>
      <c r="C752" s="13" t="s">
        <v>1209</v>
      </c>
      <c r="D752" s="4" t="s">
        <v>1209</v>
      </c>
      <c r="E752" s="4" t="s">
        <v>1392</v>
      </c>
      <c r="F752" s="4" t="s">
        <v>1390</v>
      </c>
      <c r="G752" s="4" t="s">
        <v>3489</v>
      </c>
      <c r="H752" s="4" t="s">
        <v>3756</v>
      </c>
      <c r="I752" s="4" t="s">
        <v>3757</v>
      </c>
      <c r="J752" s="4" t="s">
        <v>1104</v>
      </c>
      <c r="K752" s="4" t="s">
        <v>3758</v>
      </c>
      <c r="L752" s="4" t="s">
        <v>3911</v>
      </c>
      <c r="M752" s="4" t="s">
        <v>1472</v>
      </c>
      <c r="N752" s="1" t="s">
        <v>1472</v>
      </c>
    </row>
    <row r="753">
      <c r="A753" s="33" t="s">
        <v>2055</v>
      </c>
      <c r="B753" s="33" t="s">
        <v>3912</v>
      </c>
      <c r="C753" s="13" t="s">
        <v>1209</v>
      </c>
      <c r="D753" s="4" t="s">
        <v>1209</v>
      </c>
      <c r="E753" s="4" t="s">
        <v>1392</v>
      </c>
      <c r="F753" s="4" t="s">
        <v>1390</v>
      </c>
      <c r="G753" s="4" t="s">
        <v>3489</v>
      </c>
      <c r="H753" s="4" t="s">
        <v>3725</v>
      </c>
      <c r="I753" s="4" t="s">
        <v>3726</v>
      </c>
      <c r="J753" s="4" t="s">
        <v>2051</v>
      </c>
      <c r="K753" s="4" t="s">
        <v>2053</v>
      </c>
      <c r="L753" s="4" t="s">
        <v>3727</v>
      </c>
      <c r="M753" s="4" t="s">
        <v>1472</v>
      </c>
      <c r="N753" s="1" t="s">
        <v>1472</v>
      </c>
    </row>
    <row r="754">
      <c r="A754" s="33" t="s">
        <v>3915</v>
      </c>
      <c r="B754" s="33" t="s">
        <v>3916</v>
      </c>
      <c r="C754" s="13" t="s">
        <v>1209</v>
      </c>
      <c r="D754" s="4" t="s">
        <v>1209</v>
      </c>
      <c r="E754" s="4" t="s">
        <v>1663</v>
      </c>
      <c r="F754" s="4" t="s">
        <v>1390</v>
      </c>
      <c r="G754" s="4" t="s">
        <v>3573</v>
      </c>
      <c r="H754" s="4" t="s">
        <v>3706</v>
      </c>
      <c r="I754" s="4" t="s">
        <v>3707</v>
      </c>
      <c r="J754" s="4" t="s">
        <v>564</v>
      </c>
      <c r="K754" s="4" t="s">
        <v>1673</v>
      </c>
      <c r="L754" s="4" t="s">
        <v>3917</v>
      </c>
      <c r="M754" s="4" t="s">
        <v>1472</v>
      </c>
      <c r="N754" s="1" t="s">
        <v>1472</v>
      </c>
    </row>
    <row r="755">
      <c r="A755" s="33" t="s">
        <v>3918</v>
      </c>
      <c r="B755" s="33" t="s">
        <v>3919</v>
      </c>
      <c r="C755" s="13" t="s">
        <v>1209</v>
      </c>
      <c r="D755" s="4" t="s">
        <v>1209</v>
      </c>
      <c r="E755" s="4" t="s">
        <v>1663</v>
      </c>
      <c r="F755" s="4" t="s">
        <v>1390</v>
      </c>
      <c r="G755" s="4" t="s">
        <v>3573</v>
      </c>
      <c r="H755" s="4" t="s">
        <v>3921</v>
      </c>
      <c r="I755" s="4" t="s">
        <v>3771</v>
      </c>
      <c r="J755" s="4" t="s">
        <v>1050</v>
      </c>
      <c r="K755" s="4" t="s">
        <v>2652</v>
      </c>
      <c r="L755" s="4" t="s">
        <v>3922</v>
      </c>
      <c r="M755" s="4" t="s">
        <v>1472</v>
      </c>
      <c r="N755" s="1" t="s">
        <v>1472</v>
      </c>
    </row>
    <row r="756">
      <c r="A756" s="33" t="s">
        <v>3923</v>
      </c>
      <c r="B756" s="33" t="s">
        <v>3924</v>
      </c>
      <c r="C756" s="13" t="s">
        <v>1209</v>
      </c>
      <c r="D756" s="4" t="s">
        <v>1209</v>
      </c>
      <c r="E756" s="4" t="s">
        <v>1663</v>
      </c>
      <c r="F756" s="4" t="s">
        <v>1390</v>
      </c>
      <c r="G756" s="4" t="s">
        <v>3573</v>
      </c>
      <c r="H756" s="4" t="s">
        <v>3921</v>
      </c>
      <c r="I756" s="4" t="s">
        <v>3771</v>
      </c>
      <c r="J756" s="4" t="s">
        <v>1050</v>
      </c>
      <c r="K756" s="4" t="s">
        <v>2652</v>
      </c>
      <c r="L756" s="4" t="s">
        <v>1349</v>
      </c>
      <c r="M756" s="4" t="s">
        <v>1472</v>
      </c>
      <c r="N756" s="1" t="s">
        <v>1472</v>
      </c>
    </row>
    <row r="757">
      <c r="A757" s="33" t="s">
        <v>3925</v>
      </c>
      <c r="B757" s="33" t="s">
        <v>3926</v>
      </c>
      <c r="C757" s="13" t="s">
        <v>1209</v>
      </c>
      <c r="D757" s="4" t="s">
        <v>1209</v>
      </c>
      <c r="E757" s="4" t="s">
        <v>1663</v>
      </c>
      <c r="F757" s="4" t="s">
        <v>1390</v>
      </c>
      <c r="G757" s="4" t="s">
        <v>3573</v>
      </c>
      <c r="H757" s="4" t="s">
        <v>3770</v>
      </c>
      <c r="I757" s="4" t="s">
        <v>3771</v>
      </c>
      <c r="J757" s="4" t="s">
        <v>1050</v>
      </c>
      <c r="K757" s="4" t="s">
        <v>3772</v>
      </c>
      <c r="L757" s="4" t="s">
        <v>3737</v>
      </c>
      <c r="M757" s="4" t="s">
        <v>1472</v>
      </c>
      <c r="N757" s="1" t="s">
        <v>1472</v>
      </c>
    </row>
    <row r="758">
      <c r="A758" s="33" t="s">
        <v>3929</v>
      </c>
      <c r="B758" s="33" t="s">
        <v>3930</v>
      </c>
      <c r="C758" s="13" t="s">
        <v>1209</v>
      </c>
      <c r="D758" s="4" t="s">
        <v>1209</v>
      </c>
      <c r="E758" s="4" t="s">
        <v>1392</v>
      </c>
      <c r="F758" s="4" t="s">
        <v>1390</v>
      </c>
      <c r="G758" s="4" t="s">
        <v>3489</v>
      </c>
      <c r="H758" s="4" t="s">
        <v>3931</v>
      </c>
      <c r="I758" s="4" t="s">
        <v>3932</v>
      </c>
      <c r="J758" s="4" t="s">
        <v>295</v>
      </c>
      <c r="K758" s="4" t="s">
        <v>3933</v>
      </c>
      <c r="L758" s="4" t="s">
        <v>3934</v>
      </c>
      <c r="M758" s="4" t="s">
        <v>1472</v>
      </c>
      <c r="N758" s="1" t="s">
        <v>1472</v>
      </c>
    </row>
    <row r="759">
      <c r="A759" s="33" t="s">
        <v>3935</v>
      </c>
      <c r="B759" s="33" t="s">
        <v>3936</v>
      </c>
      <c r="C759" s="13" t="s">
        <v>1209</v>
      </c>
      <c r="D759" s="4" t="s">
        <v>1209</v>
      </c>
      <c r="E759" s="4" t="s">
        <v>1392</v>
      </c>
      <c r="F759" s="4" t="s">
        <v>1390</v>
      </c>
      <c r="G759" s="4" t="s">
        <v>3489</v>
      </c>
      <c r="H759" s="4" t="s">
        <v>3937</v>
      </c>
      <c r="I759" s="4" t="s">
        <v>3938</v>
      </c>
      <c r="J759" s="4" t="s">
        <v>1050</v>
      </c>
      <c r="K759" s="4" t="s">
        <v>3939</v>
      </c>
      <c r="L759" s="4" t="s">
        <v>3940</v>
      </c>
      <c r="M759" s="4" t="s">
        <v>1472</v>
      </c>
      <c r="N759" s="1" t="s">
        <v>1472</v>
      </c>
    </row>
    <row r="760">
      <c r="A760" s="33" t="s">
        <v>3849</v>
      </c>
      <c r="B760" s="33" t="s">
        <v>3941</v>
      </c>
      <c r="C760" s="13" t="s">
        <v>1209</v>
      </c>
      <c r="D760" s="4" t="s">
        <v>1209</v>
      </c>
      <c r="E760" s="4" t="s">
        <v>1392</v>
      </c>
      <c r="F760" s="4" t="s">
        <v>1390</v>
      </c>
      <c r="G760" s="4" t="s">
        <v>3489</v>
      </c>
      <c r="H760" s="4" t="s">
        <v>3852</v>
      </c>
      <c r="I760" s="4" t="s">
        <v>3853</v>
      </c>
      <c r="J760" s="4" t="s">
        <v>2031</v>
      </c>
      <c r="K760" s="4" t="s">
        <v>2033</v>
      </c>
      <c r="L760" s="4" t="s">
        <v>3942</v>
      </c>
      <c r="M760" s="4" t="s">
        <v>1472</v>
      </c>
      <c r="N760" s="1" t="s">
        <v>1472</v>
      </c>
    </row>
    <row r="761">
      <c r="A761" s="33" t="s">
        <v>3943</v>
      </c>
      <c r="B761" s="33" t="s">
        <v>3944</v>
      </c>
      <c r="C761" s="13" t="s">
        <v>1209</v>
      </c>
      <c r="D761" s="4" t="s">
        <v>1209</v>
      </c>
      <c r="E761" s="4" t="s">
        <v>1392</v>
      </c>
      <c r="F761" s="4" t="s">
        <v>1390</v>
      </c>
      <c r="G761" s="4" t="s">
        <v>3489</v>
      </c>
      <c r="H761" s="4" t="s">
        <v>3931</v>
      </c>
      <c r="I761" s="4" t="s">
        <v>3932</v>
      </c>
      <c r="J761" s="4" t="s">
        <v>295</v>
      </c>
      <c r="K761" s="4" t="s">
        <v>3933</v>
      </c>
      <c r="L761" s="4" t="s">
        <v>3934</v>
      </c>
      <c r="M761" s="4" t="s">
        <v>1472</v>
      </c>
      <c r="N761" s="1" t="s">
        <v>1472</v>
      </c>
    </row>
    <row r="762">
      <c r="A762" s="33" t="s">
        <v>3945</v>
      </c>
      <c r="B762" s="33" t="s">
        <v>3946</v>
      </c>
      <c r="C762" s="13" t="s">
        <v>1209</v>
      </c>
      <c r="D762" s="4" t="s">
        <v>1209</v>
      </c>
      <c r="E762" s="4" t="s">
        <v>1392</v>
      </c>
      <c r="F762" s="4" t="s">
        <v>1390</v>
      </c>
      <c r="G762" s="4" t="s">
        <v>3489</v>
      </c>
      <c r="H762" s="4" t="s">
        <v>3725</v>
      </c>
      <c r="I762" s="4" t="s">
        <v>3726</v>
      </c>
      <c r="J762" s="4" t="s">
        <v>2051</v>
      </c>
      <c r="K762" s="4" t="s">
        <v>2053</v>
      </c>
      <c r="L762" s="4" t="s">
        <v>3727</v>
      </c>
      <c r="M762" s="4" t="s">
        <v>1472</v>
      </c>
      <c r="N762" s="1" t="s">
        <v>1472</v>
      </c>
    </row>
    <row r="763">
      <c r="A763" s="33" t="s">
        <v>3948</v>
      </c>
      <c r="B763" s="33" t="s">
        <v>3949</v>
      </c>
      <c r="C763" s="13" t="s">
        <v>1209</v>
      </c>
      <c r="D763" s="4" t="s">
        <v>1209</v>
      </c>
      <c r="E763" s="4" t="s">
        <v>1392</v>
      </c>
      <c r="F763" s="4" t="s">
        <v>1390</v>
      </c>
      <c r="G763" s="4" t="s">
        <v>3489</v>
      </c>
      <c r="H763" s="4" t="s">
        <v>3725</v>
      </c>
      <c r="I763" s="4" t="s">
        <v>3726</v>
      </c>
      <c r="J763" s="4" t="s">
        <v>2051</v>
      </c>
      <c r="K763" s="4" t="s">
        <v>2053</v>
      </c>
      <c r="L763" s="4" t="s">
        <v>3727</v>
      </c>
      <c r="M763" s="4" t="s">
        <v>1472</v>
      </c>
      <c r="N763" s="1" t="s">
        <v>1472</v>
      </c>
    </row>
    <row r="764">
      <c r="A764" s="33" t="s">
        <v>2047</v>
      </c>
      <c r="B764" s="33" t="s">
        <v>3950</v>
      </c>
      <c r="C764" s="13" t="s">
        <v>1209</v>
      </c>
      <c r="D764" s="4" t="s">
        <v>1209</v>
      </c>
      <c r="E764" s="4" t="s">
        <v>1392</v>
      </c>
      <c r="F764" s="4" t="s">
        <v>1390</v>
      </c>
      <c r="G764" s="4" t="s">
        <v>3489</v>
      </c>
      <c r="H764" s="4" t="s">
        <v>3725</v>
      </c>
      <c r="I764" s="4" t="s">
        <v>3726</v>
      </c>
      <c r="J764" s="4" t="s">
        <v>2051</v>
      </c>
      <c r="K764" s="4" t="s">
        <v>2053</v>
      </c>
      <c r="L764" s="4" t="s">
        <v>3727</v>
      </c>
      <c r="M764" s="4" t="s">
        <v>1472</v>
      </c>
      <c r="N764" s="1" t="s">
        <v>1472</v>
      </c>
    </row>
    <row r="765">
      <c r="A765" s="33" t="s">
        <v>3253</v>
      </c>
      <c r="B765" s="33" t="s">
        <v>3951</v>
      </c>
      <c r="C765" s="13" t="s">
        <v>1209</v>
      </c>
      <c r="D765" s="4" t="s">
        <v>1209</v>
      </c>
      <c r="E765" s="4" t="s">
        <v>1392</v>
      </c>
      <c r="F765" s="4" t="s">
        <v>1390</v>
      </c>
      <c r="G765" s="4" t="s">
        <v>3489</v>
      </c>
      <c r="H765" s="4" t="s">
        <v>3852</v>
      </c>
      <c r="I765" s="4" t="s">
        <v>3853</v>
      </c>
      <c r="J765" s="4" t="s">
        <v>2031</v>
      </c>
      <c r="K765" s="4" t="s">
        <v>2033</v>
      </c>
      <c r="L765" s="4" t="s">
        <v>1209</v>
      </c>
      <c r="M765" s="4" t="s">
        <v>1472</v>
      </c>
      <c r="N765" s="1" t="s">
        <v>1472</v>
      </c>
    </row>
    <row r="766">
      <c r="A766" s="33" t="s">
        <v>3273</v>
      </c>
      <c r="B766" s="33" t="s">
        <v>3952</v>
      </c>
      <c r="C766" s="13" t="s">
        <v>1209</v>
      </c>
      <c r="D766" s="4" t="s">
        <v>1209</v>
      </c>
      <c r="E766" s="4" t="s">
        <v>1392</v>
      </c>
      <c r="F766" s="4" t="s">
        <v>1390</v>
      </c>
      <c r="G766" s="4" t="s">
        <v>3489</v>
      </c>
      <c r="H766" s="4" t="s">
        <v>3852</v>
      </c>
      <c r="I766" s="4" t="s">
        <v>3853</v>
      </c>
      <c r="J766" s="4" t="s">
        <v>2031</v>
      </c>
      <c r="K766" s="4" t="s">
        <v>2033</v>
      </c>
      <c r="L766" s="4" t="s">
        <v>1209</v>
      </c>
      <c r="M766" s="4" t="s">
        <v>1472</v>
      </c>
      <c r="N766" s="1" t="s">
        <v>1472</v>
      </c>
    </row>
    <row r="767">
      <c r="A767" s="33" t="s">
        <v>3226</v>
      </c>
      <c r="B767" s="33" t="s">
        <v>3954</v>
      </c>
      <c r="C767" s="13" t="s">
        <v>1209</v>
      </c>
      <c r="D767" s="4" t="s">
        <v>1209</v>
      </c>
      <c r="E767" s="4" t="s">
        <v>1392</v>
      </c>
      <c r="F767" s="4" t="s">
        <v>1390</v>
      </c>
      <c r="G767" s="4" t="s">
        <v>3489</v>
      </c>
      <c r="H767" s="4" t="s">
        <v>3852</v>
      </c>
      <c r="I767" s="4" t="s">
        <v>3853</v>
      </c>
      <c r="J767" s="4" t="s">
        <v>2031</v>
      </c>
      <c r="K767" s="4" t="s">
        <v>2033</v>
      </c>
      <c r="L767" s="4" t="s">
        <v>1209</v>
      </c>
      <c r="M767" s="4" t="s">
        <v>1472</v>
      </c>
      <c r="N767" s="1" t="s">
        <v>1472</v>
      </c>
    </row>
    <row r="768">
      <c r="A768" s="33" t="s">
        <v>3685</v>
      </c>
      <c r="B768" s="33" t="s">
        <v>3955</v>
      </c>
      <c r="C768" s="13" t="s">
        <v>1209</v>
      </c>
      <c r="D768" s="4" t="s">
        <v>1209</v>
      </c>
      <c r="E768" s="4" t="s">
        <v>1392</v>
      </c>
      <c r="F768" s="4" t="s">
        <v>1390</v>
      </c>
      <c r="G768" s="4" t="s">
        <v>3489</v>
      </c>
      <c r="H768" s="4" t="s">
        <v>3852</v>
      </c>
      <c r="I768" s="4" t="s">
        <v>3853</v>
      </c>
      <c r="J768" s="4" t="s">
        <v>2031</v>
      </c>
      <c r="K768" s="4" t="s">
        <v>2033</v>
      </c>
      <c r="L768" s="4" t="s">
        <v>3956</v>
      </c>
      <c r="M768" s="4" t="s">
        <v>1472</v>
      </c>
      <c r="N768" s="1" t="s">
        <v>1472</v>
      </c>
    </row>
    <row r="769">
      <c r="A769" s="33" t="s">
        <v>3957</v>
      </c>
      <c r="B769" s="33" t="s">
        <v>3958</v>
      </c>
      <c r="C769" s="13" t="s">
        <v>1209</v>
      </c>
      <c r="D769" s="4" t="s">
        <v>1209</v>
      </c>
      <c r="E769" s="4" t="s">
        <v>1663</v>
      </c>
      <c r="F769" s="4" t="s">
        <v>1390</v>
      </c>
      <c r="G769" s="4" t="s">
        <v>3573</v>
      </c>
      <c r="H769" s="4" t="s">
        <v>3959</v>
      </c>
      <c r="I769" s="4" t="s">
        <v>3960</v>
      </c>
      <c r="J769" s="4" t="s">
        <v>1050</v>
      </c>
      <c r="K769" s="4" t="s">
        <v>3961</v>
      </c>
      <c r="L769" s="4" t="s">
        <v>3962</v>
      </c>
      <c r="M769" s="4" t="s">
        <v>1472</v>
      </c>
      <c r="N769" s="1" t="s">
        <v>1472</v>
      </c>
    </row>
    <row r="770">
      <c r="A770" s="33" t="s">
        <v>3086</v>
      </c>
      <c r="B770" s="33" t="s">
        <v>3963</v>
      </c>
      <c r="C770" s="13" t="s">
        <v>1209</v>
      </c>
      <c r="D770" s="4" t="s">
        <v>1209</v>
      </c>
      <c r="E770" s="4" t="s">
        <v>1663</v>
      </c>
      <c r="F770" s="4" t="s">
        <v>1390</v>
      </c>
      <c r="G770" s="4" t="s">
        <v>3573</v>
      </c>
      <c r="H770" s="4" t="s">
        <v>3964</v>
      </c>
      <c r="I770" s="4" t="s">
        <v>3965</v>
      </c>
      <c r="J770" s="4" t="s">
        <v>1050</v>
      </c>
      <c r="K770" s="4" t="s">
        <v>3966</v>
      </c>
      <c r="L770" s="4" t="s">
        <v>3962</v>
      </c>
      <c r="M770" s="4" t="s">
        <v>1472</v>
      </c>
      <c r="N770" s="1" t="s">
        <v>1472</v>
      </c>
    </row>
    <row r="771">
      <c r="A771" s="33" t="s">
        <v>3967</v>
      </c>
      <c r="B771" s="33" t="s">
        <v>3968</v>
      </c>
      <c r="C771" s="13" t="s">
        <v>1209</v>
      </c>
      <c r="D771" s="4" t="s">
        <v>1209</v>
      </c>
      <c r="E771" s="4" t="s">
        <v>1663</v>
      </c>
      <c r="F771" s="4" t="s">
        <v>1390</v>
      </c>
      <c r="G771" s="4" t="s">
        <v>3573</v>
      </c>
      <c r="H771" s="4" t="s">
        <v>3921</v>
      </c>
      <c r="I771" s="4" t="s">
        <v>3771</v>
      </c>
      <c r="J771" s="4" t="s">
        <v>1050</v>
      </c>
      <c r="K771" s="4" t="s">
        <v>2652</v>
      </c>
      <c r="L771" s="4" t="s">
        <v>3970</v>
      </c>
      <c r="M771" s="4" t="s">
        <v>1472</v>
      </c>
      <c r="N771" s="1" t="s">
        <v>1472</v>
      </c>
    </row>
    <row r="772">
      <c r="A772" s="33" t="s">
        <v>3971</v>
      </c>
      <c r="B772" s="33" t="s">
        <v>3972</v>
      </c>
      <c r="C772" s="13" t="s">
        <v>1209</v>
      </c>
      <c r="D772" s="4" t="s">
        <v>1209</v>
      </c>
      <c r="E772" s="4" t="s">
        <v>1663</v>
      </c>
      <c r="F772" s="4" t="s">
        <v>1390</v>
      </c>
      <c r="G772" s="4" t="s">
        <v>3573</v>
      </c>
      <c r="H772" s="4" t="s">
        <v>3921</v>
      </c>
      <c r="I772" s="4" t="s">
        <v>3771</v>
      </c>
      <c r="J772" s="4" t="s">
        <v>1050</v>
      </c>
      <c r="K772" s="4" t="s">
        <v>2652</v>
      </c>
      <c r="L772" s="4" t="s">
        <v>3970</v>
      </c>
      <c r="M772" s="4" t="s">
        <v>1472</v>
      </c>
      <c r="N772" s="1" t="s">
        <v>1472</v>
      </c>
    </row>
    <row r="773">
      <c r="A773" s="33" t="s">
        <v>2764</v>
      </c>
      <c r="B773" s="33" t="s">
        <v>3973</v>
      </c>
      <c r="C773" s="13" t="s">
        <v>1209</v>
      </c>
      <c r="D773" s="4" t="s">
        <v>1209</v>
      </c>
      <c r="E773" s="4" t="s">
        <v>1663</v>
      </c>
      <c r="F773" s="4" t="s">
        <v>1390</v>
      </c>
      <c r="G773" s="4" t="s">
        <v>3573</v>
      </c>
      <c r="H773" s="4" t="s">
        <v>3770</v>
      </c>
      <c r="I773" s="4" t="s">
        <v>3771</v>
      </c>
      <c r="J773" s="4" t="s">
        <v>1050</v>
      </c>
      <c r="K773" s="4" t="s">
        <v>3772</v>
      </c>
      <c r="L773" s="4" t="s">
        <v>3962</v>
      </c>
      <c r="M773" s="4" t="s">
        <v>1472</v>
      </c>
      <c r="N773" s="1" t="s">
        <v>1472</v>
      </c>
    </row>
    <row r="774">
      <c r="A774" s="33" t="s">
        <v>3974</v>
      </c>
      <c r="B774" s="33" t="s">
        <v>3976</v>
      </c>
      <c r="C774" s="13" t="s">
        <v>1209</v>
      </c>
      <c r="D774" s="4" t="s">
        <v>1209</v>
      </c>
      <c r="E774" s="4" t="s">
        <v>1392</v>
      </c>
      <c r="F774" s="4" t="s">
        <v>1390</v>
      </c>
      <c r="G774" s="4" t="s">
        <v>3489</v>
      </c>
      <c r="H774" s="4" t="s">
        <v>3852</v>
      </c>
      <c r="I774" s="4" t="s">
        <v>3853</v>
      </c>
      <c r="J774" s="4" t="s">
        <v>2031</v>
      </c>
      <c r="K774" s="4" t="s">
        <v>2033</v>
      </c>
      <c r="L774" s="4" t="s">
        <v>1203</v>
      </c>
      <c r="M774" s="4" t="s">
        <v>1472</v>
      </c>
      <c r="N774" s="1" t="s">
        <v>1472</v>
      </c>
    </row>
    <row r="775">
      <c r="A775" s="33" t="s">
        <v>1389</v>
      </c>
      <c r="B775" s="33" t="s">
        <v>3977</v>
      </c>
      <c r="C775" s="13" t="s">
        <v>1209</v>
      </c>
      <c r="D775" s="4" t="s">
        <v>1209</v>
      </c>
      <c r="E775" s="4" t="s">
        <v>1392</v>
      </c>
      <c r="F775" s="4" t="s">
        <v>1390</v>
      </c>
      <c r="G775" s="4" t="s">
        <v>3489</v>
      </c>
      <c r="H775" s="4" t="s">
        <v>3978</v>
      </c>
      <c r="I775" s="4" t="s">
        <v>3979</v>
      </c>
      <c r="J775" s="4" t="s">
        <v>1104</v>
      </c>
      <c r="K775" s="4" t="s">
        <v>1402</v>
      </c>
      <c r="L775" s="4" t="s">
        <v>3980</v>
      </c>
      <c r="M775" s="4" t="s">
        <v>1472</v>
      </c>
      <c r="N775" s="1" t="s">
        <v>1472</v>
      </c>
    </row>
    <row r="776">
      <c r="A776" s="33" t="s">
        <v>1471</v>
      </c>
      <c r="B776" s="33" t="s">
        <v>3981</v>
      </c>
      <c r="C776" s="13" t="s">
        <v>1209</v>
      </c>
      <c r="D776" s="4" t="s">
        <v>1209</v>
      </c>
      <c r="E776" s="4" t="s">
        <v>1392</v>
      </c>
      <c r="F776" s="4" t="s">
        <v>1390</v>
      </c>
      <c r="G776" s="4" t="s">
        <v>3489</v>
      </c>
      <c r="H776" s="4" t="s">
        <v>3982</v>
      </c>
      <c r="I776" s="4" t="s">
        <v>3983</v>
      </c>
      <c r="J776" s="4" t="s">
        <v>1050</v>
      </c>
      <c r="K776" s="4" t="s">
        <v>1478</v>
      </c>
      <c r="L776" s="4" t="s">
        <v>3984</v>
      </c>
      <c r="M776" s="4" t="s">
        <v>1472</v>
      </c>
      <c r="N776" s="1" t="s">
        <v>1472</v>
      </c>
    </row>
    <row r="777">
      <c r="A777" s="33" t="s">
        <v>3985</v>
      </c>
      <c r="B777" s="33" t="s">
        <v>3986</v>
      </c>
      <c r="C777" s="13" t="s">
        <v>1209</v>
      </c>
      <c r="D777" s="4" t="s">
        <v>1209</v>
      </c>
      <c r="E777" s="4" t="s">
        <v>1392</v>
      </c>
      <c r="F777" s="4" t="s">
        <v>1390</v>
      </c>
      <c r="G777" s="4" t="s">
        <v>3489</v>
      </c>
      <c r="H777" s="4" t="s">
        <v>3987</v>
      </c>
      <c r="I777" s="4" t="s">
        <v>3988</v>
      </c>
      <c r="J777" s="4" t="s">
        <v>1050</v>
      </c>
      <c r="K777" s="4" t="s">
        <v>3989</v>
      </c>
      <c r="L777" s="4" t="s">
        <v>3990</v>
      </c>
      <c r="M777" s="4" t="s">
        <v>1472</v>
      </c>
      <c r="N777" s="1" t="s">
        <v>1472</v>
      </c>
    </row>
    <row r="778">
      <c r="A778" s="33" t="s">
        <v>3991</v>
      </c>
      <c r="B778" s="33" t="s">
        <v>3992</v>
      </c>
      <c r="C778" s="13" t="s">
        <v>1209</v>
      </c>
      <c r="D778" s="4" t="s">
        <v>1209</v>
      </c>
      <c r="E778" s="4" t="s">
        <v>1392</v>
      </c>
      <c r="F778" s="4" t="s">
        <v>1390</v>
      </c>
      <c r="G778" s="4" t="s">
        <v>3489</v>
      </c>
      <c r="H778" s="4" t="s">
        <v>3993</v>
      </c>
      <c r="I778" s="4" t="s">
        <v>3994</v>
      </c>
      <c r="J778" s="4" t="s">
        <v>1764</v>
      </c>
      <c r="K778" s="4" t="s">
        <v>1765</v>
      </c>
      <c r="L778" s="4" t="s">
        <v>3995</v>
      </c>
      <c r="M778" s="4" t="s">
        <v>1472</v>
      </c>
      <c r="N778" s="1" t="s">
        <v>1472</v>
      </c>
    </row>
    <row r="779">
      <c r="A779" s="33" t="s">
        <v>3997</v>
      </c>
      <c r="B779" s="33" t="s">
        <v>3998</v>
      </c>
      <c r="C779" s="13" t="s">
        <v>1209</v>
      </c>
      <c r="D779" s="4" t="s">
        <v>1209</v>
      </c>
      <c r="E779" s="4" t="s">
        <v>1392</v>
      </c>
      <c r="F779" s="4" t="s">
        <v>1390</v>
      </c>
      <c r="G779" s="4" t="s">
        <v>3489</v>
      </c>
      <c r="H779" s="4" t="s">
        <v>3999</v>
      </c>
      <c r="I779" s="4" t="s">
        <v>4000</v>
      </c>
      <c r="J779" s="4" t="s">
        <v>1050</v>
      </c>
      <c r="K779" s="4" t="s">
        <v>4001</v>
      </c>
      <c r="L779" s="4" t="s">
        <v>1209</v>
      </c>
      <c r="M779" s="4" t="s">
        <v>1472</v>
      </c>
      <c r="N779" s="1" t="s">
        <v>1472</v>
      </c>
    </row>
    <row r="780">
      <c r="A780" s="33" t="s">
        <v>4002</v>
      </c>
      <c r="B780" s="33" t="s">
        <v>4003</v>
      </c>
      <c r="C780" s="13" t="s">
        <v>1209</v>
      </c>
      <c r="D780" s="4" t="s">
        <v>1209</v>
      </c>
      <c r="E780" s="4" t="s">
        <v>1392</v>
      </c>
      <c r="F780" s="4" t="s">
        <v>1390</v>
      </c>
      <c r="G780" s="4" t="s">
        <v>3489</v>
      </c>
      <c r="H780" s="4" t="s">
        <v>4004</v>
      </c>
      <c r="I780" s="4" t="s">
        <v>4005</v>
      </c>
      <c r="J780" s="4" t="s">
        <v>4006</v>
      </c>
      <c r="K780" s="4" t="s">
        <v>4007</v>
      </c>
      <c r="L780" s="4" t="s">
        <v>1209</v>
      </c>
      <c r="M780" s="4" t="s">
        <v>1472</v>
      </c>
      <c r="N780" s="1" t="s">
        <v>1472</v>
      </c>
    </row>
    <row r="781">
      <c r="A781" s="33" t="s">
        <v>4008</v>
      </c>
      <c r="B781" s="33" t="s">
        <v>4009</v>
      </c>
      <c r="C781" s="13" t="s">
        <v>1209</v>
      </c>
      <c r="D781" s="4" t="s">
        <v>1209</v>
      </c>
      <c r="E781" s="4" t="s">
        <v>1392</v>
      </c>
      <c r="F781" s="4" t="s">
        <v>1390</v>
      </c>
      <c r="G781" s="4" t="s">
        <v>3489</v>
      </c>
      <c r="H781" s="4" t="s">
        <v>4010</v>
      </c>
      <c r="I781" s="4" t="s">
        <v>4011</v>
      </c>
      <c r="J781" s="4" t="s">
        <v>4006</v>
      </c>
      <c r="K781" s="4" t="s">
        <v>4012</v>
      </c>
      <c r="L781" s="4" t="s">
        <v>4013</v>
      </c>
      <c r="M781" s="4" t="s">
        <v>1472</v>
      </c>
      <c r="N781" s="1" t="s">
        <v>1472</v>
      </c>
    </row>
    <row r="782">
      <c r="A782" s="33" t="s">
        <v>2020</v>
      </c>
      <c r="B782" s="33" t="s">
        <v>4014</v>
      </c>
      <c r="C782" s="13" t="s">
        <v>1209</v>
      </c>
      <c r="D782" s="4" t="s">
        <v>1209</v>
      </c>
      <c r="E782" s="4" t="s">
        <v>1392</v>
      </c>
      <c r="F782" s="4" t="s">
        <v>1390</v>
      </c>
      <c r="G782" s="4" t="s">
        <v>3489</v>
      </c>
      <c r="H782" s="4" t="s">
        <v>3852</v>
      </c>
      <c r="I782" s="4" t="s">
        <v>3853</v>
      </c>
      <c r="J782" s="4" t="s">
        <v>2031</v>
      </c>
      <c r="K782" s="4" t="s">
        <v>2033</v>
      </c>
      <c r="L782" s="14">
        <v>1500.0</v>
      </c>
      <c r="M782" s="14">
        <v>1549.0</v>
      </c>
      <c r="N782" s="1" t="s">
        <v>1472</v>
      </c>
    </row>
    <row r="783">
      <c r="A783" s="33" t="s">
        <v>4015</v>
      </c>
      <c r="B783" s="33" t="s">
        <v>4016</v>
      </c>
      <c r="C783" s="13" t="s">
        <v>1209</v>
      </c>
      <c r="D783" s="4" t="s">
        <v>1209</v>
      </c>
      <c r="E783" s="4" t="s">
        <v>1392</v>
      </c>
      <c r="F783" s="4" t="s">
        <v>1390</v>
      </c>
      <c r="G783" s="4" t="s">
        <v>3489</v>
      </c>
      <c r="H783" s="4" t="s">
        <v>4017</v>
      </c>
      <c r="I783" s="4" t="s">
        <v>4018</v>
      </c>
      <c r="J783" s="4" t="s">
        <v>1050</v>
      </c>
      <c r="K783" s="4" t="s">
        <v>4019</v>
      </c>
      <c r="L783" s="4" t="s">
        <v>4020</v>
      </c>
      <c r="M783" s="4" t="s">
        <v>1472</v>
      </c>
      <c r="N783" s="1" t="s">
        <v>1472</v>
      </c>
    </row>
    <row r="784">
      <c r="A784" s="33" t="s">
        <v>4021</v>
      </c>
      <c r="B784" s="33" t="s">
        <v>4022</v>
      </c>
      <c r="C784" s="13" t="s">
        <v>1209</v>
      </c>
      <c r="D784" s="4" t="s">
        <v>1209</v>
      </c>
      <c r="E784" s="4" t="s">
        <v>1392</v>
      </c>
      <c r="F784" s="4" t="s">
        <v>1390</v>
      </c>
      <c r="G784" s="4" t="s">
        <v>3489</v>
      </c>
      <c r="H784" s="4" t="s">
        <v>4024</v>
      </c>
      <c r="I784" s="4" t="s">
        <v>4025</v>
      </c>
      <c r="J784" s="4" t="s">
        <v>1050</v>
      </c>
      <c r="K784" s="4" t="s">
        <v>4026</v>
      </c>
      <c r="L784" s="4" t="s">
        <v>4027</v>
      </c>
      <c r="M784" s="4" t="s">
        <v>1472</v>
      </c>
      <c r="N784" s="1" t="s">
        <v>1472</v>
      </c>
    </row>
    <row r="785">
      <c r="A785" s="33" t="s">
        <v>4028</v>
      </c>
      <c r="B785" s="33" t="s">
        <v>4029</v>
      </c>
      <c r="C785" s="13" t="s">
        <v>1209</v>
      </c>
      <c r="D785" s="4" t="s">
        <v>1209</v>
      </c>
      <c r="E785" s="4" t="s">
        <v>1392</v>
      </c>
      <c r="F785" s="4" t="s">
        <v>1390</v>
      </c>
      <c r="G785" s="4" t="s">
        <v>3489</v>
      </c>
      <c r="H785" s="4" t="s">
        <v>3937</v>
      </c>
      <c r="I785" s="4" t="s">
        <v>3938</v>
      </c>
      <c r="J785" s="4" t="s">
        <v>1050</v>
      </c>
      <c r="K785" s="4" t="s">
        <v>3939</v>
      </c>
      <c r="L785" s="4" t="s">
        <v>3940</v>
      </c>
      <c r="M785" s="4" t="s">
        <v>1472</v>
      </c>
      <c r="N785" s="1" t="s">
        <v>1472</v>
      </c>
    </row>
    <row r="786">
      <c r="A786" s="33" t="s">
        <v>2107</v>
      </c>
      <c r="B786" s="33" t="s">
        <v>4030</v>
      </c>
      <c r="C786" s="13" t="s">
        <v>1209</v>
      </c>
      <c r="D786" s="4" t="s">
        <v>1209</v>
      </c>
      <c r="E786" s="4" t="s">
        <v>1392</v>
      </c>
      <c r="F786" s="4" t="s">
        <v>1390</v>
      </c>
      <c r="G786" s="4" t="s">
        <v>3489</v>
      </c>
      <c r="H786" s="4" t="s">
        <v>4032</v>
      </c>
      <c r="I786" s="4" t="s">
        <v>4033</v>
      </c>
      <c r="J786" s="4" t="s">
        <v>1250</v>
      </c>
      <c r="K786" s="4" t="s">
        <v>2115</v>
      </c>
      <c r="L786" s="4" t="s">
        <v>4034</v>
      </c>
      <c r="M786" s="4" t="s">
        <v>1472</v>
      </c>
      <c r="N786" s="1" t="s">
        <v>1472</v>
      </c>
    </row>
    <row r="787">
      <c r="A787" s="13" t="s">
        <v>9</v>
      </c>
      <c r="B787" s="13" t="s">
        <v>4035</v>
      </c>
      <c r="C787" s="13" t="s">
        <v>1114</v>
      </c>
      <c r="D787" s="13" t="s">
        <v>1843</v>
      </c>
      <c r="E787" s="13" t="s">
        <v>1687</v>
      </c>
      <c r="F787" s="13" t="s">
        <v>1687</v>
      </c>
      <c r="G787" s="13" t="s">
        <v>1687</v>
      </c>
      <c r="H787" s="14">
        <v>39.7777778</v>
      </c>
      <c r="I787" s="14">
        <v>64.41027778</v>
      </c>
      <c r="J787" s="13" t="s">
        <v>1461</v>
      </c>
      <c r="K787" s="13" t="s">
        <v>1842</v>
      </c>
      <c r="L787" s="36" t="s">
        <v>4038</v>
      </c>
      <c r="M787" s="37">
        <v>1049.0</v>
      </c>
      <c r="N787" s="37">
        <v>750.0</v>
      </c>
    </row>
    <row r="788">
      <c r="A788" s="13" t="s">
        <v>17</v>
      </c>
      <c r="B788" s="13" t="s">
        <v>4035</v>
      </c>
      <c r="C788" s="13" t="s">
        <v>1114</v>
      </c>
      <c r="D788" s="13" t="s">
        <v>1832</v>
      </c>
      <c r="E788" s="13" t="s">
        <v>119</v>
      </c>
      <c r="F788" s="13" t="s">
        <v>121</v>
      </c>
      <c r="G788" s="13" t="s">
        <v>119</v>
      </c>
      <c r="H788" s="14">
        <v>39.9709361</v>
      </c>
      <c r="I788" s="14">
        <v>64.61849722</v>
      </c>
      <c r="J788" s="13" t="s">
        <v>1461</v>
      </c>
      <c r="K788" s="13" t="s">
        <v>1836</v>
      </c>
      <c r="L788" s="36" t="s">
        <v>4040</v>
      </c>
      <c r="M788" s="37">
        <v>2049.0</v>
      </c>
      <c r="N788" s="37">
        <v>1750.0</v>
      </c>
    </row>
    <row r="789">
      <c r="A789" s="13" t="s">
        <v>23</v>
      </c>
      <c r="B789" s="13" t="s">
        <v>4035</v>
      </c>
      <c r="C789" s="13" t="s">
        <v>1114</v>
      </c>
      <c r="D789" s="13" t="s">
        <v>1832</v>
      </c>
      <c r="E789" s="13" t="s">
        <v>1439</v>
      </c>
      <c r="F789" s="13" t="s">
        <v>1438</v>
      </c>
      <c r="G789" s="13" t="s">
        <v>1439</v>
      </c>
      <c r="H789" s="14">
        <v>39.7777778</v>
      </c>
      <c r="I789" s="14">
        <v>64.41027778</v>
      </c>
      <c r="J789" s="13" t="s">
        <v>1461</v>
      </c>
      <c r="K789" s="13" t="s">
        <v>1842</v>
      </c>
      <c r="L789" s="36" t="s">
        <v>4038</v>
      </c>
      <c r="M789" s="37">
        <v>1049.0</v>
      </c>
      <c r="N789" s="37">
        <v>750.0</v>
      </c>
    </row>
    <row r="790">
      <c r="A790" s="13" t="s">
        <v>29</v>
      </c>
      <c r="B790" s="13" t="s">
        <v>4035</v>
      </c>
      <c r="C790" s="13" t="s">
        <v>1114</v>
      </c>
      <c r="D790" s="13" t="s">
        <v>1843</v>
      </c>
      <c r="E790" s="13" t="s">
        <v>1687</v>
      </c>
      <c r="F790" s="13" t="s">
        <v>1687</v>
      </c>
      <c r="G790" s="13" t="s">
        <v>1687</v>
      </c>
      <c r="H790" s="14">
        <v>39.9555917</v>
      </c>
      <c r="I790" s="14">
        <v>67.03751667</v>
      </c>
      <c r="J790" s="13" t="s">
        <v>1461</v>
      </c>
      <c r="K790" s="13" t="s">
        <v>1852</v>
      </c>
      <c r="L790" s="36" t="s">
        <v>4043</v>
      </c>
      <c r="M790" s="37">
        <v>1249.0</v>
      </c>
      <c r="N790" s="38">
        <v>1050.0</v>
      </c>
    </row>
    <row r="791">
      <c r="A791" s="13" t="s">
        <v>34</v>
      </c>
      <c r="B791" s="13" t="s">
        <v>4035</v>
      </c>
      <c r="C791" s="13" t="s">
        <v>1114</v>
      </c>
      <c r="D791" s="13" t="s">
        <v>1843</v>
      </c>
      <c r="E791" s="13" t="s">
        <v>1687</v>
      </c>
      <c r="F791" s="13" t="s">
        <v>1687</v>
      </c>
      <c r="G791" s="13" t="s">
        <v>1687</v>
      </c>
      <c r="H791" s="14">
        <v>39.9555917</v>
      </c>
      <c r="I791" s="14">
        <v>67.03751667</v>
      </c>
      <c r="J791" s="13" t="s">
        <v>1461</v>
      </c>
      <c r="K791" s="13" t="s">
        <v>1852</v>
      </c>
      <c r="L791" s="36" t="s">
        <v>4043</v>
      </c>
      <c r="M791" s="37">
        <v>1249.0</v>
      </c>
      <c r="N791" s="38">
        <v>1050.0</v>
      </c>
    </row>
    <row r="792">
      <c r="A792" s="13" t="s">
        <v>41</v>
      </c>
      <c r="B792" s="13" t="s">
        <v>4035</v>
      </c>
      <c r="C792" s="13" t="s">
        <v>1114</v>
      </c>
      <c r="D792" s="13" t="s">
        <v>1860</v>
      </c>
      <c r="E792" s="13" t="s">
        <v>1439</v>
      </c>
      <c r="F792" s="13" t="s">
        <v>1438</v>
      </c>
      <c r="G792" s="13" t="s">
        <v>1439</v>
      </c>
      <c r="H792" s="14">
        <v>40.0476333</v>
      </c>
      <c r="I792" s="14">
        <v>64.1564417</v>
      </c>
      <c r="J792" s="13" t="s">
        <v>1461</v>
      </c>
      <c r="K792" s="13" t="s">
        <v>1865</v>
      </c>
      <c r="L792" s="36" t="s">
        <v>4044</v>
      </c>
      <c r="M792" s="37">
        <v>1649.0</v>
      </c>
      <c r="N792" s="37">
        <v>1350.0</v>
      </c>
    </row>
    <row r="793">
      <c r="A793" s="13" t="s">
        <v>47</v>
      </c>
      <c r="B793" s="13" t="s">
        <v>4035</v>
      </c>
      <c r="C793" s="13" t="s">
        <v>1114</v>
      </c>
      <c r="D793" s="13" t="s">
        <v>1843</v>
      </c>
      <c r="E793" s="13" t="s">
        <v>1439</v>
      </c>
      <c r="F793" s="13" t="s">
        <v>1438</v>
      </c>
      <c r="G793" s="13" t="s">
        <v>1439</v>
      </c>
      <c r="H793" s="14">
        <v>39.9555917</v>
      </c>
      <c r="I793" s="14">
        <v>67.03751667</v>
      </c>
      <c r="J793" s="13" t="s">
        <v>1461</v>
      </c>
      <c r="K793" s="13" t="s">
        <v>1852</v>
      </c>
      <c r="L793" s="36" t="s">
        <v>4043</v>
      </c>
      <c r="M793" s="37">
        <v>1249.0</v>
      </c>
      <c r="N793" s="38">
        <v>1050.0</v>
      </c>
    </row>
    <row r="794">
      <c r="A794" s="13" t="s">
        <v>1617</v>
      </c>
      <c r="B794" s="13" t="s">
        <v>4045</v>
      </c>
      <c r="C794" s="13" t="s">
        <v>2119</v>
      </c>
      <c r="D794" s="13" t="s">
        <v>2118</v>
      </c>
      <c r="E794" s="13" t="s">
        <v>119</v>
      </c>
      <c r="F794" s="13" t="s">
        <v>121</v>
      </c>
      <c r="G794" s="13" t="s">
        <v>119</v>
      </c>
      <c r="H794" s="14">
        <v>51.28</v>
      </c>
      <c r="I794" s="14">
        <v>1.08</v>
      </c>
      <c r="J794" s="13" t="s">
        <v>804</v>
      </c>
      <c r="K794" s="13" t="s">
        <v>2123</v>
      </c>
      <c r="L794" s="14">
        <v>500.0</v>
      </c>
      <c r="M794" s="14">
        <v>650.0</v>
      </c>
      <c r="N794" s="1">
        <v>350.0</v>
      </c>
    </row>
    <row r="795">
      <c r="A795" s="13" t="s">
        <v>1729</v>
      </c>
      <c r="B795" s="13" t="s">
        <v>4045</v>
      </c>
      <c r="C795" s="13" t="s">
        <v>2119</v>
      </c>
      <c r="D795" s="13" t="s">
        <v>2118</v>
      </c>
      <c r="E795" s="13" t="s">
        <v>1675</v>
      </c>
      <c r="F795" s="13" t="s">
        <v>1390</v>
      </c>
      <c r="G795" s="13" t="s">
        <v>1675</v>
      </c>
      <c r="H795" s="14">
        <v>51.28</v>
      </c>
      <c r="I795" s="14">
        <v>1.08</v>
      </c>
      <c r="J795" s="13" t="s">
        <v>804</v>
      </c>
      <c r="K795" s="13" t="s">
        <v>2123</v>
      </c>
      <c r="L795" s="14">
        <v>500.0</v>
      </c>
      <c r="M795" s="14">
        <v>650.0</v>
      </c>
      <c r="N795" s="1">
        <v>350.0</v>
      </c>
    </row>
    <row r="796">
      <c r="A796" s="13" t="s">
        <v>1793</v>
      </c>
      <c r="B796" s="13" t="s">
        <v>4045</v>
      </c>
      <c r="C796" s="13" t="s">
        <v>2119</v>
      </c>
      <c r="D796" s="13" t="s">
        <v>2118</v>
      </c>
      <c r="E796" s="13" t="s">
        <v>1675</v>
      </c>
      <c r="F796" s="13" t="s">
        <v>1390</v>
      </c>
      <c r="G796" s="13" t="s">
        <v>1675</v>
      </c>
      <c r="H796" s="14">
        <v>51.28</v>
      </c>
      <c r="I796" s="14">
        <v>1.08</v>
      </c>
      <c r="J796" s="13" t="s">
        <v>804</v>
      </c>
      <c r="K796" s="13" t="s">
        <v>2123</v>
      </c>
      <c r="L796" s="14">
        <v>945.0</v>
      </c>
      <c r="M796" s="14">
        <v>960.0</v>
      </c>
      <c r="N796" s="1">
        <v>930.0</v>
      </c>
    </row>
    <row r="797">
      <c r="A797" s="13" t="s">
        <v>1839</v>
      </c>
      <c r="B797" s="13" t="s">
        <v>4045</v>
      </c>
      <c r="C797" s="13" t="s">
        <v>2119</v>
      </c>
      <c r="D797" s="13" t="s">
        <v>2118</v>
      </c>
      <c r="E797" s="13" t="s">
        <v>1675</v>
      </c>
      <c r="F797" s="13" t="s">
        <v>1390</v>
      </c>
      <c r="G797" s="13" t="s">
        <v>1675</v>
      </c>
      <c r="H797" s="14">
        <v>51.28</v>
      </c>
      <c r="I797" s="14">
        <v>1.08</v>
      </c>
      <c r="J797" s="13" t="s">
        <v>804</v>
      </c>
      <c r="K797" s="13" t="s">
        <v>2123</v>
      </c>
      <c r="L797" s="14">
        <v>945.0</v>
      </c>
      <c r="M797" s="14">
        <v>960.0</v>
      </c>
      <c r="N797" s="1">
        <v>930.0</v>
      </c>
    </row>
    <row r="798">
      <c r="A798" s="13" t="s">
        <v>1898</v>
      </c>
      <c r="B798" s="13" t="s">
        <v>4045</v>
      </c>
      <c r="C798" s="13" t="s">
        <v>2119</v>
      </c>
      <c r="D798" s="13" t="s">
        <v>2118</v>
      </c>
      <c r="E798" s="13" t="s">
        <v>1675</v>
      </c>
      <c r="F798" s="13" t="s">
        <v>1390</v>
      </c>
      <c r="G798" s="13" t="s">
        <v>1675</v>
      </c>
      <c r="H798" s="14">
        <v>51.28</v>
      </c>
      <c r="I798" s="14">
        <v>1.08</v>
      </c>
      <c r="J798" s="13" t="s">
        <v>804</v>
      </c>
      <c r="K798" s="13" t="s">
        <v>2123</v>
      </c>
      <c r="L798" s="14">
        <v>945.0</v>
      </c>
      <c r="M798" s="14">
        <v>960.0</v>
      </c>
      <c r="N798" s="1">
        <v>930.0</v>
      </c>
    </row>
    <row r="799">
      <c r="A799" s="13" t="s">
        <v>1967</v>
      </c>
      <c r="B799" s="13" t="s">
        <v>4045</v>
      </c>
      <c r="C799" s="13" t="s">
        <v>2119</v>
      </c>
      <c r="D799" s="13" t="s">
        <v>2118</v>
      </c>
      <c r="E799" s="13" t="s">
        <v>1675</v>
      </c>
      <c r="F799" s="13" t="s">
        <v>1390</v>
      </c>
      <c r="G799" s="13" t="s">
        <v>1675</v>
      </c>
      <c r="H799" s="14">
        <v>51.28</v>
      </c>
      <c r="I799" s="14">
        <v>1.08</v>
      </c>
      <c r="J799" s="13" t="s">
        <v>804</v>
      </c>
      <c r="K799" s="13" t="s">
        <v>2123</v>
      </c>
      <c r="L799" s="24" t="e">
        <v>#N/A</v>
      </c>
      <c r="M799" s="24" t="e">
        <v>#N/A</v>
      </c>
      <c r="N799" s="1" t="e">
        <v>#N/A</v>
      </c>
    </row>
    <row r="800">
      <c r="A800" s="13" t="s">
        <v>1990</v>
      </c>
      <c r="B800" s="13" t="s">
        <v>4045</v>
      </c>
      <c r="C800" s="13" t="s">
        <v>2119</v>
      </c>
      <c r="D800" s="13" t="s">
        <v>2118</v>
      </c>
      <c r="E800" s="13" t="s">
        <v>1675</v>
      </c>
      <c r="F800" s="13" t="s">
        <v>1390</v>
      </c>
      <c r="G800" s="13" t="s">
        <v>1675</v>
      </c>
      <c r="H800" s="14">
        <v>51.28</v>
      </c>
      <c r="I800" s="14">
        <v>1.08</v>
      </c>
      <c r="J800" s="13" t="s">
        <v>804</v>
      </c>
      <c r="K800" s="13" t="s">
        <v>2123</v>
      </c>
      <c r="L800" s="24" t="e">
        <v>#N/A</v>
      </c>
      <c r="M800" s="24" t="e">
        <v>#N/A</v>
      </c>
      <c r="N800" s="1" t="e">
        <v>#N/A</v>
      </c>
    </row>
    <row r="801">
      <c r="A801" s="13" t="s">
        <v>2028</v>
      </c>
      <c r="B801" s="13" t="s">
        <v>4045</v>
      </c>
      <c r="C801" s="13" t="s">
        <v>2119</v>
      </c>
      <c r="D801" s="13" t="s">
        <v>2118</v>
      </c>
      <c r="E801" s="13" t="s">
        <v>1675</v>
      </c>
      <c r="F801" s="13" t="s">
        <v>1390</v>
      </c>
      <c r="G801" s="13" t="s">
        <v>1675</v>
      </c>
      <c r="H801" s="14">
        <v>51.28</v>
      </c>
      <c r="I801" s="14">
        <v>1.08</v>
      </c>
      <c r="J801" s="13" t="s">
        <v>804</v>
      </c>
      <c r="K801" s="13" t="s">
        <v>2123</v>
      </c>
      <c r="L801" s="24" t="e">
        <v>#N/A</v>
      </c>
      <c r="M801" s="24" t="e">
        <v>#N/A</v>
      </c>
      <c r="N801" s="1" t="e">
        <v>#N/A</v>
      </c>
    </row>
    <row r="802">
      <c r="A802" s="13" t="s">
        <v>53</v>
      </c>
      <c r="B802" s="13" t="s">
        <v>4035</v>
      </c>
      <c r="C802" s="13" t="s">
        <v>209</v>
      </c>
      <c r="D802" s="13" t="s">
        <v>1785</v>
      </c>
      <c r="E802" s="13" t="s">
        <v>1439</v>
      </c>
      <c r="F802" s="13" t="s">
        <v>1438</v>
      </c>
      <c r="G802" s="13" t="s">
        <v>1439</v>
      </c>
      <c r="H802" s="14">
        <v>34.2721</v>
      </c>
      <c r="I802" s="14">
        <v>47.4758</v>
      </c>
      <c r="J802" s="13" t="s">
        <v>1104</v>
      </c>
      <c r="K802" s="13" t="s">
        <v>1281</v>
      </c>
      <c r="L802" s="17" t="s">
        <v>4049</v>
      </c>
      <c r="M802" s="17" t="s">
        <v>4050</v>
      </c>
      <c r="N802" s="30" t="s">
        <v>4052</v>
      </c>
      <c r="W802" s="15"/>
      <c r="X802" s="15"/>
      <c r="Y802" s="15"/>
      <c r="Z802" s="15"/>
    </row>
    <row r="803">
      <c r="A803" s="13" t="s">
        <v>355</v>
      </c>
      <c r="B803" s="13" t="s">
        <v>4035</v>
      </c>
      <c r="C803" s="13" t="s">
        <v>1114</v>
      </c>
      <c r="D803" s="13" t="s">
        <v>1114</v>
      </c>
      <c r="E803" s="13" t="s">
        <v>1687</v>
      </c>
      <c r="F803" s="13" t="s">
        <v>1687</v>
      </c>
      <c r="G803" s="13" t="s">
        <v>1687</v>
      </c>
      <c r="H803" s="14">
        <v>33.73</v>
      </c>
      <c r="I803" s="14">
        <v>47.07</v>
      </c>
      <c r="J803" s="13" t="s">
        <v>1104</v>
      </c>
      <c r="K803" s="13" t="s">
        <v>1790</v>
      </c>
      <c r="L803" s="39">
        <v>7803.0</v>
      </c>
      <c r="M803" s="39">
        <v>8003.0</v>
      </c>
      <c r="N803" s="30">
        <v>7603.0</v>
      </c>
      <c r="W803" s="15"/>
      <c r="X803" s="17"/>
      <c r="Y803" s="17"/>
      <c r="Z803" s="17"/>
    </row>
    <row r="804">
      <c r="A804" s="13" t="s">
        <v>362</v>
      </c>
      <c r="B804" s="13" t="s">
        <v>4035</v>
      </c>
      <c r="C804" s="13" t="s">
        <v>209</v>
      </c>
      <c r="D804" s="13" t="s">
        <v>4053</v>
      </c>
      <c r="E804" s="13" t="s">
        <v>1687</v>
      </c>
      <c r="F804" s="13" t="s">
        <v>1687</v>
      </c>
      <c r="G804" s="13" t="s">
        <v>1687</v>
      </c>
      <c r="H804" s="14">
        <v>33.73</v>
      </c>
      <c r="I804" s="14">
        <v>47.07</v>
      </c>
      <c r="J804" s="13" t="s">
        <v>1104</v>
      </c>
      <c r="K804" s="13" t="s">
        <v>1790</v>
      </c>
      <c r="L804" s="39">
        <v>8368.0</v>
      </c>
      <c r="M804" s="39">
        <v>8568.0</v>
      </c>
      <c r="N804" s="30">
        <v>8168.0</v>
      </c>
      <c r="W804" s="15"/>
      <c r="X804" s="17"/>
      <c r="Y804" s="17"/>
      <c r="Z804" s="17"/>
    </row>
    <row r="805">
      <c r="A805" s="13" t="s">
        <v>366</v>
      </c>
      <c r="B805" s="13" t="s">
        <v>4035</v>
      </c>
      <c r="C805" s="13" t="s">
        <v>209</v>
      </c>
      <c r="D805" s="13" t="s">
        <v>1691</v>
      </c>
      <c r="E805" s="13" t="s">
        <v>1687</v>
      </c>
      <c r="F805" s="13" t="s">
        <v>1687</v>
      </c>
      <c r="G805" s="13" t="s">
        <v>1687</v>
      </c>
      <c r="H805" s="14">
        <v>34.2721</v>
      </c>
      <c r="I805" s="14">
        <v>47.4758</v>
      </c>
      <c r="J805" s="13" t="s">
        <v>1104</v>
      </c>
      <c r="K805" s="13" t="s">
        <v>1281</v>
      </c>
      <c r="L805" s="17">
        <v>10000.0</v>
      </c>
      <c r="M805" s="17">
        <v>10200.0</v>
      </c>
      <c r="N805" s="30">
        <v>9800.0</v>
      </c>
      <c r="W805" s="15"/>
      <c r="X805" s="17"/>
      <c r="Y805" s="17"/>
      <c r="Z805" s="17"/>
    </row>
    <row r="806">
      <c r="A806" s="13" t="s">
        <v>368</v>
      </c>
      <c r="B806" s="13" t="s">
        <v>4035</v>
      </c>
      <c r="C806" s="13" t="s">
        <v>209</v>
      </c>
      <c r="D806" s="13" t="s">
        <v>4054</v>
      </c>
      <c r="E806" s="13" t="s">
        <v>1687</v>
      </c>
      <c r="F806" s="13" t="s">
        <v>1687</v>
      </c>
      <c r="G806" s="13" t="s">
        <v>1687</v>
      </c>
      <c r="H806" s="14">
        <v>33.55761209</v>
      </c>
      <c r="I806" s="14">
        <v>48.37722906</v>
      </c>
      <c r="J806" s="13" t="s">
        <v>1104</v>
      </c>
      <c r="K806" s="13" t="s">
        <v>4055</v>
      </c>
      <c r="L806" s="39">
        <v>4450.0</v>
      </c>
      <c r="M806" s="39">
        <v>5450.0</v>
      </c>
      <c r="N806" s="30">
        <v>3450.0</v>
      </c>
      <c r="W806" s="15"/>
      <c r="X806" s="17"/>
      <c r="Y806" s="17"/>
      <c r="Z806" s="17"/>
    </row>
    <row r="807">
      <c r="A807" s="13" t="s">
        <v>374</v>
      </c>
      <c r="B807" s="13" t="s">
        <v>4035</v>
      </c>
      <c r="C807" s="13" t="s">
        <v>209</v>
      </c>
      <c r="D807" s="13" t="s">
        <v>1691</v>
      </c>
      <c r="E807" s="13" t="s">
        <v>1687</v>
      </c>
      <c r="F807" s="13" t="s">
        <v>1687</v>
      </c>
      <c r="G807" s="13" t="s">
        <v>1687</v>
      </c>
      <c r="H807" s="14">
        <v>34.2721</v>
      </c>
      <c r="I807" s="14">
        <v>47.4758</v>
      </c>
      <c r="J807" s="13" t="s">
        <v>1104</v>
      </c>
      <c r="K807" s="13" t="s">
        <v>1281</v>
      </c>
      <c r="L807" s="39">
        <v>10000.0</v>
      </c>
      <c r="M807" s="39">
        <v>10200.0</v>
      </c>
      <c r="N807" s="30">
        <v>9800.0</v>
      </c>
      <c r="W807" s="15"/>
      <c r="X807" s="17"/>
      <c r="Y807" s="17"/>
      <c r="Z807" s="17"/>
    </row>
    <row r="808">
      <c r="A808" s="13" t="s">
        <v>380</v>
      </c>
      <c r="B808" s="13" t="s">
        <v>4035</v>
      </c>
      <c r="C808" s="13" t="s">
        <v>195</v>
      </c>
      <c r="D808" s="13" t="s">
        <v>4057</v>
      </c>
      <c r="E808" s="13" t="s">
        <v>1687</v>
      </c>
      <c r="F808" s="13" t="s">
        <v>1687</v>
      </c>
      <c r="G808" s="13" t="s">
        <v>1687</v>
      </c>
      <c r="H808" s="14">
        <v>33.55761209</v>
      </c>
      <c r="I808" s="14">
        <v>48.25363287</v>
      </c>
      <c r="J808" s="13" t="s">
        <v>1104</v>
      </c>
      <c r="K808" s="13" t="s">
        <v>4058</v>
      </c>
      <c r="L808" s="39">
        <v>3950.0</v>
      </c>
      <c r="M808" s="39">
        <v>5450.0</v>
      </c>
      <c r="N808" s="30">
        <v>2450.0</v>
      </c>
      <c r="W808" s="15"/>
      <c r="X808" s="17"/>
      <c r="Y808" s="17"/>
      <c r="Z808" s="17"/>
    </row>
    <row r="809">
      <c r="A809" s="13" t="s">
        <v>387</v>
      </c>
      <c r="B809" s="13" t="s">
        <v>4035</v>
      </c>
      <c r="C809" s="13" t="s">
        <v>195</v>
      </c>
      <c r="D809" s="13" t="s">
        <v>4059</v>
      </c>
      <c r="E809" s="13" t="s">
        <v>1687</v>
      </c>
      <c r="F809" s="13" t="s">
        <v>1687</v>
      </c>
      <c r="G809" s="13" t="s">
        <v>1687</v>
      </c>
      <c r="H809" s="14">
        <v>33.73</v>
      </c>
      <c r="I809" s="14">
        <v>47.07</v>
      </c>
      <c r="J809" s="13" t="s">
        <v>1104</v>
      </c>
      <c r="K809" s="13" t="s">
        <v>1790</v>
      </c>
      <c r="L809" s="39">
        <v>7521.0</v>
      </c>
      <c r="M809" s="39">
        <v>7721.0</v>
      </c>
      <c r="N809" s="30">
        <v>7321.0</v>
      </c>
      <c r="W809" s="15"/>
      <c r="X809" s="17"/>
      <c r="Y809" s="17"/>
      <c r="Z809" s="17"/>
    </row>
    <row r="810">
      <c r="A810" s="13" t="s">
        <v>390</v>
      </c>
      <c r="B810" s="13" t="s">
        <v>4035</v>
      </c>
      <c r="C810" s="13" t="s">
        <v>209</v>
      </c>
      <c r="D810" s="13" t="s">
        <v>4060</v>
      </c>
      <c r="E810" s="13" t="s">
        <v>1687</v>
      </c>
      <c r="F810" s="13" t="s">
        <v>1687</v>
      </c>
      <c r="G810" s="13" t="s">
        <v>1687</v>
      </c>
      <c r="H810" s="14">
        <v>33.73</v>
      </c>
      <c r="I810" s="14">
        <v>47.07</v>
      </c>
      <c r="J810" s="13" t="s">
        <v>1104</v>
      </c>
      <c r="K810" s="13" t="s">
        <v>1790</v>
      </c>
      <c r="L810" s="39">
        <v>8226.0</v>
      </c>
      <c r="M810" s="39">
        <v>8426.0</v>
      </c>
      <c r="N810" s="30">
        <v>8026.0</v>
      </c>
      <c r="W810" s="15"/>
      <c r="X810" s="17"/>
      <c r="Y810" s="17"/>
      <c r="Z810" s="17"/>
    </row>
    <row r="811">
      <c r="A811" s="13" t="s">
        <v>398</v>
      </c>
      <c r="B811" s="13" t="s">
        <v>4035</v>
      </c>
      <c r="C811" s="13" t="s">
        <v>1114</v>
      </c>
      <c r="D811" s="13" t="s">
        <v>1114</v>
      </c>
      <c r="E811" s="13" t="s">
        <v>1687</v>
      </c>
      <c r="F811" s="13" t="s">
        <v>1687</v>
      </c>
      <c r="G811" s="13" t="s">
        <v>1687</v>
      </c>
      <c r="H811" s="14">
        <v>33.73</v>
      </c>
      <c r="I811" s="14">
        <v>47.07</v>
      </c>
      <c r="J811" s="13" t="s">
        <v>1104</v>
      </c>
      <c r="K811" s="13" t="s">
        <v>1790</v>
      </c>
      <c r="L811" s="39">
        <v>8297.0</v>
      </c>
      <c r="M811" s="39">
        <v>8497.0</v>
      </c>
      <c r="N811" s="30">
        <v>8097.0</v>
      </c>
      <c r="W811" s="15"/>
      <c r="X811" s="17"/>
      <c r="Y811" s="17"/>
      <c r="Z811" s="17"/>
    </row>
    <row r="812">
      <c r="A812" s="13" t="s">
        <v>403</v>
      </c>
      <c r="B812" s="13" t="s">
        <v>4035</v>
      </c>
      <c r="C812" s="13" t="s">
        <v>1114</v>
      </c>
      <c r="D812" s="13" t="s">
        <v>1114</v>
      </c>
      <c r="E812" s="13" t="s">
        <v>1687</v>
      </c>
      <c r="F812" s="13" t="s">
        <v>1687</v>
      </c>
      <c r="G812" s="13" t="s">
        <v>1687</v>
      </c>
      <c r="H812" s="14">
        <v>33.73</v>
      </c>
      <c r="I812" s="14">
        <v>47.07</v>
      </c>
      <c r="J812" s="13" t="s">
        <v>1104</v>
      </c>
      <c r="K812" s="13" t="s">
        <v>1790</v>
      </c>
      <c r="L812" s="39">
        <v>8509.0</v>
      </c>
      <c r="M812" s="39">
        <v>8709.0</v>
      </c>
      <c r="N812" s="30">
        <v>8309.0</v>
      </c>
      <c r="W812" s="15"/>
      <c r="X812" s="17"/>
      <c r="Y812" s="17"/>
      <c r="Z812" s="17"/>
    </row>
    <row r="813">
      <c r="A813" s="13" t="s">
        <v>411</v>
      </c>
      <c r="B813" s="13" t="s">
        <v>4035</v>
      </c>
      <c r="C813" s="13" t="s">
        <v>1114</v>
      </c>
      <c r="D813" s="13" t="s">
        <v>1114</v>
      </c>
      <c r="E813" s="13" t="s">
        <v>1687</v>
      </c>
      <c r="F813" s="13" t="s">
        <v>1687</v>
      </c>
      <c r="G813" s="13" t="s">
        <v>1687</v>
      </c>
      <c r="H813" s="14">
        <v>33.73</v>
      </c>
      <c r="I813" s="14">
        <v>47.07</v>
      </c>
      <c r="J813" s="13" t="s">
        <v>1104</v>
      </c>
      <c r="K813" s="13" t="s">
        <v>1790</v>
      </c>
      <c r="L813" s="39">
        <v>8650.0</v>
      </c>
      <c r="M813" s="39">
        <v>8850.0</v>
      </c>
      <c r="N813" s="30">
        <v>8450.0</v>
      </c>
      <c r="W813" s="15"/>
      <c r="X813" s="17"/>
      <c r="Y813" s="17"/>
      <c r="Z813" s="17"/>
    </row>
    <row r="814">
      <c r="A814" s="13" t="s">
        <v>419</v>
      </c>
      <c r="B814" s="13" t="s">
        <v>4035</v>
      </c>
      <c r="C814" s="13" t="s">
        <v>1114</v>
      </c>
      <c r="D814" s="13" t="s">
        <v>1114</v>
      </c>
      <c r="E814" s="13" t="s">
        <v>1687</v>
      </c>
      <c r="F814" s="13" t="s">
        <v>1687</v>
      </c>
      <c r="G814" s="13" t="s">
        <v>1687</v>
      </c>
      <c r="H814" s="14">
        <v>33.73</v>
      </c>
      <c r="I814" s="14">
        <v>47.07</v>
      </c>
      <c r="J814" s="13" t="s">
        <v>1104</v>
      </c>
      <c r="K814" s="13" t="s">
        <v>1790</v>
      </c>
      <c r="L814" s="39">
        <v>8579.0</v>
      </c>
      <c r="M814" s="39">
        <v>8779.0</v>
      </c>
      <c r="N814" s="30">
        <v>8379.0</v>
      </c>
      <c r="W814" s="15"/>
      <c r="X814" s="17"/>
      <c r="Y814" s="17"/>
      <c r="Z814" s="17"/>
    </row>
    <row r="815">
      <c r="A815" s="13" t="s">
        <v>426</v>
      </c>
      <c r="B815" s="13" t="s">
        <v>4035</v>
      </c>
      <c r="C815" s="13" t="s">
        <v>1114</v>
      </c>
      <c r="D815" s="13" t="s">
        <v>1114</v>
      </c>
      <c r="E815" s="13" t="s">
        <v>1687</v>
      </c>
      <c r="F815" s="13" t="s">
        <v>1687</v>
      </c>
      <c r="G815" s="13" t="s">
        <v>1687</v>
      </c>
      <c r="H815" s="14">
        <v>33.73</v>
      </c>
      <c r="I815" s="14">
        <v>47.07</v>
      </c>
      <c r="J815" s="13" t="s">
        <v>1104</v>
      </c>
      <c r="K815" s="13" t="s">
        <v>1790</v>
      </c>
      <c r="L815" s="39">
        <v>8650.0</v>
      </c>
      <c r="M815" s="39">
        <v>8850.0</v>
      </c>
      <c r="N815" s="30">
        <v>8450.0</v>
      </c>
      <c r="W815" s="15"/>
      <c r="X815" s="17"/>
      <c r="Y815" s="17"/>
      <c r="Z815" s="17"/>
    </row>
    <row r="816">
      <c r="A816" s="13" t="s">
        <v>433</v>
      </c>
      <c r="B816" s="13" t="s">
        <v>4035</v>
      </c>
      <c r="C816" s="13" t="s">
        <v>209</v>
      </c>
      <c r="D816" s="13" t="s">
        <v>4069</v>
      </c>
      <c r="E816" s="13" t="s">
        <v>1687</v>
      </c>
      <c r="F816" s="13" t="s">
        <v>1687</v>
      </c>
      <c r="G816" s="13" t="s">
        <v>1687</v>
      </c>
      <c r="H816" s="14">
        <v>33.73</v>
      </c>
      <c r="I816" s="14">
        <v>47.07</v>
      </c>
      <c r="J816" s="13" t="s">
        <v>1104</v>
      </c>
      <c r="K816" s="13" t="s">
        <v>1790</v>
      </c>
      <c r="L816" s="39">
        <v>8368.0</v>
      </c>
      <c r="M816" s="39">
        <v>8568.0</v>
      </c>
      <c r="N816" s="30">
        <v>8168.0</v>
      </c>
      <c r="W816" s="15"/>
      <c r="X816" s="17"/>
      <c r="Y816" s="17"/>
      <c r="Z816" s="17"/>
    </row>
    <row r="817">
      <c r="A817" s="13" t="s">
        <v>438</v>
      </c>
      <c r="B817" s="13" t="s">
        <v>4035</v>
      </c>
      <c r="C817" s="13" t="s">
        <v>1114</v>
      </c>
      <c r="D817" s="13" t="s">
        <v>1114</v>
      </c>
      <c r="E817" s="13" t="s">
        <v>1687</v>
      </c>
      <c r="F817" s="13" t="s">
        <v>1687</v>
      </c>
      <c r="G817" s="13" t="s">
        <v>1687</v>
      </c>
      <c r="H817" s="14">
        <v>33.73</v>
      </c>
      <c r="I817" s="14">
        <v>47.07</v>
      </c>
      <c r="J817" s="13" t="s">
        <v>1104</v>
      </c>
      <c r="K817" s="13" t="s">
        <v>1790</v>
      </c>
      <c r="L817" s="39">
        <v>8297.0</v>
      </c>
      <c r="M817" s="39">
        <v>8497.0</v>
      </c>
      <c r="N817" s="30">
        <v>8097.0</v>
      </c>
      <c r="W817" s="15"/>
      <c r="X817" s="17"/>
      <c r="Y817" s="17"/>
      <c r="Z817" s="17"/>
    </row>
    <row r="818">
      <c r="A818" s="13" t="s">
        <v>445</v>
      </c>
      <c r="B818" s="13" t="s">
        <v>4035</v>
      </c>
      <c r="C818" s="13" t="s">
        <v>1114</v>
      </c>
      <c r="D818" s="13" t="s">
        <v>1114</v>
      </c>
      <c r="E818" s="13" t="s">
        <v>1439</v>
      </c>
      <c r="F818" s="13" t="s">
        <v>1438</v>
      </c>
      <c r="G818" s="13" t="s">
        <v>1439</v>
      </c>
      <c r="H818" s="14">
        <v>33.73</v>
      </c>
      <c r="I818" s="14">
        <v>47.07</v>
      </c>
      <c r="J818" s="13" t="s">
        <v>1104</v>
      </c>
      <c r="K818" s="13" t="s">
        <v>1790</v>
      </c>
      <c r="L818" s="39">
        <v>7732.0</v>
      </c>
      <c r="M818" s="39">
        <v>7932.0</v>
      </c>
      <c r="N818" s="30">
        <v>7532.0</v>
      </c>
      <c r="W818" s="15"/>
      <c r="X818" s="17"/>
      <c r="Y818" s="17"/>
      <c r="Z818" s="17"/>
    </row>
    <row r="819">
      <c r="A819" s="13" t="s">
        <v>452</v>
      </c>
      <c r="B819" s="13" t="s">
        <v>4035</v>
      </c>
      <c r="C819" s="13" t="s">
        <v>1240</v>
      </c>
      <c r="D819" s="13" t="s">
        <v>4073</v>
      </c>
      <c r="E819" s="13" t="s">
        <v>1439</v>
      </c>
      <c r="F819" s="13" t="s">
        <v>1438</v>
      </c>
      <c r="G819" s="13" t="s">
        <v>1439</v>
      </c>
      <c r="H819" s="14">
        <v>36.82526677</v>
      </c>
      <c r="I819" s="14">
        <v>50.27634569</v>
      </c>
      <c r="J819" s="13" t="s">
        <v>1104</v>
      </c>
      <c r="K819" s="13" t="s">
        <v>4075</v>
      </c>
      <c r="L819" s="39">
        <v>11400.0</v>
      </c>
      <c r="M819" s="39">
        <v>11600.0</v>
      </c>
      <c r="N819" s="30">
        <v>11200.0</v>
      </c>
      <c r="W819" s="15"/>
      <c r="X819" s="17"/>
      <c r="Y819" s="17"/>
      <c r="Z819" s="17"/>
    </row>
    <row r="820">
      <c r="A820" s="13" t="s">
        <v>463</v>
      </c>
      <c r="B820" s="13" t="s">
        <v>4035</v>
      </c>
      <c r="C820" s="13" t="s">
        <v>1240</v>
      </c>
      <c r="D820" s="13" t="s">
        <v>4076</v>
      </c>
      <c r="E820" s="13" t="s">
        <v>1687</v>
      </c>
      <c r="F820" s="13" t="s">
        <v>1687</v>
      </c>
      <c r="G820" s="13" t="s">
        <v>1687</v>
      </c>
      <c r="H820" s="14">
        <v>36.82526677</v>
      </c>
      <c r="I820" s="14">
        <v>50.27634569</v>
      </c>
      <c r="J820" s="13" t="s">
        <v>1104</v>
      </c>
      <c r="K820" s="13" t="s">
        <v>4075</v>
      </c>
      <c r="L820" s="39">
        <v>11400.0</v>
      </c>
      <c r="M820" s="39">
        <v>11600.0</v>
      </c>
      <c r="N820" s="30">
        <v>11200.0</v>
      </c>
      <c r="W820" s="15"/>
      <c r="X820" s="17"/>
      <c r="Y820" s="17"/>
      <c r="Z820" s="17"/>
    </row>
    <row r="821">
      <c r="A821" s="13" t="s">
        <v>467</v>
      </c>
      <c r="B821" s="13" t="s">
        <v>4035</v>
      </c>
      <c r="C821" s="13" t="s">
        <v>1114</v>
      </c>
      <c r="D821" s="13" t="s">
        <v>1114</v>
      </c>
      <c r="E821" s="13" t="s">
        <v>1687</v>
      </c>
      <c r="F821" s="13" t="s">
        <v>1687</v>
      </c>
      <c r="G821" s="13" t="s">
        <v>1687</v>
      </c>
      <c r="H821" s="14">
        <v>33.73</v>
      </c>
      <c r="I821" s="14">
        <v>47.07</v>
      </c>
      <c r="J821" s="13" t="s">
        <v>1104</v>
      </c>
      <c r="K821" s="13" t="s">
        <v>1790</v>
      </c>
      <c r="L821" s="39">
        <v>8368.0</v>
      </c>
      <c r="M821" s="39">
        <v>8568.0</v>
      </c>
      <c r="N821" s="30">
        <v>8168.0</v>
      </c>
      <c r="W821" s="15"/>
      <c r="X821" s="17"/>
      <c r="Y821" s="17"/>
      <c r="Z821" s="17"/>
    </row>
    <row r="822">
      <c r="A822" s="13" t="s">
        <v>473</v>
      </c>
      <c r="B822" s="13" t="s">
        <v>4035</v>
      </c>
      <c r="C822" s="13" t="s">
        <v>209</v>
      </c>
      <c r="D822" s="13" t="s">
        <v>4081</v>
      </c>
      <c r="E822" s="13" t="s">
        <v>119</v>
      </c>
      <c r="F822" s="13" t="s">
        <v>121</v>
      </c>
      <c r="G822" s="13" t="s">
        <v>119</v>
      </c>
      <c r="H822" s="14">
        <v>33.73</v>
      </c>
      <c r="I822" s="14">
        <v>47.07</v>
      </c>
      <c r="J822" s="13" t="s">
        <v>1104</v>
      </c>
      <c r="K822" s="13" t="s">
        <v>1790</v>
      </c>
      <c r="L822" s="39" t="s">
        <v>4082</v>
      </c>
      <c r="M822" s="39" t="s">
        <v>4082</v>
      </c>
      <c r="N822" s="30" t="s">
        <v>4082</v>
      </c>
      <c r="W822" s="15"/>
      <c r="X822" s="15"/>
      <c r="Y822" s="15"/>
      <c r="Z822" s="15"/>
    </row>
    <row r="823">
      <c r="A823" s="13" t="s">
        <v>480</v>
      </c>
      <c r="B823" s="13" t="s">
        <v>4035</v>
      </c>
      <c r="C823" s="13" t="s">
        <v>209</v>
      </c>
      <c r="D823" s="13" t="s">
        <v>4083</v>
      </c>
      <c r="E823" s="13" t="s">
        <v>1687</v>
      </c>
      <c r="F823" s="13" t="s">
        <v>1687</v>
      </c>
      <c r="G823" s="13" t="s">
        <v>1687</v>
      </c>
      <c r="H823" s="14">
        <v>33.55761209</v>
      </c>
      <c r="I823" s="14">
        <v>48.37722906</v>
      </c>
      <c r="J823" s="13" t="s">
        <v>1104</v>
      </c>
      <c r="K823" s="13" t="s">
        <v>4055</v>
      </c>
      <c r="L823" s="39">
        <v>4450.0</v>
      </c>
      <c r="M823" s="39">
        <v>5450.0</v>
      </c>
      <c r="N823" s="30">
        <v>3450.0</v>
      </c>
      <c r="W823" s="15"/>
      <c r="X823" s="17"/>
      <c r="Y823" s="17"/>
      <c r="Z823" s="17"/>
    </row>
    <row r="824">
      <c r="A824" s="13" t="s">
        <v>483</v>
      </c>
      <c r="B824" s="13" t="s">
        <v>4035</v>
      </c>
      <c r="C824" s="13" t="s">
        <v>209</v>
      </c>
      <c r="D824" s="13" t="s">
        <v>4085</v>
      </c>
      <c r="E824" s="13" t="s">
        <v>1687</v>
      </c>
      <c r="F824" s="13" t="s">
        <v>1687</v>
      </c>
      <c r="G824" s="13" t="s">
        <v>1687</v>
      </c>
      <c r="H824" s="14">
        <v>33.73</v>
      </c>
      <c r="I824" s="14">
        <v>47.07</v>
      </c>
      <c r="J824" s="13" t="s">
        <v>1104</v>
      </c>
      <c r="K824" s="13" t="s">
        <v>1790</v>
      </c>
      <c r="L824" s="39">
        <v>8368.0</v>
      </c>
      <c r="M824" s="39">
        <v>8568.0</v>
      </c>
      <c r="N824" s="30">
        <v>8168.0</v>
      </c>
      <c r="W824" s="15"/>
      <c r="X824" s="17"/>
      <c r="Y824" s="17"/>
      <c r="Z824" s="17"/>
    </row>
    <row r="825">
      <c r="A825" s="13" t="s">
        <v>498</v>
      </c>
      <c r="B825" s="13" t="s">
        <v>4035</v>
      </c>
      <c r="C825" s="13" t="s">
        <v>209</v>
      </c>
      <c r="D825" s="13" t="s">
        <v>4087</v>
      </c>
      <c r="E825" s="13" t="s">
        <v>1687</v>
      </c>
      <c r="F825" s="13" t="s">
        <v>1687</v>
      </c>
      <c r="G825" s="13" t="s">
        <v>1687</v>
      </c>
      <c r="H825" s="14">
        <v>34.2721</v>
      </c>
      <c r="I825" s="14">
        <v>47.4758</v>
      </c>
      <c r="J825" s="13" t="s">
        <v>1104</v>
      </c>
      <c r="K825" s="13" t="s">
        <v>1281</v>
      </c>
      <c r="L825" s="39">
        <v>10000.0</v>
      </c>
      <c r="M825" s="39">
        <v>10200.0</v>
      </c>
      <c r="N825" s="30">
        <v>9800.0</v>
      </c>
      <c r="W825" s="15"/>
      <c r="X825" s="17"/>
      <c r="Y825" s="17"/>
      <c r="Z825" s="17"/>
    </row>
    <row r="826">
      <c r="A826" s="13" t="s">
        <v>505</v>
      </c>
      <c r="B826" s="13" t="s">
        <v>4035</v>
      </c>
      <c r="C826" s="13" t="s">
        <v>209</v>
      </c>
      <c r="D826" s="13" t="s">
        <v>4087</v>
      </c>
      <c r="E826" s="13" t="s">
        <v>1687</v>
      </c>
      <c r="F826" s="13" t="s">
        <v>1687</v>
      </c>
      <c r="G826" s="13" t="s">
        <v>1687</v>
      </c>
      <c r="H826" s="14">
        <v>34.2721</v>
      </c>
      <c r="I826" s="14">
        <v>47.4758</v>
      </c>
      <c r="J826" s="13" t="s">
        <v>1104</v>
      </c>
      <c r="K826" s="13" t="s">
        <v>1281</v>
      </c>
      <c r="L826" s="39">
        <v>10000.0</v>
      </c>
      <c r="M826" s="39">
        <v>10200.0</v>
      </c>
      <c r="N826" s="30">
        <v>9800.0</v>
      </c>
      <c r="W826" s="15"/>
      <c r="X826" s="17"/>
      <c r="Y826" s="17"/>
      <c r="Z826" s="17"/>
    </row>
    <row r="827">
      <c r="A827" s="13" t="s">
        <v>507</v>
      </c>
      <c r="B827" s="13" t="s">
        <v>4035</v>
      </c>
      <c r="C827" s="13" t="s">
        <v>209</v>
      </c>
      <c r="D827" s="13" t="s">
        <v>4087</v>
      </c>
      <c r="E827" s="13" t="s">
        <v>1687</v>
      </c>
      <c r="F827" s="13" t="s">
        <v>1687</v>
      </c>
      <c r="G827" s="13" t="s">
        <v>1687</v>
      </c>
      <c r="H827" s="14">
        <v>34.2721</v>
      </c>
      <c r="I827" s="14">
        <v>47.4758</v>
      </c>
      <c r="J827" s="13" t="s">
        <v>1104</v>
      </c>
      <c r="K827" s="13" t="s">
        <v>1281</v>
      </c>
      <c r="L827" s="39">
        <v>10000.0</v>
      </c>
      <c r="M827" s="39">
        <v>10200.0</v>
      </c>
      <c r="N827" s="30">
        <v>9800.0</v>
      </c>
      <c r="W827" s="15"/>
      <c r="X827" s="17"/>
      <c r="Y827" s="17"/>
      <c r="Z827" s="17"/>
    </row>
    <row r="828">
      <c r="A828" s="13" t="s">
        <v>513</v>
      </c>
      <c r="B828" s="13" t="s">
        <v>4035</v>
      </c>
      <c r="C828" s="13" t="s">
        <v>209</v>
      </c>
      <c r="D828" s="13" t="s">
        <v>4087</v>
      </c>
      <c r="E828" s="13" t="s">
        <v>1687</v>
      </c>
      <c r="F828" s="13" t="s">
        <v>1687</v>
      </c>
      <c r="G828" s="13" t="s">
        <v>1687</v>
      </c>
      <c r="H828" s="14">
        <v>34.2721</v>
      </c>
      <c r="I828" s="14">
        <v>47.4758</v>
      </c>
      <c r="J828" s="13" t="s">
        <v>1104</v>
      </c>
      <c r="K828" s="13" t="s">
        <v>1281</v>
      </c>
      <c r="L828" s="39">
        <v>10000.0</v>
      </c>
      <c r="M828" s="39">
        <v>10200.0</v>
      </c>
      <c r="N828" s="30">
        <v>9800.0</v>
      </c>
      <c r="W828" s="15"/>
      <c r="X828" s="17"/>
      <c r="Y828" s="17"/>
      <c r="Z828" s="17"/>
    </row>
    <row r="829">
      <c r="A829" s="13" t="s">
        <v>516</v>
      </c>
      <c r="B829" s="13" t="s">
        <v>4035</v>
      </c>
      <c r="C829" s="13" t="s">
        <v>209</v>
      </c>
      <c r="D829" s="13" t="s">
        <v>4087</v>
      </c>
      <c r="E829" s="13" t="s">
        <v>1687</v>
      </c>
      <c r="F829" s="13" t="s">
        <v>1687</v>
      </c>
      <c r="G829" s="13" t="s">
        <v>1687</v>
      </c>
      <c r="H829" s="14">
        <v>34.2721</v>
      </c>
      <c r="I829" s="14">
        <v>47.4758</v>
      </c>
      <c r="J829" s="13" t="s">
        <v>1104</v>
      </c>
      <c r="K829" s="13" t="s">
        <v>1281</v>
      </c>
      <c r="L829" s="39">
        <v>10000.0</v>
      </c>
      <c r="M829" s="39">
        <v>10200.0</v>
      </c>
      <c r="N829" s="30">
        <v>9800.0</v>
      </c>
      <c r="W829" s="15"/>
      <c r="X829" s="17"/>
      <c r="Y829" s="17"/>
      <c r="Z829" s="17"/>
    </row>
    <row r="830">
      <c r="A830" s="13" t="s">
        <v>523</v>
      </c>
      <c r="B830" s="13" t="s">
        <v>4035</v>
      </c>
      <c r="C830" s="13" t="s">
        <v>1114</v>
      </c>
      <c r="D830" s="13" t="s">
        <v>1114</v>
      </c>
      <c r="E830" s="13" t="s">
        <v>1687</v>
      </c>
      <c r="F830" s="13" t="s">
        <v>1687</v>
      </c>
      <c r="G830" s="13" t="s">
        <v>1687</v>
      </c>
      <c r="H830" s="14">
        <v>29.34119189</v>
      </c>
      <c r="I830" s="14">
        <v>53.13216651</v>
      </c>
      <c r="J830" s="13" t="s">
        <v>1104</v>
      </c>
      <c r="K830" s="13" t="s">
        <v>4094</v>
      </c>
      <c r="L830" s="39">
        <v>4450.0</v>
      </c>
      <c r="M830" s="39">
        <v>5450.0</v>
      </c>
      <c r="N830" s="30">
        <v>3450.0</v>
      </c>
      <c r="W830" s="15"/>
      <c r="X830" s="17"/>
      <c r="Y830" s="17"/>
      <c r="Z830" s="17"/>
    </row>
    <row r="831">
      <c r="A831" s="13" t="s">
        <v>527</v>
      </c>
      <c r="B831" s="13" t="s">
        <v>4035</v>
      </c>
      <c r="C831" s="13" t="s">
        <v>195</v>
      </c>
      <c r="D831" s="13" t="s">
        <v>4059</v>
      </c>
      <c r="E831" s="13" t="s">
        <v>1675</v>
      </c>
      <c r="F831" s="13" t="s">
        <v>1390</v>
      </c>
      <c r="G831" s="13" t="s">
        <v>1675</v>
      </c>
      <c r="H831" s="14">
        <v>26.6031</v>
      </c>
      <c r="I831" s="14">
        <v>37.9295</v>
      </c>
      <c r="J831" s="13" t="s">
        <v>4096</v>
      </c>
      <c r="K831" s="13" t="s">
        <v>4097</v>
      </c>
      <c r="L831" s="24" t="e">
        <v>#N/A</v>
      </c>
      <c r="M831" s="24" t="e">
        <v>#N/A</v>
      </c>
      <c r="N831" s="1" t="e">
        <v>#N/A</v>
      </c>
    </row>
    <row r="832">
      <c r="A832" s="13" t="s">
        <v>529</v>
      </c>
      <c r="B832" s="13" t="s">
        <v>4035</v>
      </c>
      <c r="C832" s="13" t="s">
        <v>1114</v>
      </c>
      <c r="D832" s="13" t="s">
        <v>1704</v>
      </c>
      <c r="E832" s="13" t="s">
        <v>119</v>
      </c>
      <c r="F832" s="13" t="s">
        <v>121</v>
      </c>
      <c r="G832" s="13" t="s">
        <v>119</v>
      </c>
      <c r="H832" s="14">
        <v>50.95963315</v>
      </c>
      <c r="I832" s="14">
        <v>35.62339593</v>
      </c>
      <c r="J832" s="46" t="s">
        <v>1244</v>
      </c>
      <c r="K832" s="13" t="s">
        <v>1709</v>
      </c>
      <c r="L832" s="47">
        <v>4250.0</v>
      </c>
      <c r="M832" s="47">
        <v>4350.0</v>
      </c>
      <c r="N832" s="1">
        <v>4150.0</v>
      </c>
    </row>
    <row r="833">
      <c r="A833" s="13" t="s">
        <v>533</v>
      </c>
      <c r="B833" s="13" t="s">
        <v>4035</v>
      </c>
      <c r="C833" s="13" t="s">
        <v>1114</v>
      </c>
      <c r="D833" s="13" t="s">
        <v>4104</v>
      </c>
      <c r="E833" s="13" t="s">
        <v>119</v>
      </c>
      <c r="F833" s="13" t="s">
        <v>121</v>
      </c>
      <c r="G833" s="13" t="s">
        <v>119</v>
      </c>
      <c r="H833" s="14">
        <v>55.5969598</v>
      </c>
      <c r="I833" s="14">
        <v>37.0263641</v>
      </c>
      <c r="J833" s="46" t="s">
        <v>1244</v>
      </c>
      <c r="K833" s="13" t="s">
        <v>4105</v>
      </c>
      <c r="L833" s="48">
        <v>5650.0</v>
      </c>
      <c r="M833" s="48">
        <v>5850.0</v>
      </c>
      <c r="N833" s="48">
        <v>5450.0</v>
      </c>
    </row>
    <row r="834">
      <c r="A834" s="13" t="s">
        <v>539</v>
      </c>
      <c r="B834" s="13" t="s">
        <v>4035</v>
      </c>
      <c r="C834" s="13" t="s">
        <v>1114</v>
      </c>
      <c r="D834" s="13" t="s">
        <v>1721</v>
      </c>
      <c r="E834" s="13" t="s">
        <v>119</v>
      </c>
      <c r="F834" s="13" t="s">
        <v>121</v>
      </c>
      <c r="G834" s="13" t="s">
        <v>119</v>
      </c>
      <c r="H834" s="14">
        <v>45.71790307</v>
      </c>
      <c r="I834" s="14">
        <v>42.91327448</v>
      </c>
      <c r="J834" s="46" t="s">
        <v>1244</v>
      </c>
      <c r="K834" s="13" t="s">
        <v>1730</v>
      </c>
      <c r="L834" s="14">
        <v>4550.0</v>
      </c>
      <c r="M834" s="14">
        <v>4750.0</v>
      </c>
      <c r="N834" s="1">
        <v>4350.0</v>
      </c>
    </row>
    <row r="835">
      <c r="A835" s="13" t="s">
        <v>543</v>
      </c>
      <c r="B835" s="13" t="s">
        <v>4035</v>
      </c>
      <c r="C835" s="13" t="s">
        <v>1114</v>
      </c>
      <c r="D835" s="13" t="s">
        <v>1721</v>
      </c>
      <c r="E835" s="13" t="s">
        <v>119</v>
      </c>
      <c r="F835" s="13" t="s">
        <v>121</v>
      </c>
      <c r="G835" s="13" t="s">
        <v>119</v>
      </c>
      <c r="H835" s="14">
        <v>45.71790307</v>
      </c>
      <c r="I835" s="14">
        <v>42.91327448</v>
      </c>
      <c r="J835" s="46" t="s">
        <v>1244</v>
      </c>
      <c r="K835" s="13" t="s">
        <v>1740</v>
      </c>
      <c r="L835" s="14">
        <v>4550.0</v>
      </c>
      <c r="M835" s="14">
        <v>4750.0</v>
      </c>
      <c r="N835" s="1">
        <v>4350.0</v>
      </c>
    </row>
    <row r="836">
      <c r="A836" s="13" t="s">
        <v>545</v>
      </c>
      <c r="B836" s="13" t="s">
        <v>4035</v>
      </c>
      <c r="C836" s="13" t="s">
        <v>1114</v>
      </c>
      <c r="D836" s="13" t="s">
        <v>1745</v>
      </c>
      <c r="E836" s="13" t="s">
        <v>119</v>
      </c>
      <c r="F836" s="13" t="s">
        <v>121</v>
      </c>
      <c r="G836" s="13" t="s">
        <v>119</v>
      </c>
      <c r="H836" s="14">
        <v>45.4149</v>
      </c>
      <c r="I836" s="14">
        <v>43.6968</v>
      </c>
      <c r="J836" s="46" t="s">
        <v>1244</v>
      </c>
      <c r="K836" s="13" t="s">
        <v>1751</v>
      </c>
      <c r="L836" s="14">
        <v>4250.0</v>
      </c>
      <c r="M836" s="14">
        <v>4350.0</v>
      </c>
      <c r="N836" s="1">
        <v>4150.0</v>
      </c>
    </row>
    <row r="837">
      <c r="A837" s="13" t="s">
        <v>551</v>
      </c>
      <c r="B837" s="13" t="s">
        <v>4035</v>
      </c>
      <c r="C837" s="13" t="s">
        <v>1114</v>
      </c>
      <c r="D837" s="13" t="s">
        <v>4113</v>
      </c>
      <c r="E837" s="13" t="s">
        <v>1675</v>
      </c>
      <c r="F837" s="13" t="s">
        <v>1390</v>
      </c>
      <c r="G837" s="13" t="s">
        <v>1675</v>
      </c>
      <c r="H837" s="14">
        <v>43.92704626</v>
      </c>
      <c r="I837" s="14">
        <v>42.69017898</v>
      </c>
      <c r="J837" s="46" t="s">
        <v>1244</v>
      </c>
      <c r="K837" s="13" t="s">
        <v>4115</v>
      </c>
      <c r="L837" s="1">
        <v>4450.0</v>
      </c>
      <c r="M837" s="1">
        <v>4950.0</v>
      </c>
      <c r="N837" s="1">
        <v>3951.0</v>
      </c>
    </row>
    <row r="838">
      <c r="A838" s="13" t="s">
        <v>554</v>
      </c>
      <c r="B838" s="13" t="s">
        <v>4035</v>
      </c>
      <c r="C838" s="13" t="s">
        <v>1114</v>
      </c>
      <c r="D838" s="13" t="s">
        <v>1759</v>
      </c>
      <c r="E838" s="13" t="s">
        <v>119</v>
      </c>
      <c r="F838" s="13" t="s">
        <v>121</v>
      </c>
      <c r="G838" s="13" t="s">
        <v>119</v>
      </c>
      <c r="H838" s="14">
        <v>36.8485</v>
      </c>
      <c r="I838" s="14">
        <v>60.4181</v>
      </c>
      <c r="J838" s="13" t="s">
        <v>1764</v>
      </c>
      <c r="K838" s="13" t="s">
        <v>1765</v>
      </c>
      <c r="L838" s="1">
        <v>4575.0</v>
      </c>
      <c r="M838" s="1">
        <v>4800.0</v>
      </c>
      <c r="N838" s="1">
        <v>4350.0</v>
      </c>
    </row>
    <row r="839">
      <c r="A839" s="13" t="s">
        <v>559</v>
      </c>
      <c r="B839" s="13" t="s">
        <v>4035</v>
      </c>
      <c r="C839" s="13" t="s">
        <v>1114</v>
      </c>
      <c r="D839" s="13" t="s">
        <v>1774</v>
      </c>
      <c r="E839" s="13" t="s">
        <v>119</v>
      </c>
      <c r="F839" s="13" t="s">
        <v>121</v>
      </c>
      <c r="G839" s="13" t="s">
        <v>119</v>
      </c>
      <c r="H839" s="14">
        <v>50.95963315</v>
      </c>
      <c r="I839" s="14">
        <v>35.62339593</v>
      </c>
      <c r="J839" s="46" t="s">
        <v>1244</v>
      </c>
      <c r="K839" s="13" t="s">
        <v>1709</v>
      </c>
      <c r="L839" s="14">
        <v>4250.0</v>
      </c>
      <c r="M839" s="14">
        <v>4350.0</v>
      </c>
      <c r="N839" s="1">
        <v>4150.0</v>
      </c>
    </row>
    <row r="840">
      <c r="A840" s="13" t="s">
        <v>562</v>
      </c>
      <c r="B840" s="13" t="s">
        <v>4035</v>
      </c>
      <c r="C840" s="13" t="s">
        <v>195</v>
      </c>
      <c r="D840" s="13" t="s">
        <v>1789</v>
      </c>
      <c r="E840" s="13" t="s">
        <v>119</v>
      </c>
      <c r="F840" s="13" t="s">
        <v>121</v>
      </c>
      <c r="G840" s="13" t="s">
        <v>119</v>
      </c>
      <c r="H840" s="14">
        <v>33.73</v>
      </c>
      <c r="I840" s="14">
        <v>47.07</v>
      </c>
      <c r="J840" s="13" t="s">
        <v>1104</v>
      </c>
      <c r="K840" s="13" t="s">
        <v>1790</v>
      </c>
      <c r="L840" s="39">
        <v>7732.0</v>
      </c>
      <c r="M840" s="39">
        <v>7932.0</v>
      </c>
      <c r="N840" s="30">
        <v>7532.0</v>
      </c>
      <c r="W840" s="15"/>
      <c r="X840" s="17"/>
      <c r="Y840" s="17"/>
      <c r="Z840" s="17"/>
    </row>
    <row r="841">
      <c r="A841" s="13" t="s">
        <v>568</v>
      </c>
      <c r="B841" s="13" t="s">
        <v>4035</v>
      </c>
      <c r="C841" s="13" t="s">
        <v>209</v>
      </c>
      <c r="D841" s="13" t="s">
        <v>4081</v>
      </c>
      <c r="E841" s="13" t="s">
        <v>119</v>
      </c>
      <c r="F841" s="13" t="s">
        <v>121</v>
      </c>
      <c r="G841" s="13" t="s">
        <v>119</v>
      </c>
      <c r="H841" s="14">
        <v>33.56447825</v>
      </c>
      <c r="I841" s="14">
        <v>48.30581793</v>
      </c>
      <c r="J841" s="13" t="s">
        <v>1104</v>
      </c>
      <c r="K841" s="13" t="s">
        <v>4122</v>
      </c>
      <c r="L841" s="39">
        <v>4450.0</v>
      </c>
      <c r="M841" s="39">
        <v>5450.0</v>
      </c>
      <c r="N841" s="30">
        <v>3450.0</v>
      </c>
      <c r="W841" s="15"/>
      <c r="X841" s="17"/>
      <c r="Y841" s="17"/>
      <c r="Z841" s="17"/>
    </row>
    <row r="842">
      <c r="A842" s="13" t="s">
        <v>571</v>
      </c>
      <c r="B842" s="13" t="s">
        <v>4035</v>
      </c>
      <c r="C842" s="13" t="s">
        <v>209</v>
      </c>
      <c r="D842" s="13" t="s">
        <v>1783</v>
      </c>
      <c r="E842" s="13" t="s">
        <v>1439</v>
      </c>
      <c r="F842" s="13" t="s">
        <v>1438</v>
      </c>
      <c r="G842" s="13" t="s">
        <v>1439</v>
      </c>
      <c r="H842" s="14">
        <v>34.2721</v>
      </c>
      <c r="I842" s="14">
        <v>47.4758</v>
      </c>
      <c r="J842" s="13" t="s">
        <v>1104</v>
      </c>
      <c r="K842" s="13" t="s">
        <v>1281</v>
      </c>
      <c r="L842" s="39">
        <v>10000.0</v>
      </c>
      <c r="M842" s="39">
        <v>10200.0</v>
      </c>
      <c r="N842" s="30">
        <v>9800.0</v>
      </c>
      <c r="W842" s="15"/>
      <c r="X842" s="17"/>
      <c r="Y842" s="17"/>
      <c r="Z842" s="17"/>
    </row>
    <row r="843">
      <c r="A843" s="13" t="s">
        <v>577</v>
      </c>
      <c r="B843" s="13" t="s">
        <v>4035</v>
      </c>
      <c r="C843" s="13" t="s">
        <v>209</v>
      </c>
      <c r="D843" s="13" t="s">
        <v>1783</v>
      </c>
      <c r="E843" s="13" t="s">
        <v>1439</v>
      </c>
      <c r="F843" s="13" t="s">
        <v>1438</v>
      </c>
      <c r="G843" s="13" t="s">
        <v>1439</v>
      </c>
      <c r="H843" s="14">
        <v>34.2721</v>
      </c>
      <c r="I843" s="14">
        <v>47.4758</v>
      </c>
      <c r="J843" s="13" t="s">
        <v>1104</v>
      </c>
      <c r="K843" s="13" t="s">
        <v>1281</v>
      </c>
      <c r="L843" s="17">
        <v>10000.0</v>
      </c>
      <c r="M843" s="17">
        <v>10200.0</v>
      </c>
      <c r="N843" s="30">
        <v>9800.0</v>
      </c>
      <c r="W843" s="15"/>
      <c r="X843" s="17"/>
      <c r="Y843" s="17"/>
      <c r="Z843" s="17"/>
    </row>
    <row r="844">
      <c r="A844" s="13" t="s">
        <v>582</v>
      </c>
      <c r="B844" s="13" t="s">
        <v>4035</v>
      </c>
      <c r="C844" s="13" t="s">
        <v>1114</v>
      </c>
      <c r="D844" s="13" t="s">
        <v>1114</v>
      </c>
      <c r="E844" s="13" t="s">
        <v>1439</v>
      </c>
      <c r="F844" s="13" t="s">
        <v>1438</v>
      </c>
      <c r="G844" s="13" t="s">
        <v>1439</v>
      </c>
      <c r="H844" s="14">
        <v>33.73</v>
      </c>
      <c r="I844" s="14">
        <v>47.07</v>
      </c>
      <c r="J844" s="13" t="s">
        <v>1104</v>
      </c>
      <c r="K844" s="13" t="s">
        <v>1790</v>
      </c>
      <c r="L844" s="39">
        <v>7732.0</v>
      </c>
      <c r="M844" s="39">
        <v>7932.0</v>
      </c>
      <c r="N844" s="30">
        <v>7532.0</v>
      </c>
      <c r="W844" s="15"/>
      <c r="X844" s="17"/>
      <c r="Y844" s="17"/>
      <c r="Z844" s="17"/>
    </row>
    <row r="845">
      <c r="A845" s="13" t="s">
        <v>584</v>
      </c>
      <c r="B845" s="13" t="s">
        <v>4035</v>
      </c>
      <c r="C845" s="13" t="s">
        <v>209</v>
      </c>
      <c r="D845" s="13" t="s">
        <v>4127</v>
      </c>
      <c r="E845" s="13" t="s">
        <v>1439</v>
      </c>
      <c r="F845" s="13" t="s">
        <v>1438</v>
      </c>
      <c r="G845" s="13" t="s">
        <v>1439</v>
      </c>
      <c r="H845" s="14">
        <v>34.2721</v>
      </c>
      <c r="I845" s="14">
        <v>47.4758</v>
      </c>
      <c r="J845" s="13" t="s">
        <v>1104</v>
      </c>
      <c r="K845" s="13" t="s">
        <v>1281</v>
      </c>
      <c r="L845" s="39">
        <v>10000.0</v>
      </c>
      <c r="M845" s="39">
        <v>10200.0</v>
      </c>
      <c r="N845" s="30">
        <v>9800.0</v>
      </c>
      <c r="W845" s="15"/>
      <c r="X845" s="17"/>
      <c r="Y845" s="17"/>
      <c r="Z845" s="17"/>
    </row>
    <row r="846">
      <c r="A846" s="13" t="s">
        <v>588</v>
      </c>
      <c r="B846" s="13" t="s">
        <v>4035</v>
      </c>
      <c r="C846" s="13" t="s">
        <v>209</v>
      </c>
      <c r="D846" s="13" t="s">
        <v>4127</v>
      </c>
      <c r="E846" s="13" t="s">
        <v>1687</v>
      </c>
      <c r="F846" s="13" t="s">
        <v>1687</v>
      </c>
      <c r="G846" s="13" t="s">
        <v>1687</v>
      </c>
      <c r="H846" s="14">
        <v>34.2721</v>
      </c>
      <c r="I846" s="14">
        <v>47.4758</v>
      </c>
      <c r="J846" s="13" t="s">
        <v>1104</v>
      </c>
      <c r="K846" s="13" t="s">
        <v>1281</v>
      </c>
      <c r="L846" s="39">
        <v>10000.0</v>
      </c>
      <c r="M846" s="39">
        <v>10200.0</v>
      </c>
      <c r="N846" s="30">
        <v>9800.0</v>
      </c>
      <c r="W846" s="15"/>
      <c r="X846" s="17"/>
      <c r="Y846" s="17"/>
      <c r="Z846" s="17"/>
    </row>
    <row r="847">
      <c r="A847" s="13" t="s">
        <v>594</v>
      </c>
      <c r="B847" s="13" t="s">
        <v>4035</v>
      </c>
      <c r="C847" s="13" t="s">
        <v>209</v>
      </c>
      <c r="D847" s="13" t="s">
        <v>4127</v>
      </c>
      <c r="E847" s="13" t="s">
        <v>119</v>
      </c>
      <c r="F847" s="13" t="s">
        <v>121</v>
      </c>
      <c r="G847" s="13" t="s">
        <v>119</v>
      </c>
      <c r="H847" s="14">
        <v>29.34119189</v>
      </c>
      <c r="I847" s="14">
        <v>53.13216651</v>
      </c>
      <c r="J847" s="13" t="s">
        <v>1104</v>
      </c>
      <c r="K847" s="13" t="s">
        <v>4094</v>
      </c>
      <c r="L847" s="39">
        <v>4450.0</v>
      </c>
      <c r="M847" s="39">
        <v>5450.0</v>
      </c>
      <c r="N847" s="30">
        <v>3450.0</v>
      </c>
      <c r="W847" s="15"/>
      <c r="X847" s="17"/>
      <c r="Y847" s="17"/>
      <c r="Z847" s="17"/>
    </row>
    <row r="848">
      <c r="A848" s="13" t="s">
        <v>596</v>
      </c>
      <c r="B848" s="13" t="s">
        <v>4035</v>
      </c>
      <c r="C848" s="13" t="s">
        <v>209</v>
      </c>
      <c r="D848" s="13" t="s">
        <v>1783</v>
      </c>
      <c r="E848" s="13" t="s">
        <v>1687</v>
      </c>
      <c r="F848" s="13" t="s">
        <v>1687</v>
      </c>
      <c r="G848" s="13" t="s">
        <v>1687</v>
      </c>
      <c r="H848" s="14">
        <v>33.56447825</v>
      </c>
      <c r="I848" s="14">
        <v>48.30581793</v>
      </c>
      <c r="J848" s="13" t="s">
        <v>1104</v>
      </c>
      <c r="K848" s="13" t="s">
        <v>4122</v>
      </c>
      <c r="L848" s="39">
        <v>4450.0</v>
      </c>
      <c r="M848" s="39">
        <v>5450.0</v>
      </c>
      <c r="N848" s="30">
        <v>3450.0</v>
      </c>
      <c r="W848" s="15"/>
      <c r="X848" s="17"/>
      <c r="Y848" s="17"/>
      <c r="Z848" s="17"/>
    </row>
    <row r="849">
      <c r="A849" s="13" t="s">
        <v>598</v>
      </c>
      <c r="B849" s="13" t="s">
        <v>4035</v>
      </c>
      <c r="C849" s="13" t="s">
        <v>209</v>
      </c>
      <c r="D849" s="13" t="s">
        <v>4134</v>
      </c>
      <c r="E849" s="13" t="s">
        <v>1439</v>
      </c>
      <c r="F849" s="13" t="s">
        <v>1438</v>
      </c>
      <c r="G849" s="13" t="s">
        <v>1439</v>
      </c>
      <c r="H849" s="14">
        <v>33.56447825</v>
      </c>
      <c r="I849" s="14">
        <v>48.30581793</v>
      </c>
      <c r="J849" s="13" t="s">
        <v>1104</v>
      </c>
      <c r="K849" s="13" t="s">
        <v>4122</v>
      </c>
      <c r="L849" s="39">
        <v>4450.0</v>
      </c>
      <c r="M849" s="39">
        <v>5450.0</v>
      </c>
      <c r="N849" s="30">
        <v>3450.0</v>
      </c>
      <c r="W849" s="15"/>
      <c r="X849" s="17"/>
      <c r="Y849" s="17"/>
      <c r="Z849" s="17"/>
    </row>
    <row r="850">
      <c r="A850" s="13" t="s">
        <v>604</v>
      </c>
      <c r="B850" s="13" t="s">
        <v>4035</v>
      </c>
      <c r="C850" s="13" t="s">
        <v>195</v>
      </c>
      <c r="D850" s="13" t="s">
        <v>1789</v>
      </c>
      <c r="E850" s="13" t="s">
        <v>1439</v>
      </c>
      <c r="F850" s="13" t="s">
        <v>1438</v>
      </c>
      <c r="G850" s="13" t="s">
        <v>1439</v>
      </c>
      <c r="H850" s="14">
        <v>33.73</v>
      </c>
      <c r="I850" s="14">
        <v>47.07</v>
      </c>
      <c r="J850" s="13" t="s">
        <v>1104</v>
      </c>
      <c r="K850" s="13" t="s">
        <v>1790</v>
      </c>
      <c r="L850" s="17">
        <v>8085.0</v>
      </c>
      <c r="M850" s="17">
        <v>8285.0</v>
      </c>
      <c r="N850" s="30">
        <v>7885.0</v>
      </c>
      <c r="W850" s="15"/>
      <c r="X850" s="17"/>
      <c r="Y850" s="17"/>
      <c r="Z850" s="17"/>
    </row>
    <row r="851">
      <c r="A851" s="13" t="s">
        <v>609</v>
      </c>
      <c r="B851" s="13" t="s">
        <v>4035</v>
      </c>
      <c r="C851" s="13" t="s">
        <v>1114</v>
      </c>
      <c r="D851" s="13" t="s">
        <v>1114</v>
      </c>
      <c r="E851" s="13" t="s">
        <v>1439</v>
      </c>
      <c r="F851" s="13" t="s">
        <v>1438</v>
      </c>
      <c r="G851" s="13" t="s">
        <v>1439</v>
      </c>
      <c r="H851" s="14">
        <v>33.73</v>
      </c>
      <c r="I851" s="14">
        <v>47.07</v>
      </c>
      <c r="J851" s="13" t="s">
        <v>1104</v>
      </c>
      <c r="K851" s="13" t="s">
        <v>1790</v>
      </c>
      <c r="L851" s="17">
        <v>7732.0</v>
      </c>
      <c r="M851" s="17">
        <v>7932.0</v>
      </c>
      <c r="N851" s="30">
        <v>7532.0</v>
      </c>
      <c r="W851" s="15"/>
      <c r="X851" s="17"/>
      <c r="Y851" s="17"/>
      <c r="Z851" s="17"/>
    </row>
    <row r="852">
      <c r="A852" s="13" t="s">
        <v>613</v>
      </c>
      <c r="B852" s="13" t="s">
        <v>4035</v>
      </c>
      <c r="C852" s="13" t="s">
        <v>195</v>
      </c>
      <c r="D852" s="13" t="s">
        <v>1789</v>
      </c>
      <c r="E852" s="13" t="s">
        <v>119</v>
      </c>
      <c r="F852" s="13" t="s">
        <v>121</v>
      </c>
      <c r="G852" s="13" t="s">
        <v>119</v>
      </c>
      <c r="H852" s="14">
        <v>33.73</v>
      </c>
      <c r="I852" s="14">
        <v>47.07</v>
      </c>
      <c r="J852" s="13" t="s">
        <v>1104</v>
      </c>
      <c r="K852" s="13" t="s">
        <v>1790</v>
      </c>
      <c r="L852" s="17">
        <v>7732.0</v>
      </c>
      <c r="M852" s="17">
        <v>7932.0</v>
      </c>
      <c r="N852" s="30">
        <v>7532.0</v>
      </c>
      <c r="W852" s="15"/>
      <c r="X852" s="17"/>
      <c r="Y852" s="17"/>
      <c r="Z852" s="17"/>
    </row>
    <row r="853">
      <c r="A853" s="13" t="s">
        <v>624</v>
      </c>
      <c r="B853" s="13" t="s">
        <v>4035</v>
      </c>
      <c r="C853" s="13" t="s">
        <v>1114</v>
      </c>
      <c r="D853" s="13" t="s">
        <v>1114</v>
      </c>
      <c r="E853" s="13" t="s">
        <v>119</v>
      </c>
      <c r="F853" s="13" t="s">
        <v>121</v>
      </c>
      <c r="G853" s="13" t="s">
        <v>119</v>
      </c>
      <c r="H853" s="14">
        <v>33.73</v>
      </c>
      <c r="I853" s="14">
        <v>47.07</v>
      </c>
      <c r="J853" s="13" t="s">
        <v>1104</v>
      </c>
      <c r="K853" s="13" t="s">
        <v>1790</v>
      </c>
      <c r="L853" s="17">
        <v>7732.0</v>
      </c>
      <c r="M853" s="17">
        <v>7932.0</v>
      </c>
      <c r="N853" s="30">
        <v>7532.0</v>
      </c>
      <c r="W853" s="15"/>
      <c r="X853" s="17"/>
      <c r="Y853" s="17"/>
      <c r="Z853" s="17"/>
    </row>
    <row r="854">
      <c r="A854" s="13" t="s">
        <v>627</v>
      </c>
      <c r="B854" s="13" t="s">
        <v>4035</v>
      </c>
      <c r="C854" s="13" t="s">
        <v>209</v>
      </c>
      <c r="D854" s="13" t="s">
        <v>4143</v>
      </c>
      <c r="E854" s="13" t="s">
        <v>1439</v>
      </c>
      <c r="F854" s="13" t="s">
        <v>1438</v>
      </c>
      <c r="G854" s="13" t="s">
        <v>1439</v>
      </c>
      <c r="H854" s="14">
        <v>33.73</v>
      </c>
      <c r="I854" s="14">
        <v>47.07</v>
      </c>
      <c r="J854" s="13" t="s">
        <v>1104</v>
      </c>
      <c r="K854" s="13" t="s">
        <v>1790</v>
      </c>
      <c r="L854" s="39">
        <v>8579.0</v>
      </c>
      <c r="M854" s="39">
        <v>8779.0</v>
      </c>
      <c r="N854" s="30">
        <v>8379.0</v>
      </c>
      <c r="W854" s="15"/>
      <c r="X854" s="17"/>
      <c r="Y854" s="17"/>
      <c r="Z854" s="17"/>
    </row>
    <row r="855">
      <c r="A855" s="13" t="s">
        <v>630</v>
      </c>
      <c r="B855" s="13" t="s">
        <v>4035</v>
      </c>
      <c r="C855" s="13" t="s">
        <v>209</v>
      </c>
      <c r="D855" s="13" t="s">
        <v>4146</v>
      </c>
      <c r="E855" s="13" t="s">
        <v>119</v>
      </c>
      <c r="F855" s="13" t="s">
        <v>121</v>
      </c>
      <c r="G855" s="13" t="s">
        <v>119</v>
      </c>
      <c r="H855" s="14">
        <v>33.55761209</v>
      </c>
      <c r="I855" s="14">
        <v>48.37722906</v>
      </c>
      <c r="J855" s="13" t="s">
        <v>1104</v>
      </c>
      <c r="K855" s="13" t="s">
        <v>4055</v>
      </c>
      <c r="L855" s="39">
        <v>4450.0</v>
      </c>
      <c r="M855" s="39">
        <v>5450.0</v>
      </c>
      <c r="N855" s="30">
        <v>3450.0</v>
      </c>
      <c r="W855" s="15"/>
      <c r="X855" s="17"/>
      <c r="Y855" s="17"/>
      <c r="Z855" s="17"/>
    </row>
    <row r="856">
      <c r="A856" s="13" t="s">
        <v>632</v>
      </c>
      <c r="B856" s="13" t="s">
        <v>4035</v>
      </c>
      <c r="C856" s="13" t="s">
        <v>209</v>
      </c>
      <c r="D856" s="13" t="s">
        <v>4146</v>
      </c>
      <c r="E856" s="13" t="s">
        <v>119</v>
      </c>
      <c r="F856" s="13" t="s">
        <v>121</v>
      </c>
      <c r="G856" s="13" t="s">
        <v>119</v>
      </c>
      <c r="H856" s="14">
        <v>33.55761209</v>
      </c>
      <c r="I856" s="14">
        <v>48.37722906</v>
      </c>
      <c r="J856" s="13" t="s">
        <v>1104</v>
      </c>
      <c r="K856" s="13" t="s">
        <v>4055</v>
      </c>
      <c r="L856" s="39">
        <v>4450.0</v>
      </c>
      <c r="M856" s="39">
        <v>5450.0</v>
      </c>
      <c r="N856" s="30">
        <v>3450.0</v>
      </c>
      <c r="W856" s="15"/>
      <c r="X856" s="17"/>
      <c r="Y856" s="17"/>
      <c r="Z856" s="17"/>
    </row>
    <row r="857">
      <c r="A857" s="13" t="s">
        <v>639</v>
      </c>
      <c r="B857" s="13" t="s">
        <v>4035</v>
      </c>
      <c r="C857" s="13" t="s">
        <v>209</v>
      </c>
      <c r="D857" s="13" t="s">
        <v>4127</v>
      </c>
      <c r="E857" s="13" t="s">
        <v>119</v>
      </c>
      <c r="F857" s="13" t="s">
        <v>121</v>
      </c>
      <c r="G857" s="13" t="s">
        <v>119</v>
      </c>
      <c r="H857" s="14">
        <v>33.55761209</v>
      </c>
      <c r="I857" s="14">
        <v>48.37722906</v>
      </c>
      <c r="J857" s="13" t="s">
        <v>1104</v>
      </c>
      <c r="K857" s="13" t="s">
        <v>4055</v>
      </c>
      <c r="L857" s="39">
        <v>4450.0</v>
      </c>
      <c r="M857" s="39">
        <v>5450.0</v>
      </c>
      <c r="N857" s="30">
        <v>3450.0</v>
      </c>
      <c r="W857" s="15"/>
      <c r="X857" s="17"/>
      <c r="Y857" s="17"/>
      <c r="Z857" s="17"/>
    </row>
    <row r="858">
      <c r="A858" s="13" t="s">
        <v>642</v>
      </c>
      <c r="B858" s="13" t="s">
        <v>4035</v>
      </c>
      <c r="C858" s="13" t="s">
        <v>1114</v>
      </c>
      <c r="D858" s="13" t="s">
        <v>1114</v>
      </c>
      <c r="E858" s="13" t="s">
        <v>1687</v>
      </c>
      <c r="F858" s="13" t="s">
        <v>1687</v>
      </c>
      <c r="G858" s="13" t="s">
        <v>1687</v>
      </c>
      <c r="H858" s="14">
        <v>33.73</v>
      </c>
      <c r="I858" s="14">
        <v>47.07</v>
      </c>
      <c r="J858" s="13" t="s">
        <v>1104</v>
      </c>
      <c r="K858" s="13" t="s">
        <v>1790</v>
      </c>
      <c r="L858" s="39">
        <v>8368.0</v>
      </c>
      <c r="M858" s="39">
        <v>8568.0</v>
      </c>
      <c r="N858" s="30">
        <v>8168.0</v>
      </c>
      <c r="W858" s="15"/>
      <c r="X858" s="17"/>
      <c r="Y858" s="17"/>
      <c r="Z858" s="17"/>
    </row>
    <row r="859">
      <c r="A859" s="13" t="s">
        <v>646</v>
      </c>
      <c r="B859" s="13" t="s">
        <v>4035</v>
      </c>
      <c r="C859" s="13" t="s">
        <v>195</v>
      </c>
      <c r="D859" s="13" t="s">
        <v>1789</v>
      </c>
      <c r="E859" s="13" t="s">
        <v>1439</v>
      </c>
      <c r="F859" s="13" t="s">
        <v>1438</v>
      </c>
      <c r="G859" s="13" t="s">
        <v>1439</v>
      </c>
      <c r="H859" s="14">
        <v>33.73</v>
      </c>
      <c r="I859" s="14">
        <v>47.07</v>
      </c>
      <c r="J859" s="13" t="s">
        <v>1104</v>
      </c>
      <c r="K859" s="13" t="s">
        <v>1790</v>
      </c>
      <c r="L859" s="39">
        <v>7521.0</v>
      </c>
      <c r="M859" s="39">
        <v>7721.0</v>
      </c>
      <c r="N859" s="30">
        <v>7321.0</v>
      </c>
      <c r="W859" s="15"/>
      <c r="X859" s="17"/>
      <c r="Y859" s="17"/>
      <c r="Z859" s="17"/>
    </row>
    <row r="860">
      <c r="A860" s="13" t="s">
        <v>648</v>
      </c>
      <c r="B860" s="13" t="s">
        <v>4035</v>
      </c>
      <c r="C860" s="13" t="s">
        <v>195</v>
      </c>
      <c r="D860" s="13" t="s">
        <v>4156</v>
      </c>
      <c r="E860" s="13" t="s">
        <v>1439</v>
      </c>
      <c r="F860" s="13" t="s">
        <v>1438</v>
      </c>
      <c r="G860" s="13" t="s">
        <v>1439</v>
      </c>
      <c r="H860" s="14">
        <v>33.73</v>
      </c>
      <c r="I860" s="14">
        <v>47.07</v>
      </c>
      <c r="J860" s="13" t="s">
        <v>1104</v>
      </c>
      <c r="K860" s="13" t="s">
        <v>1790</v>
      </c>
      <c r="L860" s="39">
        <v>8156.0</v>
      </c>
      <c r="M860" s="39">
        <v>8356.0</v>
      </c>
      <c r="N860" s="30">
        <v>7956.0</v>
      </c>
      <c r="W860" s="15"/>
      <c r="X860" s="17"/>
      <c r="Y860" s="17"/>
      <c r="Z860" s="17"/>
    </row>
    <row r="861">
      <c r="A861" s="13" t="s">
        <v>653</v>
      </c>
      <c r="B861" s="13" t="s">
        <v>4035</v>
      </c>
      <c r="C861" s="13" t="s">
        <v>209</v>
      </c>
      <c r="D861" s="13" t="s">
        <v>1783</v>
      </c>
      <c r="E861" s="13" t="s">
        <v>1687</v>
      </c>
      <c r="F861" s="13" t="s">
        <v>1687</v>
      </c>
      <c r="G861" s="13" t="s">
        <v>1687</v>
      </c>
      <c r="H861" s="14">
        <v>33.73</v>
      </c>
      <c r="I861" s="14">
        <v>47.07</v>
      </c>
      <c r="J861" s="13" t="s">
        <v>1104</v>
      </c>
      <c r="K861" s="13" t="s">
        <v>1790</v>
      </c>
      <c r="L861" s="39">
        <v>8156.0</v>
      </c>
      <c r="M861" s="39">
        <v>8356.0</v>
      </c>
      <c r="N861" s="30">
        <v>7956.0</v>
      </c>
      <c r="W861" s="15"/>
      <c r="X861" s="17"/>
      <c r="Y861" s="17"/>
      <c r="Z861" s="17"/>
    </row>
    <row r="862">
      <c r="A862" s="13" t="s">
        <v>657</v>
      </c>
      <c r="B862" s="13" t="s">
        <v>4035</v>
      </c>
      <c r="C862" s="13" t="s">
        <v>209</v>
      </c>
      <c r="D862" s="13" t="s">
        <v>4162</v>
      </c>
      <c r="E862" s="13" t="s">
        <v>119</v>
      </c>
      <c r="F862" s="13" t="s">
        <v>121</v>
      </c>
      <c r="G862" s="13" t="s">
        <v>119</v>
      </c>
      <c r="H862" s="14">
        <v>33.73</v>
      </c>
      <c r="I862" s="14">
        <v>47.07</v>
      </c>
      <c r="J862" s="13" t="s">
        <v>1104</v>
      </c>
      <c r="K862" s="13" t="s">
        <v>1790</v>
      </c>
      <c r="L862" s="39">
        <v>7732.0</v>
      </c>
      <c r="M862" s="39">
        <v>7932.0</v>
      </c>
      <c r="N862" s="30">
        <v>7532.0</v>
      </c>
      <c r="W862" s="15"/>
      <c r="X862" s="17"/>
      <c r="Y862" s="17"/>
      <c r="Z862" s="17"/>
    </row>
    <row r="863">
      <c r="A863" s="13" t="s">
        <v>660</v>
      </c>
      <c r="B863" s="13" t="s">
        <v>4035</v>
      </c>
      <c r="C863" s="13" t="s">
        <v>1114</v>
      </c>
      <c r="D863" s="13" t="s">
        <v>1114</v>
      </c>
      <c r="E863" s="13" t="s">
        <v>1687</v>
      </c>
      <c r="F863" s="13" t="s">
        <v>1687</v>
      </c>
      <c r="G863" s="13" t="s">
        <v>1687</v>
      </c>
      <c r="H863" s="14">
        <v>33.73</v>
      </c>
      <c r="I863" s="14">
        <v>47.07</v>
      </c>
      <c r="J863" s="13" t="s">
        <v>1104</v>
      </c>
      <c r="K863" s="13" t="s">
        <v>1790</v>
      </c>
      <c r="L863" s="39">
        <v>7803.0</v>
      </c>
      <c r="M863" s="39">
        <v>8003.0</v>
      </c>
      <c r="N863" s="30">
        <v>7603.0</v>
      </c>
      <c r="W863" s="15"/>
      <c r="X863" s="17"/>
      <c r="Y863" s="17"/>
      <c r="Z863" s="17"/>
    </row>
    <row r="864">
      <c r="A864" s="13" t="s">
        <v>663</v>
      </c>
      <c r="B864" s="13" t="s">
        <v>4035</v>
      </c>
      <c r="C864" s="13" t="s">
        <v>209</v>
      </c>
      <c r="D864" s="13" t="s">
        <v>4127</v>
      </c>
      <c r="E864" s="13" t="s">
        <v>119</v>
      </c>
      <c r="F864" s="13" t="s">
        <v>121</v>
      </c>
      <c r="G864" s="13" t="s">
        <v>119</v>
      </c>
      <c r="H864" s="14">
        <v>33.73</v>
      </c>
      <c r="I864" s="14">
        <v>47.07</v>
      </c>
      <c r="J864" s="13" t="s">
        <v>1104</v>
      </c>
      <c r="K864" s="13" t="s">
        <v>1790</v>
      </c>
      <c r="L864" s="39">
        <v>7732.0</v>
      </c>
      <c r="M864" s="39">
        <v>7932.0</v>
      </c>
      <c r="N864" s="30">
        <v>7532.0</v>
      </c>
      <c r="W864" s="15"/>
      <c r="X864" s="17"/>
      <c r="Y864" s="17"/>
      <c r="Z864" s="17"/>
    </row>
    <row r="865">
      <c r="A865" s="13" t="s">
        <v>668</v>
      </c>
      <c r="B865" s="13" t="s">
        <v>4035</v>
      </c>
      <c r="C865" s="13" t="s">
        <v>209</v>
      </c>
      <c r="D865" s="13" t="s">
        <v>1783</v>
      </c>
      <c r="E865" s="13" t="s">
        <v>119</v>
      </c>
      <c r="F865" s="13" t="s">
        <v>121</v>
      </c>
      <c r="G865" s="13" t="s">
        <v>119</v>
      </c>
      <c r="H865" s="14">
        <v>33.73</v>
      </c>
      <c r="I865" s="14">
        <v>47.07</v>
      </c>
      <c r="J865" s="13" t="s">
        <v>1104</v>
      </c>
      <c r="K865" s="13" t="s">
        <v>1790</v>
      </c>
      <c r="L865" s="39">
        <v>7732.0</v>
      </c>
      <c r="M865" s="39">
        <v>7932.0</v>
      </c>
      <c r="N865" s="30">
        <v>7532.0</v>
      </c>
      <c r="W865" s="15"/>
      <c r="X865" s="17"/>
      <c r="Y865" s="17"/>
      <c r="Z865" s="17"/>
    </row>
    <row r="866">
      <c r="A866" s="13" t="s">
        <v>673</v>
      </c>
      <c r="B866" s="13" t="s">
        <v>4035</v>
      </c>
      <c r="C866" s="13" t="s">
        <v>195</v>
      </c>
      <c r="D866" s="13" t="s">
        <v>1789</v>
      </c>
      <c r="E866" s="13" t="s">
        <v>1439</v>
      </c>
      <c r="F866" s="13" t="s">
        <v>1438</v>
      </c>
      <c r="G866" s="13" t="s">
        <v>1439</v>
      </c>
      <c r="H866" s="14">
        <v>33.73</v>
      </c>
      <c r="I866" s="14">
        <v>47.07</v>
      </c>
      <c r="J866" s="13" t="s">
        <v>1104</v>
      </c>
      <c r="K866" s="13" t="s">
        <v>1790</v>
      </c>
      <c r="L866" s="39">
        <v>7803.0</v>
      </c>
      <c r="M866" s="39">
        <v>8003.0</v>
      </c>
      <c r="N866" s="30">
        <v>7603.0</v>
      </c>
      <c r="W866" s="15"/>
      <c r="X866" s="17"/>
      <c r="Y866" s="17"/>
      <c r="Z866" s="17"/>
    </row>
    <row r="867">
      <c r="A867" s="13" t="s">
        <v>675</v>
      </c>
      <c r="B867" s="13" t="s">
        <v>4035</v>
      </c>
      <c r="C867" s="13" t="s">
        <v>195</v>
      </c>
      <c r="D867" s="13" t="s">
        <v>1789</v>
      </c>
      <c r="E867" s="13" t="s">
        <v>1687</v>
      </c>
      <c r="F867" s="13" t="s">
        <v>1687</v>
      </c>
      <c r="G867" s="13" t="s">
        <v>1687</v>
      </c>
      <c r="H867" s="14">
        <v>33.73</v>
      </c>
      <c r="I867" s="14">
        <v>47.07</v>
      </c>
      <c r="J867" s="13" t="s">
        <v>1104</v>
      </c>
      <c r="K867" s="13" t="s">
        <v>1790</v>
      </c>
      <c r="L867" s="39">
        <v>7450.0</v>
      </c>
      <c r="M867" s="39">
        <v>7650.0</v>
      </c>
      <c r="N867" s="30">
        <v>7250.0</v>
      </c>
      <c r="W867" s="15"/>
      <c r="X867" s="17"/>
      <c r="Y867" s="17"/>
      <c r="Z867" s="17"/>
    </row>
    <row r="868">
      <c r="A868" s="13" t="s">
        <v>678</v>
      </c>
      <c r="B868" s="13" t="s">
        <v>4035</v>
      </c>
      <c r="C868" s="13" t="s">
        <v>209</v>
      </c>
      <c r="D868" s="13" t="s">
        <v>1783</v>
      </c>
      <c r="E868" s="13" t="s">
        <v>119</v>
      </c>
      <c r="F868" s="13" t="s">
        <v>121</v>
      </c>
      <c r="G868" s="13" t="s">
        <v>119</v>
      </c>
      <c r="H868" s="14">
        <v>33.73</v>
      </c>
      <c r="I868" s="14">
        <v>47.07</v>
      </c>
      <c r="J868" s="13" t="s">
        <v>1104</v>
      </c>
      <c r="K868" s="13" t="s">
        <v>1790</v>
      </c>
      <c r="L868" s="17">
        <v>7732.0</v>
      </c>
      <c r="M868" s="17">
        <v>7932.0</v>
      </c>
      <c r="N868" s="30">
        <v>7532.0</v>
      </c>
      <c r="W868" s="15"/>
      <c r="X868" s="17"/>
      <c r="Y868" s="17"/>
      <c r="Z868" s="17"/>
    </row>
    <row r="869">
      <c r="A869" s="13" t="s">
        <v>682</v>
      </c>
      <c r="B869" s="13" t="s">
        <v>4035</v>
      </c>
      <c r="C869" s="13" t="s">
        <v>209</v>
      </c>
      <c r="D869" s="13" t="s">
        <v>4178</v>
      </c>
      <c r="E869" s="13" t="s">
        <v>119</v>
      </c>
      <c r="F869" s="13" t="s">
        <v>121</v>
      </c>
      <c r="G869" s="13" t="s">
        <v>119</v>
      </c>
      <c r="H869" s="14">
        <v>33.73</v>
      </c>
      <c r="I869" s="14">
        <v>47.07</v>
      </c>
      <c r="J869" s="13" t="s">
        <v>1104</v>
      </c>
      <c r="K869" s="13" t="s">
        <v>1790</v>
      </c>
      <c r="L869" s="39">
        <v>8438.0</v>
      </c>
      <c r="M869" s="39">
        <v>8638.0</v>
      </c>
      <c r="N869" s="30">
        <v>8238.0</v>
      </c>
      <c r="W869" s="15"/>
      <c r="X869" s="17"/>
      <c r="Y869" s="17"/>
      <c r="Z869" s="17"/>
    </row>
    <row r="870">
      <c r="A870" s="13" t="s">
        <v>687</v>
      </c>
      <c r="B870" s="13" t="s">
        <v>4035</v>
      </c>
      <c r="C870" s="13" t="s">
        <v>209</v>
      </c>
      <c r="D870" s="13" t="s">
        <v>4181</v>
      </c>
      <c r="E870" s="13" t="s">
        <v>119</v>
      </c>
      <c r="F870" s="13" t="s">
        <v>121</v>
      </c>
      <c r="G870" s="13" t="s">
        <v>119</v>
      </c>
      <c r="H870" s="14">
        <v>33.73</v>
      </c>
      <c r="I870" s="14">
        <v>47.07</v>
      </c>
      <c r="J870" s="13" t="s">
        <v>1104</v>
      </c>
      <c r="K870" s="13" t="s">
        <v>1790</v>
      </c>
      <c r="L870" s="39">
        <v>8156.0</v>
      </c>
      <c r="M870" s="39">
        <v>8356.0</v>
      </c>
      <c r="N870" s="30">
        <v>7956.0</v>
      </c>
      <c r="W870" s="15"/>
      <c r="X870" s="17"/>
      <c r="Y870" s="17"/>
      <c r="Z870" s="17"/>
    </row>
    <row r="871">
      <c r="A871" s="13" t="s">
        <v>690</v>
      </c>
      <c r="B871" s="13" t="s">
        <v>4035</v>
      </c>
      <c r="C871" s="13" t="s">
        <v>195</v>
      </c>
      <c r="D871" s="13" t="s">
        <v>1789</v>
      </c>
      <c r="E871" s="13" t="s">
        <v>119</v>
      </c>
      <c r="F871" s="13" t="s">
        <v>121</v>
      </c>
      <c r="G871" s="13" t="s">
        <v>119</v>
      </c>
      <c r="H871" s="14">
        <v>33.73</v>
      </c>
      <c r="I871" s="14">
        <v>47.07</v>
      </c>
      <c r="J871" s="13" t="s">
        <v>1104</v>
      </c>
      <c r="K871" s="13" t="s">
        <v>1790</v>
      </c>
      <c r="L871" s="39" t="s">
        <v>4082</v>
      </c>
      <c r="M871" s="39" t="s">
        <v>4082</v>
      </c>
      <c r="N871" s="30" t="s">
        <v>4082</v>
      </c>
      <c r="W871" s="15"/>
      <c r="X871" s="15"/>
      <c r="Y871" s="15"/>
      <c r="Z871" s="15"/>
    </row>
    <row r="872">
      <c r="A872" s="13" t="s">
        <v>693</v>
      </c>
      <c r="B872" s="13" t="s">
        <v>4035</v>
      </c>
      <c r="C872" s="13" t="s">
        <v>209</v>
      </c>
      <c r="D872" s="13" t="s">
        <v>1783</v>
      </c>
      <c r="E872" s="13" t="s">
        <v>1687</v>
      </c>
      <c r="F872" s="13" t="s">
        <v>1687</v>
      </c>
      <c r="G872" s="13" t="s">
        <v>1687</v>
      </c>
      <c r="H872" s="14">
        <v>33.73</v>
      </c>
      <c r="I872" s="14">
        <v>47.07</v>
      </c>
      <c r="J872" s="13" t="s">
        <v>1104</v>
      </c>
      <c r="K872" s="13" t="s">
        <v>1790</v>
      </c>
      <c r="L872" s="39">
        <v>8297.0</v>
      </c>
      <c r="M872" s="39">
        <v>8497.0</v>
      </c>
      <c r="N872" s="30">
        <v>8097.0</v>
      </c>
      <c r="W872" s="15"/>
      <c r="X872" s="17"/>
      <c r="Y872" s="17"/>
      <c r="Z872" s="17"/>
    </row>
    <row r="873">
      <c r="A873" s="13" t="s">
        <v>697</v>
      </c>
      <c r="B873" s="13" t="s">
        <v>4035</v>
      </c>
      <c r="C873" s="13" t="s">
        <v>209</v>
      </c>
      <c r="D873" s="13" t="s">
        <v>4181</v>
      </c>
      <c r="E873" s="13" t="s">
        <v>1687</v>
      </c>
      <c r="F873" s="13" t="s">
        <v>1687</v>
      </c>
      <c r="G873" s="13" t="s">
        <v>1687</v>
      </c>
      <c r="H873" s="14">
        <v>33.73</v>
      </c>
      <c r="I873" s="14">
        <v>47.07</v>
      </c>
      <c r="J873" s="13" t="s">
        <v>1104</v>
      </c>
      <c r="K873" s="13" t="s">
        <v>1790</v>
      </c>
      <c r="L873" s="39">
        <v>8297.0</v>
      </c>
      <c r="M873" s="39">
        <v>8497.0</v>
      </c>
      <c r="N873" s="30">
        <v>8097.0</v>
      </c>
      <c r="W873" s="15"/>
      <c r="X873" s="17"/>
      <c r="Y873" s="17"/>
      <c r="Z873" s="17"/>
    </row>
    <row r="874">
      <c r="A874" s="13" t="s">
        <v>702</v>
      </c>
      <c r="B874" s="13" t="s">
        <v>4035</v>
      </c>
      <c r="C874" s="13" t="s">
        <v>209</v>
      </c>
      <c r="D874" s="13" t="s">
        <v>4143</v>
      </c>
      <c r="E874" s="13" t="s">
        <v>119</v>
      </c>
      <c r="F874" s="13" t="s">
        <v>121</v>
      </c>
      <c r="G874" s="13" t="s">
        <v>119</v>
      </c>
      <c r="H874" s="14">
        <v>33.73</v>
      </c>
      <c r="I874" s="14">
        <v>47.07</v>
      </c>
      <c r="J874" s="13" t="s">
        <v>1104</v>
      </c>
      <c r="K874" s="13" t="s">
        <v>1790</v>
      </c>
      <c r="L874" s="39">
        <v>8368.0</v>
      </c>
      <c r="M874" s="39">
        <v>8568.0</v>
      </c>
      <c r="N874" s="30">
        <v>8168.0</v>
      </c>
      <c r="W874" s="15"/>
      <c r="X874" s="17"/>
      <c r="Y874" s="17"/>
      <c r="Z874" s="17"/>
    </row>
    <row r="875">
      <c r="A875" s="13" t="s">
        <v>705</v>
      </c>
      <c r="B875" s="13" t="s">
        <v>4035</v>
      </c>
      <c r="C875" s="13" t="s">
        <v>195</v>
      </c>
      <c r="D875" s="13" t="s">
        <v>1789</v>
      </c>
      <c r="E875" s="13" t="s">
        <v>1439</v>
      </c>
      <c r="F875" s="13" t="s">
        <v>1438</v>
      </c>
      <c r="G875" s="13" t="s">
        <v>1439</v>
      </c>
      <c r="H875" s="14">
        <v>33.73</v>
      </c>
      <c r="I875" s="14">
        <v>47.07</v>
      </c>
      <c r="J875" s="13" t="s">
        <v>1104</v>
      </c>
      <c r="K875" s="13" t="s">
        <v>1790</v>
      </c>
      <c r="L875" s="39">
        <v>8509.0</v>
      </c>
      <c r="M875" s="39">
        <v>8709.0</v>
      </c>
      <c r="N875" s="30">
        <v>8309.0</v>
      </c>
      <c r="W875" s="15"/>
      <c r="X875" s="17"/>
      <c r="Y875" s="17"/>
      <c r="Z875" s="17"/>
    </row>
    <row r="876">
      <c r="A876" s="13" t="s">
        <v>710</v>
      </c>
      <c r="B876" s="13" t="s">
        <v>4035</v>
      </c>
      <c r="C876" s="13" t="s">
        <v>1114</v>
      </c>
      <c r="D876" s="13" t="s">
        <v>1114</v>
      </c>
      <c r="E876" s="13" t="s">
        <v>1687</v>
      </c>
      <c r="F876" s="13" t="s">
        <v>1687</v>
      </c>
      <c r="G876" s="13" t="s">
        <v>1687</v>
      </c>
      <c r="H876" s="14">
        <v>33.73</v>
      </c>
      <c r="I876" s="14">
        <v>47.07</v>
      </c>
      <c r="J876" s="13" t="s">
        <v>1104</v>
      </c>
      <c r="K876" s="13" t="s">
        <v>1790</v>
      </c>
      <c r="L876" s="39">
        <v>8509.0</v>
      </c>
      <c r="M876" s="39">
        <v>8709.0</v>
      </c>
      <c r="N876" s="30">
        <v>8309.0</v>
      </c>
      <c r="W876" s="15"/>
      <c r="X876" s="17"/>
      <c r="Y876" s="17"/>
      <c r="Z876" s="17"/>
    </row>
    <row r="877">
      <c r="A877" s="13" t="s">
        <v>714</v>
      </c>
      <c r="B877" s="13" t="s">
        <v>4035</v>
      </c>
      <c r="C877" s="13" t="s">
        <v>209</v>
      </c>
      <c r="D877" s="13" t="s">
        <v>4127</v>
      </c>
      <c r="E877" s="13" t="s">
        <v>1687</v>
      </c>
      <c r="F877" s="13" t="s">
        <v>1687</v>
      </c>
      <c r="G877" s="13" t="s">
        <v>1687</v>
      </c>
      <c r="H877" s="14">
        <v>33.73</v>
      </c>
      <c r="I877" s="14">
        <v>47.07</v>
      </c>
      <c r="J877" s="13" t="s">
        <v>1104</v>
      </c>
      <c r="K877" s="13" t="s">
        <v>1790</v>
      </c>
      <c r="L877" s="39">
        <v>8509.0</v>
      </c>
      <c r="M877" s="39">
        <v>8709.0</v>
      </c>
      <c r="N877" s="30">
        <v>8309.0</v>
      </c>
      <c r="W877" s="15"/>
      <c r="X877" s="17"/>
      <c r="Y877" s="17"/>
      <c r="Z877" s="17"/>
    </row>
    <row r="878">
      <c r="A878" s="13" t="s">
        <v>717</v>
      </c>
      <c r="B878" s="13" t="s">
        <v>4035</v>
      </c>
      <c r="C878" s="13" t="s">
        <v>209</v>
      </c>
      <c r="D878" s="13" t="s">
        <v>1783</v>
      </c>
      <c r="E878" s="13" t="s">
        <v>1687</v>
      </c>
      <c r="F878" s="13" t="s">
        <v>1687</v>
      </c>
      <c r="G878" s="13" t="s">
        <v>1687</v>
      </c>
      <c r="H878" s="14">
        <v>33.73</v>
      </c>
      <c r="I878" s="14">
        <v>47.07</v>
      </c>
      <c r="J878" s="13" t="s">
        <v>1104</v>
      </c>
      <c r="K878" s="13" t="s">
        <v>1790</v>
      </c>
      <c r="L878" s="39">
        <v>8509.0</v>
      </c>
      <c r="M878" s="39">
        <v>8709.0</v>
      </c>
      <c r="N878" s="30">
        <v>8309.0</v>
      </c>
      <c r="W878" s="15"/>
      <c r="X878" s="17"/>
      <c r="Y878" s="17"/>
      <c r="Z878" s="17"/>
    </row>
    <row r="879">
      <c r="A879" s="13" t="s">
        <v>721</v>
      </c>
      <c r="B879" s="13" t="s">
        <v>4035</v>
      </c>
      <c r="C879" s="13" t="s">
        <v>209</v>
      </c>
      <c r="D879" s="13" t="s">
        <v>4181</v>
      </c>
      <c r="E879" s="13" t="s">
        <v>119</v>
      </c>
      <c r="F879" s="13" t="s">
        <v>121</v>
      </c>
      <c r="G879" s="13" t="s">
        <v>119</v>
      </c>
      <c r="H879" s="14">
        <v>33.73</v>
      </c>
      <c r="I879" s="14">
        <v>47.07</v>
      </c>
      <c r="J879" s="13" t="s">
        <v>1104</v>
      </c>
      <c r="K879" s="13" t="s">
        <v>1790</v>
      </c>
      <c r="L879" s="39">
        <v>7450.0</v>
      </c>
      <c r="M879" s="39">
        <v>7650.0</v>
      </c>
      <c r="N879" s="30">
        <v>7250.0</v>
      </c>
      <c r="W879" s="15"/>
      <c r="X879" s="17"/>
      <c r="Y879" s="17"/>
      <c r="Z879" s="17"/>
    </row>
    <row r="880">
      <c r="A880" s="13" t="s">
        <v>726</v>
      </c>
      <c r="B880" s="13" t="s">
        <v>4035</v>
      </c>
      <c r="C880" s="13" t="s">
        <v>209</v>
      </c>
      <c r="D880" s="13" t="s">
        <v>4178</v>
      </c>
      <c r="E880" s="13" t="s">
        <v>1687</v>
      </c>
      <c r="F880" s="13" t="s">
        <v>1687</v>
      </c>
      <c r="G880" s="13" t="s">
        <v>1687</v>
      </c>
      <c r="H880" s="14">
        <v>33.73</v>
      </c>
      <c r="I880" s="14">
        <v>47.07</v>
      </c>
      <c r="J880" s="13" t="s">
        <v>1104</v>
      </c>
      <c r="K880" s="13" t="s">
        <v>1790</v>
      </c>
      <c r="L880" s="39">
        <v>8579.0</v>
      </c>
      <c r="M880" s="39">
        <v>8779.0</v>
      </c>
      <c r="N880" s="30">
        <v>8379.0</v>
      </c>
      <c r="W880" s="15"/>
      <c r="X880" s="17"/>
      <c r="Y880" s="17"/>
      <c r="Z880" s="17"/>
    </row>
    <row r="881">
      <c r="A881" s="13" t="s">
        <v>729</v>
      </c>
      <c r="B881" s="13" t="s">
        <v>4035</v>
      </c>
      <c r="C881" s="13" t="s">
        <v>209</v>
      </c>
      <c r="D881" s="13" t="s">
        <v>4205</v>
      </c>
      <c r="E881" s="13" t="s">
        <v>1687</v>
      </c>
      <c r="F881" s="13" t="s">
        <v>1687</v>
      </c>
      <c r="G881" s="13" t="s">
        <v>1687</v>
      </c>
      <c r="H881" s="14">
        <v>33.73</v>
      </c>
      <c r="I881" s="14">
        <v>47.07</v>
      </c>
      <c r="J881" s="13" t="s">
        <v>1104</v>
      </c>
      <c r="K881" s="13" t="s">
        <v>1790</v>
      </c>
      <c r="L881" s="39">
        <v>8579.0</v>
      </c>
      <c r="M881" s="39">
        <v>8779.0</v>
      </c>
      <c r="N881" s="30">
        <v>8379.0</v>
      </c>
      <c r="W881" s="15"/>
      <c r="X881" s="17"/>
      <c r="Y881" s="17"/>
      <c r="Z881" s="17"/>
    </row>
    <row r="882">
      <c r="A882" s="13" t="s">
        <v>732</v>
      </c>
      <c r="B882" s="13" t="s">
        <v>4035</v>
      </c>
      <c r="C882" s="13" t="s">
        <v>209</v>
      </c>
      <c r="D882" s="13" t="s">
        <v>4127</v>
      </c>
      <c r="E882" s="13" t="s">
        <v>119</v>
      </c>
      <c r="F882" s="13" t="s">
        <v>121</v>
      </c>
      <c r="G882" s="13" t="s">
        <v>119</v>
      </c>
      <c r="H882" s="14">
        <v>33.73</v>
      </c>
      <c r="I882" s="14">
        <v>47.07</v>
      </c>
      <c r="J882" s="13" t="s">
        <v>1104</v>
      </c>
      <c r="K882" s="13" t="s">
        <v>1790</v>
      </c>
      <c r="L882" s="39">
        <v>8579.0</v>
      </c>
      <c r="M882" s="39">
        <v>8779.0</v>
      </c>
      <c r="N882" s="30">
        <v>8379.0</v>
      </c>
      <c r="W882" s="15"/>
      <c r="X882" s="17"/>
      <c r="Y882" s="17"/>
      <c r="Z882" s="17"/>
    </row>
    <row r="883">
      <c r="A883" s="13" t="s">
        <v>737</v>
      </c>
      <c r="B883" s="13" t="s">
        <v>4035</v>
      </c>
      <c r="C883" s="13" t="s">
        <v>209</v>
      </c>
      <c r="D883" s="13" t="s">
        <v>4127</v>
      </c>
      <c r="E883" s="13" t="s">
        <v>1687</v>
      </c>
      <c r="F883" s="13" t="s">
        <v>1687</v>
      </c>
      <c r="G883" s="13" t="s">
        <v>1687</v>
      </c>
      <c r="H883" s="14">
        <v>33.73</v>
      </c>
      <c r="I883" s="14">
        <v>47.07</v>
      </c>
      <c r="J883" s="13" t="s">
        <v>1104</v>
      </c>
      <c r="K883" s="13" t="s">
        <v>1790</v>
      </c>
      <c r="L883" s="39">
        <v>8579.0</v>
      </c>
      <c r="M883" s="39">
        <v>8779.0</v>
      </c>
      <c r="N883" s="30">
        <v>8379.0</v>
      </c>
      <c r="W883" s="15"/>
      <c r="X883" s="17"/>
      <c r="Y883" s="17"/>
      <c r="Z883" s="17"/>
    </row>
    <row r="884">
      <c r="A884" s="13" t="s">
        <v>739</v>
      </c>
      <c r="B884" s="13" t="s">
        <v>4035</v>
      </c>
      <c r="C884" s="13" t="s">
        <v>209</v>
      </c>
      <c r="D884" s="13" t="s">
        <v>4181</v>
      </c>
      <c r="E884" s="13" t="s">
        <v>1687</v>
      </c>
      <c r="F884" s="13" t="s">
        <v>1687</v>
      </c>
      <c r="G884" s="13" t="s">
        <v>1687</v>
      </c>
      <c r="H884" s="14">
        <v>33.73</v>
      </c>
      <c r="I884" s="14">
        <v>47.07</v>
      </c>
      <c r="J884" s="13" t="s">
        <v>1104</v>
      </c>
      <c r="K884" s="13" t="s">
        <v>1790</v>
      </c>
      <c r="L884" s="39">
        <v>8509.0</v>
      </c>
      <c r="M884" s="39">
        <v>8709.0</v>
      </c>
      <c r="N884" s="30">
        <v>8309.0</v>
      </c>
      <c r="W884" s="15"/>
      <c r="X884" s="17"/>
      <c r="Y884" s="17"/>
      <c r="Z884" s="17"/>
    </row>
    <row r="885">
      <c r="A885" s="13" t="s">
        <v>745</v>
      </c>
      <c r="B885" s="13" t="s">
        <v>4035</v>
      </c>
      <c r="C885" s="13" t="s">
        <v>209</v>
      </c>
      <c r="D885" s="13" t="s">
        <v>4181</v>
      </c>
      <c r="E885" s="13" t="s">
        <v>1687</v>
      </c>
      <c r="F885" s="13" t="s">
        <v>1687</v>
      </c>
      <c r="G885" s="13" t="s">
        <v>1687</v>
      </c>
      <c r="H885" s="14">
        <v>33.73</v>
      </c>
      <c r="I885" s="14">
        <v>47.07</v>
      </c>
      <c r="J885" s="13" t="s">
        <v>1104</v>
      </c>
      <c r="K885" s="13" t="s">
        <v>1790</v>
      </c>
      <c r="L885" s="39">
        <v>8509.0</v>
      </c>
      <c r="M885" s="39">
        <v>8709.0</v>
      </c>
      <c r="N885" s="30">
        <v>8309.0</v>
      </c>
      <c r="W885" s="15"/>
      <c r="X885" s="17"/>
      <c r="Y885" s="17"/>
      <c r="Z885" s="17"/>
    </row>
    <row r="886">
      <c r="A886" s="13" t="s">
        <v>747</v>
      </c>
      <c r="B886" s="13" t="s">
        <v>4035</v>
      </c>
      <c r="C886" s="13" t="s">
        <v>209</v>
      </c>
      <c r="D886" s="13" t="s">
        <v>4127</v>
      </c>
      <c r="E886" s="13" t="s">
        <v>119</v>
      </c>
      <c r="F886" s="13" t="s">
        <v>121</v>
      </c>
      <c r="G886" s="13" t="s">
        <v>119</v>
      </c>
      <c r="H886" s="14">
        <v>33.73</v>
      </c>
      <c r="I886" s="14">
        <v>47.07</v>
      </c>
      <c r="J886" s="13" t="s">
        <v>1104</v>
      </c>
      <c r="K886" s="13" t="s">
        <v>1790</v>
      </c>
      <c r="L886" s="39">
        <v>8509.0</v>
      </c>
      <c r="M886" s="39">
        <v>8709.0</v>
      </c>
      <c r="N886" s="30">
        <v>8309.0</v>
      </c>
      <c r="W886" s="15"/>
      <c r="X886" s="17"/>
      <c r="Y886" s="17"/>
      <c r="Z886" s="17"/>
    </row>
    <row r="887">
      <c r="A887" s="13" t="s">
        <v>750</v>
      </c>
      <c r="B887" s="13" t="s">
        <v>4035</v>
      </c>
      <c r="C887" s="13" t="s">
        <v>195</v>
      </c>
      <c r="D887" s="13" t="s">
        <v>1816</v>
      </c>
      <c r="E887" s="13" t="s">
        <v>119</v>
      </c>
      <c r="F887" s="13" t="s">
        <v>121</v>
      </c>
      <c r="G887" s="13" t="s">
        <v>119</v>
      </c>
      <c r="H887" s="14">
        <v>33.73</v>
      </c>
      <c r="I887" s="14">
        <v>47.07</v>
      </c>
      <c r="J887" s="13" t="s">
        <v>1104</v>
      </c>
      <c r="K887" s="13" t="s">
        <v>1790</v>
      </c>
      <c r="L887" s="17">
        <v>7450.0</v>
      </c>
      <c r="M887" s="17">
        <v>7650.0</v>
      </c>
      <c r="N887" s="30">
        <v>7250.0</v>
      </c>
      <c r="W887" s="15"/>
      <c r="X887" s="17"/>
      <c r="Y887" s="17"/>
      <c r="Z887" s="17"/>
    </row>
    <row r="888">
      <c r="A888" s="13" t="s">
        <v>755</v>
      </c>
      <c r="B888" s="13" t="s">
        <v>4035</v>
      </c>
      <c r="C888" s="13" t="s">
        <v>195</v>
      </c>
      <c r="D888" s="13" t="s">
        <v>4219</v>
      </c>
      <c r="E888" s="13" t="s">
        <v>119</v>
      </c>
      <c r="F888" s="13" t="s">
        <v>121</v>
      </c>
      <c r="G888" s="13" t="s">
        <v>119</v>
      </c>
      <c r="H888" s="14">
        <v>33.73</v>
      </c>
      <c r="I888" s="14">
        <v>47.07</v>
      </c>
      <c r="J888" s="13" t="s">
        <v>1104</v>
      </c>
      <c r="K888" s="13" t="s">
        <v>1790</v>
      </c>
      <c r="L888" s="39">
        <v>7450.0</v>
      </c>
      <c r="M888" s="39">
        <v>7650.0</v>
      </c>
      <c r="N888" s="30">
        <v>7250.0</v>
      </c>
      <c r="W888" s="15"/>
      <c r="X888" s="17"/>
      <c r="Y888" s="17"/>
      <c r="Z888" s="17"/>
    </row>
    <row r="889">
      <c r="A889" s="13" t="s">
        <v>759</v>
      </c>
      <c r="B889" s="13" t="s">
        <v>4035</v>
      </c>
      <c r="C889" s="13" t="s">
        <v>195</v>
      </c>
      <c r="D889" s="13" t="s">
        <v>4059</v>
      </c>
      <c r="E889" s="13" t="s">
        <v>119</v>
      </c>
      <c r="F889" s="13" t="s">
        <v>121</v>
      </c>
      <c r="G889" s="13" t="s">
        <v>119</v>
      </c>
      <c r="H889" s="14">
        <v>26.6031</v>
      </c>
      <c r="I889" s="14">
        <v>37.9295</v>
      </c>
      <c r="J889" s="13" t="s">
        <v>4096</v>
      </c>
      <c r="K889" s="13" t="s">
        <v>4222</v>
      </c>
      <c r="L889" s="24" t="e">
        <v>#N/A</v>
      </c>
      <c r="M889" s="24" t="e">
        <v>#N/A</v>
      </c>
      <c r="N889" s="1" t="e">
        <v>#N/A</v>
      </c>
    </row>
    <row r="890">
      <c r="A890" s="13" t="s">
        <v>897</v>
      </c>
      <c r="B890" s="13" t="s">
        <v>4035</v>
      </c>
      <c r="C890" s="13" t="s">
        <v>1240</v>
      </c>
      <c r="D890" s="13" t="s">
        <v>4224</v>
      </c>
      <c r="E890" s="13" t="s">
        <v>1439</v>
      </c>
      <c r="F890" s="13" t="s">
        <v>1438</v>
      </c>
      <c r="G890" s="13" t="s">
        <v>1439</v>
      </c>
      <c r="H890" s="14">
        <v>33.61361169</v>
      </c>
      <c r="I890" s="14">
        <v>48.39644736</v>
      </c>
      <c r="J890" s="13" t="s">
        <v>1104</v>
      </c>
      <c r="K890" s="13" t="s">
        <v>4226</v>
      </c>
      <c r="L890" s="24" t="e">
        <v>#N/A</v>
      </c>
      <c r="M890" s="24" t="e">
        <v>#N/A</v>
      </c>
      <c r="N890" s="1" t="e">
        <v>#N/A</v>
      </c>
    </row>
    <row r="891">
      <c r="A891" s="13" t="s">
        <v>906</v>
      </c>
      <c r="B891" s="13" t="s">
        <v>4035</v>
      </c>
      <c r="C891" s="13" t="s">
        <v>1114</v>
      </c>
      <c r="D891" s="13" t="s">
        <v>4228</v>
      </c>
      <c r="E891" s="13" t="s">
        <v>1687</v>
      </c>
      <c r="F891" s="13" t="s">
        <v>1687</v>
      </c>
      <c r="G891" s="13" t="s">
        <v>1687</v>
      </c>
      <c r="H891" s="14">
        <v>42.73396243</v>
      </c>
      <c r="I891" s="14">
        <v>44.63367638</v>
      </c>
      <c r="J891" s="13" t="s">
        <v>564</v>
      </c>
      <c r="K891" s="13" t="s">
        <v>1829</v>
      </c>
      <c r="L891" s="24" t="e">
        <v>#N/A</v>
      </c>
      <c r="M891" s="24" t="e">
        <v>#N/A</v>
      </c>
      <c r="N891" s="1" t="e">
        <v>#N/A</v>
      </c>
    </row>
    <row r="892">
      <c r="A892" s="13" t="s">
        <v>909</v>
      </c>
      <c r="B892" s="13" t="s">
        <v>4035</v>
      </c>
      <c r="C892" s="13" t="s">
        <v>1240</v>
      </c>
      <c r="D892" s="13" t="s">
        <v>4232</v>
      </c>
      <c r="E892" s="13" t="s">
        <v>1675</v>
      </c>
      <c r="F892" s="13" t="s">
        <v>1390</v>
      </c>
      <c r="G892" s="13" t="s">
        <v>1675</v>
      </c>
      <c r="H892" s="14">
        <v>33.61361169</v>
      </c>
      <c r="I892" s="14">
        <v>48.39644736</v>
      </c>
      <c r="J892" s="13" t="s">
        <v>1104</v>
      </c>
      <c r="K892" s="13" t="s">
        <v>4226</v>
      </c>
      <c r="L892" s="24" t="e">
        <v>#N/A</v>
      </c>
      <c r="M892" s="24" t="e">
        <v>#N/A</v>
      </c>
      <c r="N892" s="1" t="e">
        <v>#N/A</v>
      </c>
    </row>
    <row r="893">
      <c r="A893" s="13" t="s">
        <v>913</v>
      </c>
      <c r="B893" s="13" t="s">
        <v>4035</v>
      </c>
      <c r="C893" s="13" t="s">
        <v>1240</v>
      </c>
      <c r="D893" s="13" t="s">
        <v>4234</v>
      </c>
      <c r="E893" s="13" t="s">
        <v>119</v>
      </c>
      <c r="F893" s="13" t="s">
        <v>121</v>
      </c>
      <c r="G893" s="13" t="s">
        <v>119</v>
      </c>
      <c r="H893" s="14">
        <v>35.78086945</v>
      </c>
      <c r="I893" s="14">
        <v>49.9398287</v>
      </c>
      <c r="J893" s="13" t="s">
        <v>1104</v>
      </c>
      <c r="K893" s="13" t="s">
        <v>4235</v>
      </c>
      <c r="L893" s="24" t="e">
        <v>#N/A</v>
      </c>
      <c r="M893" s="24" t="e">
        <v>#N/A</v>
      </c>
      <c r="N893" s="1" t="e">
        <v>#N/A</v>
      </c>
    </row>
    <row r="894">
      <c r="A894" s="13" t="s">
        <v>916</v>
      </c>
      <c r="B894" s="13" t="s">
        <v>4035</v>
      </c>
      <c r="C894" s="13" t="s">
        <v>1114</v>
      </c>
      <c r="D894" s="13" t="s">
        <v>4238</v>
      </c>
      <c r="E894" s="13" t="s">
        <v>4239</v>
      </c>
      <c r="F894" s="13" t="s">
        <v>4239</v>
      </c>
      <c r="G894" s="13" t="s">
        <v>4239</v>
      </c>
      <c r="H894" s="14">
        <v>35.77122253</v>
      </c>
      <c r="I894" s="14">
        <v>49.93832386</v>
      </c>
      <c r="J894" s="13" t="s">
        <v>1104</v>
      </c>
      <c r="K894" s="13" t="s">
        <v>4240</v>
      </c>
      <c r="L894" s="24" t="e">
        <v>#N/A</v>
      </c>
      <c r="M894" s="24" t="e">
        <v>#N/A</v>
      </c>
      <c r="N894" s="1" t="e">
        <v>#N/A</v>
      </c>
    </row>
    <row r="895">
      <c r="A895" s="13" t="s">
        <v>921</v>
      </c>
      <c r="B895" s="13" t="s">
        <v>4035</v>
      </c>
      <c r="C895" s="13" t="s">
        <v>1114</v>
      </c>
      <c r="D895" s="13" t="s">
        <v>4228</v>
      </c>
      <c r="E895" s="13" t="s">
        <v>1439</v>
      </c>
      <c r="F895" s="13" t="s">
        <v>1438</v>
      </c>
      <c r="G895" s="13" t="s">
        <v>1439</v>
      </c>
      <c r="H895" s="14">
        <v>36.504158</v>
      </c>
      <c r="I895" s="14">
        <v>55.000786</v>
      </c>
      <c r="J895" s="13" t="s">
        <v>1104</v>
      </c>
      <c r="K895" s="13" t="s">
        <v>1516</v>
      </c>
      <c r="L895" s="24" t="e">
        <v>#N/A</v>
      </c>
      <c r="M895" s="24" t="e">
        <v>#N/A</v>
      </c>
      <c r="N895" s="1" t="e">
        <v>#N/A</v>
      </c>
    </row>
    <row r="896">
      <c r="A896" s="13" t="s">
        <v>927</v>
      </c>
      <c r="B896" s="13" t="s">
        <v>4035</v>
      </c>
      <c r="C896" s="13" t="s">
        <v>209</v>
      </c>
      <c r="D896" s="13" t="s">
        <v>4245</v>
      </c>
      <c r="E896" s="13" t="s">
        <v>1439</v>
      </c>
      <c r="F896" s="13" t="s">
        <v>1438</v>
      </c>
      <c r="G896" s="13" t="s">
        <v>1439</v>
      </c>
      <c r="H896" s="14">
        <v>34.2721</v>
      </c>
      <c r="I896" s="14">
        <v>47.4758</v>
      </c>
      <c r="J896" s="13" t="s">
        <v>1104</v>
      </c>
      <c r="K896" s="13" t="s">
        <v>1281</v>
      </c>
      <c r="L896" s="24" t="e">
        <v>#N/A</v>
      </c>
      <c r="M896" s="24" t="e">
        <v>#N/A</v>
      </c>
      <c r="N896" s="1" t="e">
        <v>#N/A</v>
      </c>
    </row>
    <row r="897">
      <c r="A897" s="13" t="s">
        <v>935</v>
      </c>
      <c r="B897" s="13" t="s">
        <v>4035</v>
      </c>
      <c r="C897" s="13" t="s">
        <v>209</v>
      </c>
      <c r="D897" s="13" t="s">
        <v>4247</v>
      </c>
      <c r="E897" s="13" t="s">
        <v>1687</v>
      </c>
      <c r="F897" s="13" t="s">
        <v>1687</v>
      </c>
      <c r="G897" s="13" t="s">
        <v>1687</v>
      </c>
      <c r="H897" s="14">
        <v>34.2721</v>
      </c>
      <c r="I897" s="14">
        <v>47.4758</v>
      </c>
      <c r="J897" s="13" t="s">
        <v>1104</v>
      </c>
      <c r="K897" s="13" t="s">
        <v>1281</v>
      </c>
      <c r="L897" s="24" t="e">
        <v>#N/A</v>
      </c>
      <c r="M897" s="24" t="e">
        <v>#N/A</v>
      </c>
      <c r="N897" s="1" t="e">
        <v>#N/A</v>
      </c>
    </row>
    <row r="898">
      <c r="A898" s="13" t="s">
        <v>940</v>
      </c>
      <c r="B898" s="13" t="s">
        <v>4035</v>
      </c>
      <c r="C898" s="13" t="s">
        <v>209</v>
      </c>
      <c r="D898" s="13" t="s">
        <v>4251</v>
      </c>
      <c r="E898" s="13" t="s">
        <v>1687</v>
      </c>
      <c r="F898" s="13" t="s">
        <v>1687</v>
      </c>
      <c r="G898" s="13" t="s">
        <v>1687</v>
      </c>
      <c r="H898" s="14">
        <v>34.2721</v>
      </c>
      <c r="I898" s="14">
        <v>47.4758</v>
      </c>
      <c r="J898" s="13" t="s">
        <v>1104</v>
      </c>
      <c r="K898" s="13" t="s">
        <v>1281</v>
      </c>
      <c r="L898" s="24" t="e">
        <v>#N/A</v>
      </c>
      <c r="M898" s="24" t="e">
        <v>#N/A</v>
      </c>
      <c r="N898" s="1" t="e">
        <v>#N/A</v>
      </c>
    </row>
    <row r="899">
      <c r="A899" s="13" t="s">
        <v>949</v>
      </c>
      <c r="B899" s="13" t="s">
        <v>4035</v>
      </c>
      <c r="C899" s="13" t="s">
        <v>209</v>
      </c>
      <c r="D899" s="13" t="s">
        <v>1653</v>
      </c>
      <c r="E899" s="13" t="s">
        <v>1439</v>
      </c>
      <c r="F899" s="13" t="s">
        <v>1438</v>
      </c>
      <c r="G899" s="13" t="s">
        <v>1439</v>
      </c>
      <c r="H899" s="14">
        <v>34.2721</v>
      </c>
      <c r="I899" s="14">
        <v>47.4758</v>
      </c>
      <c r="J899" s="13" t="s">
        <v>1104</v>
      </c>
      <c r="K899" s="13" t="s">
        <v>1281</v>
      </c>
      <c r="L899" s="14">
        <v>9700.0</v>
      </c>
      <c r="M899" s="14">
        <v>10150.0</v>
      </c>
      <c r="N899" s="1">
        <v>9250.0</v>
      </c>
    </row>
    <row r="900">
      <c r="A900" s="13" t="s">
        <v>957</v>
      </c>
      <c r="B900" s="13" t="s">
        <v>4035</v>
      </c>
      <c r="C900" s="13" t="s">
        <v>209</v>
      </c>
      <c r="D900" s="13" t="s">
        <v>4251</v>
      </c>
      <c r="E900" s="13" t="s">
        <v>1687</v>
      </c>
      <c r="F900" s="13" t="s">
        <v>1687</v>
      </c>
      <c r="G900" s="13" t="s">
        <v>1687</v>
      </c>
      <c r="H900" s="14">
        <v>34.2721</v>
      </c>
      <c r="I900" s="14">
        <v>47.4758</v>
      </c>
      <c r="J900" s="13" t="s">
        <v>1104</v>
      </c>
      <c r="K900" s="13" t="s">
        <v>1281</v>
      </c>
      <c r="L900" s="24" t="e">
        <v>#N/A</v>
      </c>
      <c r="M900" s="24" t="e">
        <v>#N/A</v>
      </c>
      <c r="N900" s="1" t="e">
        <v>#N/A</v>
      </c>
    </row>
    <row r="901">
      <c r="A901" s="13" t="s">
        <v>960</v>
      </c>
      <c r="B901" s="13" t="s">
        <v>4035</v>
      </c>
      <c r="C901" s="13" t="s">
        <v>1114</v>
      </c>
      <c r="D901" s="13" t="s">
        <v>1955</v>
      </c>
      <c r="E901" s="13" t="s">
        <v>1687</v>
      </c>
      <c r="F901" s="13" t="s">
        <v>1687</v>
      </c>
      <c r="G901" s="13" t="s">
        <v>1687</v>
      </c>
      <c r="H901" s="14">
        <v>33.40900013</v>
      </c>
      <c r="I901" s="14">
        <v>49.25473456</v>
      </c>
      <c r="J901" s="13" t="s">
        <v>1104</v>
      </c>
      <c r="K901" s="13" t="s">
        <v>4260</v>
      </c>
      <c r="L901" s="24" t="e">
        <v>#N/A</v>
      </c>
      <c r="M901" s="24" t="e">
        <v>#N/A</v>
      </c>
      <c r="N901" s="1" t="e">
        <v>#N/A</v>
      </c>
    </row>
    <row r="902">
      <c r="A902" s="13" t="s">
        <v>968</v>
      </c>
      <c r="B902" s="13" t="s">
        <v>4035</v>
      </c>
      <c r="C902" s="13" t="s">
        <v>1114</v>
      </c>
      <c r="D902" s="13" t="s">
        <v>4261</v>
      </c>
      <c r="E902" s="13" t="s">
        <v>1687</v>
      </c>
      <c r="F902" s="13" t="s">
        <v>1687</v>
      </c>
      <c r="G902" s="13" t="s">
        <v>1687</v>
      </c>
      <c r="H902" s="14">
        <v>33.40900013</v>
      </c>
      <c r="I902" s="14">
        <v>49.25473456</v>
      </c>
      <c r="J902" s="13" t="s">
        <v>1104</v>
      </c>
      <c r="K902" s="13" t="s">
        <v>4260</v>
      </c>
      <c r="L902" s="24" t="e">
        <v>#N/A</v>
      </c>
      <c r="M902" s="24" t="e">
        <v>#N/A</v>
      </c>
      <c r="N902" s="1" t="e">
        <v>#N/A</v>
      </c>
    </row>
    <row r="903">
      <c r="A903" s="13" t="s">
        <v>974</v>
      </c>
      <c r="B903" s="13" t="s">
        <v>4035</v>
      </c>
      <c r="C903" s="13" t="s">
        <v>1114</v>
      </c>
      <c r="D903" s="13" t="s">
        <v>4264</v>
      </c>
      <c r="E903" s="13" t="s">
        <v>119</v>
      </c>
      <c r="F903" s="13" t="s">
        <v>121</v>
      </c>
      <c r="G903" s="13" t="s">
        <v>119</v>
      </c>
      <c r="H903" s="14">
        <v>27.29618707</v>
      </c>
      <c r="I903" s="14">
        <v>53.29320787</v>
      </c>
      <c r="J903" s="13" t="s">
        <v>1104</v>
      </c>
      <c r="K903" s="13" t="s">
        <v>4265</v>
      </c>
      <c r="L903" s="24" t="e">
        <v>#N/A</v>
      </c>
      <c r="M903" s="24" t="e">
        <v>#N/A</v>
      </c>
      <c r="N903" s="1" t="e">
        <v>#N/A</v>
      </c>
    </row>
    <row r="904">
      <c r="A904" s="13" t="s">
        <v>983</v>
      </c>
      <c r="B904" s="13" t="s">
        <v>4035</v>
      </c>
      <c r="C904" s="13" t="s">
        <v>1114</v>
      </c>
      <c r="D904" s="13" t="s">
        <v>4264</v>
      </c>
      <c r="E904" s="13" t="s">
        <v>1687</v>
      </c>
      <c r="F904" s="13" t="s">
        <v>1687</v>
      </c>
      <c r="G904" s="13" t="s">
        <v>1687</v>
      </c>
      <c r="H904" s="14">
        <v>33.40900013</v>
      </c>
      <c r="I904" s="14">
        <v>49.25473456</v>
      </c>
      <c r="J904" s="13" t="s">
        <v>1104</v>
      </c>
      <c r="K904" s="13" t="s">
        <v>4260</v>
      </c>
      <c r="L904" s="24" t="e">
        <v>#N/A</v>
      </c>
      <c r="M904" s="24" t="e">
        <v>#N/A</v>
      </c>
      <c r="N904" s="1" t="e">
        <v>#N/A</v>
      </c>
    </row>
    <row r="905">
      <c r="A905" s="13" t="s">
        <v>989</v>
      </c>
      <c r="B905" s="13" t="s">
        <v>4035</v>
      </c>
      <c r="C905" s="13" t="s">
        <v>1114</v>
      </c>
      <c r="D905" s="13" t="s">
        <v>4228</v>
      </c>
      <c r="E905" s="13" t="s">
        <v>1316</v>
      </c>
      <c r="F905" s="13" t="s">
        <v>1315</v>
      </c>
      <c r="G905" s="13" t="s">
        <v>1316</v>
      </c>
      <c r="H905" s="14">
        <v>33.567028</v>
      </c>
      <c r="I905" s="14">
        <v>48.273917</v>
      </c>
      <c r="J905" s="13" t="s">
        <v>1104</v>
      </c>
      <c r="K905" s="13" t="s">
        <v>4272</v>
      </c>
      <c r="L905" s="24" t="e">
        <v>#N/A</v>
      </c>
      <c r="M905" s="24" t="e">
        <v>#N/A</v>
      </c>
      <c r="N905" s="1" t="e">
        <v>#N/A</v>
      </c>
    </row>
    <row r="906">
      <c r="A906" s="13" t="s">
        <v>998</v>
      </c>
      <c r="B906" s="13" t="s">
        <v>4035</v>
      </c>
      <c r="C906" s="13" t="s">
        <v>1114</v>
      </c>
      <c r="D906" s="13" t="s">
        <v>4273</v>
      </c>
      <c r="E906" s="13" t="s">
        <v>1687</v>
      </c>
      <c r="F906" s="13" t="s">
        <v>1687</v>
      </c>
      <c r="G906" s="13" t="s">
        <v>1687</v>
      </c>
      <c r="H906" s="14">
        <v>33.567028</v>
      </c>
      <c r="I906" s="14">
        <v>48.273917</v>
      </c>
      <c r="J906" s="13" t="s">
        <v>1104</v>
      </c>
      <c r="K906" s="13" t="s">
        <v>4272</v>
      </c>
      <c r="L906" s="24" t="e">
        <v>#N/A</v>
      </c>
      <c r="M906" s="24" t="e">
        <v>#N/A</v>
      </c>
      <c r="N906" s="1" t="e">
        <v>#N/A</v>
      </c>
    </row>
    <row r="907">
      <c r="A907" s="13" t="s">
        <v>1002</v>
      </c>
      <c r="B907" s="13" t="s">
        <v>4035</v>
      </c>
      <c r="C907" s="13" t="s">
        <v>1114</v>
      </c>
      <c r="D907" s="13" t="s">
        <v>4264</v>
      </c>
      <c r="E907" s="13" t="s">
        <v>1687</v>
      </c>
      <c r="F907" s="13" t="s">
        <v>1687</v>
      </c>
      <c r="G907" s="13" t="s">
        <v>1687</v>
      </c>
      <c r="H907" s="14">
        <v>29.93570314</v>
      </c>
      <c r="I907" s="14">
        <v>52.88917097</v>
      </c>
      <c r="J907" s="13" t="s">
        <v>1104</v>
      </c>
      <c r="K907" s="13" t="s">
        <v>4276</v>
      </c>
      <c r="L907" s="24" t="e">
        <v>#N/A</v>
      </c>
      <c r="M907" s="24" t="e">
        <v>#N/A</v>
      </c>
      <c r="N907" s="1" t="e">
        <v>#N/A</v>
      </c>
    </row>
    <row r="908">
      <c r="A908" s="13" t="s">
        <v>1010</v>
      </c>
      <c r="B908" s="13" t="s">
        <v>4035</v>
      </c>
      <c r="C908" s="13" t="s">
        <v>1114</v>
      </c>
      <c r="D908" s="13" t="s">
        <v>4264</v>
      </c>
      <c r="E908" s="13" t="s">
        <v>1687</v>
      </c>
      <c r="F908" s="13" t="s">
        <v>1687</v>
      </c>
      <c r="G908" s="13" t="s">
        <v>1687</v>
      </c>
      <c r="H908" s="14">
        <v>29.93570314</v>
      </c>
      <c r="I908" s="14">
        <v>52.88917097</v>
      </c>
      <c r="J908" s="13" t="s">
        <v>1104</v>
      </c>
      <c r="K908" s="13" t="s">
        <v>4276</v>
      </c>
      <c r="L908" s="24" t="e">
        <v>#N/A</v>
      </c>
      <c r="M908" s="24" t="e">
        <v>#N/A</v>
      </c>
      <c r="N908" s="1" t="e">
        <v>#N/A</v>
      </c>
    </row>
    <row r="909">
      <c r="A909" s="13" t="s">
        <v>1017</v>
      </c>
      <c r="B909" s="13" t="s">
        <v>4035</v>
      </c>
      <c r="C909" s="13" t="s">
        <v>1114</v>
      </c>
      <c r="D909" s="13" t="s">
        <v>4278</v>
      </c>
      <c r="E909" s="13" t="s">
        <v>1675</v>
      </c>
      <c r="F909" s="13" t="s">
        <v>1390</v>
      </c>
      <c r="G909" s="13" t="s">
        <v>1675</v>
      </c>
      <c r="H909" s="14">
        <v>33.567028</v>
      </c>
      <c r="I909" s="14">
        <v>48.273917</v>
      </c>
      <c r="J909" s="13" t="s">
        <v>1104</v>
      </c>
      <c r="K909" s="13" t="s">
        <v>4272</v>
      </c>
      <c r="L909" s="24" t="e">
        <v>#N/A</v>
      </c>
      <c r="M909" s="24" t="e">
        <v>#N/A</v>
      </c>
      <c r="N909" s="1" t="e">
        <v>#N/A</v>
      </c>
    </row>
    <row r="910">
      <c r="A910" s="13" t="s">
        <v>1022</v>
      </c>
      <c r="B910" s="13" t="s">
        <v>4035</v>
      </c>
      <c r="C910" s="13" t="s">
        <v>1114</v>
      </c>
      <c r="D910" s="13" t="s">
        <v>4264</v>
      </c>
      <c r="E910" s="13" t="s">
        <v>1439</v>
      </c>
      <c r="F910" s="13" t="s">
        <v>1438</v>
      </c>
      <c r="G910" s="13" t="s">
        <v>1439</v>
      </c>
      <c r="H910" s="14">
        <v>33.40900013</v>
      </c>
      <c r="I910" s="14">
        <v>49.25473456</v>
      </c>
      <c r="J910" s="13" t="s">
        <v>1104</v>
      </c>
      <c r="K910" s="13" t="s">
        <v>4260</v>
      </c>
      <c r="L910" s="24" t="e">
        <v>#N/A</v>
      </c>
      <c r="M910" s="24" t="e">
        <v>#N/A</v>
      </c>
      <c r="N910" s="1" t="e">
        <v>#N/A</v>
      </c>
    </row>
    <row r="911">
      <c r="A911" s="13" t="s">
        <v>1026</v>
      </c>
      <c r="B911" s="13" t="s">
        <v>4035</v>
      </c>
      <c r="C911" s="13" t="s">
        <v>1114</v>
      </c>
      <c r="D911" s="13" t="s">
        <v>4264</v>
      </c>
      <c r="E911" s="13" t="s">
        <v>1439</v>
      </c>
      <c r="F911" s="13" t="s">
        <v>1438</v>
      </c>
      <c r="G911" s="13" t="s">
        <v>1439</v>
      </c>
      <c r="H911" s="14">
        <v>33.40900013</v>
      </c>
      <c r="I911" s="14">
        <v>49.25473456</v>
      </c>
      <c r="J911" s="13" t="s">
        <v>1104</v>
      </c>
      <c r="K911" s="13" t="s">
        <v>4260</v>
      </c>
      <c r="L911" s="24" t="e">
        <v>#N/A</v>
      </c>
      <c r="M911" s="24" t="e">
        <v>#N/A</v>
      </c>
      <c r="N911" s="1" t="e">
        <v>#N/A</v>
      </c>
    </row>
    <row r="912">
      <c r="A912" s="13" t="s">
        <v>1033</v>
      </c>
      <c r="B912" s="13" t="s">
        <v>4035</v>
      </c>
      <c r="C912" s="13" t="s">
        <v>1114</v>
      </c>
      <c r="D912" s="13" t="s">
        <v>4264</v>
      </c>
      <c r="E912" s="13" t="s">
        <v>1439</v>
      </c>
      <c r="F912" s="13" t="s">
        <v>1438</v>
      </c>
      <c r="G912" s="13" t="s">
        <v>1439</v>
      </c>
      <c r="H912" s="14">
        <v>36.692264</v>
      </c>
      <c r="I912" s="14">
        <v>53.538259</v>
      </c>
      <c r="J912" s="13" t="s">
        <v>1104</v>
      </c>
      <c r="K912" s="13" t="s">
        <v>4281</v>
      </c>
      <c r="L912" s="24" t="e">
        <v>#N/A</v>
      </c>
      <c r="M912" s="24" t="e">
        <v>#N/A</v>
      </c>
      <c r="N912" s="1" t="e">
        <v>#N/A</v>
      </c>
    </row>
    <row r="913">
      <c r="A913" s="13" t="s">
        <v>1037</v>
      </c>
      <c r="B913" s="13" t="s">
        <v>4035</v>
      </c>
      <c r="C913" s="13" t="s">
        <v>1114</v>
      </c>
      <c r="D913" s="13" t="s">
        <v>1955</v>
      </c>
      <c r="E913" s="13" t="s">
        <v>1687</v>
      </c>
      <c r="F913" s="13" t="s">
        <v>1687</v>
      </c>
      <c r="G913" s="13" t="s">
        <v>1687</v>
      </c>
      <c r="H913" s="14">
        <v>27.29618707</v>
      </c>
      <c r="I913" s="14">
        <v>53.29320787</v>
      </c>
      <c r="J913" s="13" t="s">
        <v>1104</v>
      </c>
      <c r="K913" s="13" t="s">
        <v>4265</v>
      </c>
      <c r="L913" s="24" t="e">
        <v>#N/A</v>
      </c>
      <c r="M913" s="24" t="e">
        <v>#N/A</v>
      </c>
      <c r="N913" s="1" t="e">
        <v>#N/A</v>
      </c>
    </row>
    <row r="914">
      <c r="A914" s="13" t="s">
        <v>1045</v>
      </c>
      <c r="B914" s="13" t="s">
        <v>4035</v>
      </c>
      <c r="C914" s="13" t="s">
        <v>209</v>
      </c>
      <c r="D914" s="13" t="s">
        <v>4283</v>
      </c>
      <c r="E914" s="13" t="s">
        <v>1316</v>
      </c>
      <c r="F914" s="13" t="s">
        <v>1315</v>
      </c>
      <c r="G914" s="13" t="s">
        <v>1316</v>
      </c>
      <c r="H914" s="14">
        <v>32.56107143</v>
      </c>
      <c r="I914" s="14">
        <v>47.32417111</v>
      </c>
      <c r="J914" s="13" t="s">
        <v>1104</v>
      </c>
      <c r="K914" s="13" t="s">
        <v>1886</v>
      </c>
      <c r="L914" s="14">
        <v>9250.0</v>
      </c>
      <c r="M914" s="14">
        <v>9500.0</v>
      </c>
      <c r="N914" s="1">
        <v>9000.0</v>
      </c>
    </row>
    <row r="915">
      <c r="A915" s="13" t="s">
        <v>1048</v>
      </c>
      <c r="B915" s="13" t="s">
        <v>4035</v>
      </c>
      <c r="C915" s="13" t="s">
        <v>209</v>
      </c>
      <c r="D915" s="13" t="s">
        <v>4284</v>
      </c>
      <c r="E915" s="13" t="s">
        <v>1687</v>
      </c>
      <c r="F915" s="13" t="s">
        <v>1687</v>
      </c>
      <c r="G915" s="13" t="s">
        <v>1687</v>
      </c>
      <c r="H915" s="14">
        <v>32.56107143</v>
      </c>
      <c r="I915" s="14">
        <v>47.32417111</v>
      </c>
      <c r="J915" s="13" t="s">
        <v>1104</v>
      </c>
      <c r="K915" s="13" t="s">
        <v>1886</v>
      </c>
      <c r="L915" s="14">
        <v>9250.0</v>
      </c>
      <c r="M915" s="14">
        <v>9500.0</v>
      </c>
      <c r="N915" s="1">
        <v>9000.0</v>
      </c>
    </row>
    <row r="916">
      <c r="A916" s="52" t="s">
        <v>1052</v>
      </c>
      <c r="B916" s="13" t="s">
        <v>4035</v>
      </c>
      <c r="C916" s="13" t="s">
        <v>209</v>
      </c>
      <c r="D916" s="13" t="s">
        <v>1881</v>
      </c>
      <c r="E916" s="13" t="s">
        <v>1687</v>
      </c>
      <c r="F916" s="13" t="s">
        <v>1687</v>
      </c>
      <c r="G916" s="13" t="s">
        <v>1687</v>
      </c>
      <c r="H916" s="14">
        <v>32.56107143</v>
      </c>
      <c r="I916" s="14">
        <v>47.32417111</v>
      </c>
      <c r="J916" s="13" t="s">
        <v>1104</v>
      </c>
      <c r="K916" s="13" t="s">
        <v>1886</v>
      </c>
      <c r="L916" s="14">
        <v>9250.0</v>
      </c>
      <c r="M916" s="14">
        <v>9500.0</v>
      </c>
      <c r="N916" s="1">
        <v>9000.0</v>
      </c>
    </row>
    <row r="917">
      <c r="A917" s="13" t="s">
        <v>1055</v>
      </c>
      <c r="B917" s="13" t="s">
        <v>4035</v>
      </c>
      <c r="C917" s="13" t="s">
        <v>209</v>
      </c>
      <c r="D917" s="13" t="s">
        <v>4289</v>
      </c>
      <c r="E917" s="13" t="s">
        <v>1316</v>
      </c>
      <c r="F917" s="13" t="s">
        <v>1315</v>
      </c>
      <c r="G917" s="13" t="s">
        <v>1316</v>
      </c>
      <c r="H917" s="14">
        <v>34.2721</v>
      </c>
      <c r="I917" s="14">
        <v>47.4758</v>
      </c>
      <c r="J917" s="13" t="s">
        <v>1104</v>
      </c>
      <c r="K917" s="13" t="s">
        <v>1281</v>
      </c>
      <c r="L917" s="24" t="e">
        <v>#N/A</v>
      </c>
      <c r="M917" s="24" t="e">
        <v>#N/A</v>
      </c>
      <c r="N917" s="1" t="e">
        <v>#N/A</v>
      </c>
    </row>
    <row r="918">
      <c r="A918" s="13" t="s">
        <v>1060</v>
      </c>
      <c r="B918" s="13" t="s">
        <v>4035</v>
      </c>
      <c r="C918" s="13" t="s">
        <v>209</v>
      </c>
      <c r="D918" s="13" t="s">
        <v>4289</v>
      </c>
      <c r="E918" s="13" t="s">
        <v>1687</v>
      </c>
      <c r="F918" s="13" t="s">
        <v>1687</v>
      </c>
      <c r="G918" s="13" t="s">
        <v>1687</v>
      </c>
      <c r="H918" s="14">
        <v>34.2721</v>
      </c>
      <c r="I918" s="14">
        <v>47.4758</v>
      </c>
      <c r="J918" s="13" t="s">
        <v>1104</v>
      </c>
      <c r="K918" s="13" t="s">
        <v>1281</v>
      </c>
      <c r="L918" s="24" t="e">
        <v>#N/A</v>
      </c>
      <c r="M918" s="24" t="e">
        <v>#N/A</v>
      </c>
      <c r="N918" s="1" t="e">
        <v>#N/A</v>
      </c>
    </row>
    <row r="919">
      <c r="A919" s="13" t="s">
        <v>1065</v>
      </c>
      <c r="B919" s="13" t="s">
        <v>4035</v>
      </c>
      <c r="C919" s="13" t="s">
        <v>209</v>
      </c>
      <c r="D919" s="13" t="s">
        <v>4294</v>
      </c>
      <c r="E919" s="13" t="s">
        <v>1687</v>
      </c>
      <c r="F919" s="13" t="s">
        <v>1687</v>
      </c>
      <c r="G919" s="13" t="s">
        <v>1687</v>
      </c>
      <c r="H919" s="14">
        <v>34.2721</v>
      </c>
      <c r="I919" s="14">
        <v>47.4758</v>
      </c>
      <c r="J919" s="13" t="s">
        <v>1104</v>
      </c>
      <c r="K919" s="13" t="s">
        <v>1281</v>
      </c>
      <c r="L919" s="24" t="e">
        <v>#N/A</v>
      </c>
      <c r="M919" s="24" t="e">
        <v>#N/A</v>
      </c>
      <c r="N919" s="1" t="e">
        <v>#N/A</v>
      </c>
    </row>
    <row r="920">
      <c r="A920" s="13" t="s">
        <v>1068</v>
      </c>
      <c r="B920" s="13" t="s">
        <v>4035</v>
      </c>
      <c r="C920" s="13" t="s">
        <v>209</v>
      </c>
      <c r="D920" s="13" t="s">
        <v>4296</v>
      </c>
      <c r="E920" s="13" t="s">
        <v>1439</v>
      </c>
      <c r="F920" s="13" t="s">
        <v>1438</v>
      </c>
      <c r="G920" s="13" t="s">
        <v>1439</v>
      </c>
      <c r="H920" s="14">
        <v>34.2721</v>
      </c>
      <c r="I920" s="14">
        <v>47.4758</v>
      </c>
      <c r="J920" s="13" t="s">
        <v>1104</v>
      </c>
      <c r="K920" s="13" t="s">
        <v>1281</v>
      </c>
      <c r="L920" s="24" t="e">
        <v>#N/A</v>
      </c>
      <c r="M920" s="24" t="e">
        <v>#N/A</v>
      </c>
      <c r="N920" s="1" t="e">
        <v>#N/A</v>
      </c>
    </row>
    <row r="921">
      <c r="A921" s="13" t="s">
        <v>1073</v>
      </c>
      <c r="B921" s="13" t="s">
        <v>4035</v>
      </c>
      <c r="C921" s="13" t="s">
        <v>209</v>
      </c>
      <c r="D921" s="13" t="s">
        <v>4283</v>
      </c>
      <c r="E921" s="13" t="s">
        <v>1439</v>
      </c>
      <c r="F921" s="13" t="s">
        <v>1438</v>
      </c>
      <c r="G921" s="13" t="s">
        <v>1439</v>
      </c>
      <c r="H921" s="14">
        <v>34.2721</v>
      </c>
      <c r="I921" s="14">
        <v>47.4758</v>
      </c>
      <c r="J921" s="13" t="s">
        <v>1104</v>
      </c>
      <c r="K921" s="13" t="s">
        <v>1281</v>
      </c>
      <c r="L921" s="24" t="e">
        <v>#N/A</v>
      </c>
      <c r="M921" s="24" t="e">
        <v>#N/A</v>
      </c>
      <c r="N921" s="1" t="e">
        <v>#N/A</v>
      </c>
    </row>
    <row r="922">
      <c r="A922" s="13" t="s">
        <v>1077</v>
      </c>
      <c r="B922" s="13" t="s">
        <v>4035</v>
      </c>
      <c r="C922" s="13" t="s">
        <v>209</v>
      </c>
      <c r="D922" s="13" t="s">
        <v>4289</v>
      </c>
      <c r="E922" s="13" t="s">
        <v>1687</v>
      </c>
      <c r="F922" s="13" t="s">
        <v>1687</v>
      </c>
      <c r="G922" s="13" t="s">
        <v>1687</v>
      </c>
      <c r="H922" s="14">
        <v>34.2721</v>
      </c>
      <c r="I922" s="14">
        <v>47.4758</v>
      </c>
      <c r="J922" s="13" t="s">
        <v>1104</v>
      </c>
      <c r="K922" s="13" t="s">
        <v>1281</v>
      </c>
      <c r="L922" s="24" t="e">
        <v>#N/A</v>
      </c>
      <c r="M922" s="24" t="e">
        <v>#N/A</v>
      </c>
      <c r="N922" s="1" t="e">
        <v>#N/A</v>
      </c>
    </row>
    <row r="923">
      <c r="A923" s="13" t="s">
        <v>1080</v>
      </c>
      <c r="B923" s="13" t="s">
        <v>4035</v>
      </c>
      <c r="C923" s="13" t="s">
        <v>209</v>
      </c>
      <c r="D923" s="13" t="s">
        <v>4299</v>
      </c>
      <c r="E923" s="13" t="s">
        <v>1687</v>
      </c>
      <c r="F923" s="13" t="s">
        <v>1687</v>
      </c>
      <c r="G923" s="13" t="s">
        <v>1687</v>
      </c>
      <c r="H923" s="14">
        <v>34.2721</v>
      </c>
      <c r="I923" s="14">
        <v>47.4758</v>
      </c>
      <c r="J923" s="13" t="s">
        <v>1104</v>
      </c>
      <c r="K923" s="13" t="s">
        <v>1281</v>
      </c>
      <c r="L923" s="24" t="e">
        <v>#N/A</v>
      </c>
      <c r="M923" s="24" t="e">
        <v>#N/A</v>
      </c>
      <c r="N923" s="1" t="e">
        <v>#N/A</v>
      </c>
    </row>
    <row r="924">
      <c r="A924" s="13" t="s">
        <v>1083</v>
      </c>
      <c r="B924" s="13" t="s">
        <v>4035</v>
      </c>
      <c r="C924" s="13" t="s">
        <v>209</v>
      </c>
      <c r="D924" s="13" t="s">
        <v>4283</v>
      </c>
      <c r="E924" s="13" t="s">
        <v>1687</v>
      </c>
      <c r="F924" s="13" t="s">
        <v>1687</v>
      </c>
      <c r="G924" s="13" t="s">
        <v>1687</v>
      </c>
      <c r="H924" s="14">
        <v>34.2721</v>
      </c>
      <c r="I924" s="14">
        <v>47.4758</v>
      </c>
      <c r="J924" s="13" t="s">
        <v>1104</v>
      </c>
      <c r="K924" s="13" t="s">
        <v>1281</v>
      </c>
      <c r="L924" s="24" t="e">
        <v>#N/A</v>
      </c>
      <c r="M924" s="24" t="e">
        <v>#N/A</v>
      </c>
      <c r="N924" s="1" t="e">
        <v>#N/A</v>
      </c>
    </row>
    <row r="925">
      <c r="A925" s="13" t="s">
        <v>1087</v>
      </c>
      <c r="B925" s="13" t="s">
        <v>4035</v>
      </c>
      <c r="C925" s="13" t="s">
        <v>209</v>
      </c>
      <c r="D925" s="13" t="s">
        <v>4283</v>
      </c>
      <c r="E925" s="13" t="s">
        <v>1687</v>
      </c>
      <c r="F925" s="13" t="s">
        <v>1687</v>
      </c>
      <c r="G925" s="13" t="s">
        <v>1687</v>
      </c>
      <c r="H925" s="14">
        <v>34.2721</v>
      </c>
      <c r="I925" s="14">
        <v>47.4758</v>
      </c>
      <c r="J925" s="13" t="s">
        <v>1104</v>
      </c>
      <c r="K925" s="13" t="s">
        <v>1281</v>
      </c>
      <c r="L925" s="24" t="e">
        <v>#N/A</v>
      </c>
      <c r="M925" s="24" t="e">
        <v>#N/A</v>
      </c>
      <c r="N925" s="1" t="e">
        <v>#N/A</v>
      </c>
    </row>
    <row r="926">
      <c r="A926" s="13" t="s">
        <v>1097</v>
      </c>
      <c r="B926" s="13" t="s">
        <v>4035</v>
      </c>
      <c r="C926" s="13" t="s">
        <v>209</v>
      </c>
      <c r="D926" s="13" t="s">
        <v>4305</v>
      </c>
      <c r="E926" s="13" t="s">
        <v>1687</v>
      </c>
      <c r="F926" s="13" t="s">
        <v>1687</v>
      </c>
      <c r="G926" s="13" t="s">
        <v>1687</v>
      </c>
      <c r="H926" s="14">
        <v>34.2721</v>
      </c>
      <c r="I926" s="14">
        <v>47.4758</v>
      </c>
      <c r="J926" s="13" t="s">
        <v>1104</v>
      </c>
      <c r="K926" s="13" t="s">
        <v>1281</v>
      </c>
      <c r="L926" s="24" t="e">
        <v>#N/A</v>
      </c>
      <c r="M926" s="24" t="e">
        <v>#N/A</v>
      </c>
      <c r="N926" s="1" t="e">
        <v>#N/A</v>
      </c>
    </row>
    <row r="927">
      <c r="A927" s="13" t="s">
        <v>1101</v>
      </c>
      <c r="B927" s="13" t="s">
        <v>4035</v>
      </c>
      <c r="C927" s="13" t="s">
        <v>209</v>
      </c>
      <c r="D927" s="13" t="s">
        <v>4283</v>
      </c>
      <c r="E927" s="13" t="s">
        <v>1439</v>
      </c>
      <c r="F927" s="13" t="s">
        <v>1438</v>
      </c>
      <c r="G927" s="13" t="s">
        <v>1439</v>
      </c>
      <c r="H927" s="14">
        <v>34.2721</v>
      </c>
      <c r="I927" s="14">
        <v>47.4758</v>
      </c>
      <c r="J927" s="13" t="s">
        <v>1104</v>
      </c>
      <c r="K927" s="13" t="s">
        <v>1281</v>
      </c>
      <c r="L927" s="24" t="e">
        <v>#N/A</v>
      </c>
      <c r="M927" s="24" t="e">
        <v>#N/A</v>
      </c>
      <c r="N927" s="1" t="e">
        <v>#N/A</v>
      </c>
    </row>
    <row r="928">
      <c r="A928" s="13" t="s">
        <v>1105</v>
      </c>
      <c r="B928" s="13" t="s">
        <v>4035</v>
      </c>
      <c r="C928" s="13" t="s">
        <v>209</v>
      </c>
      <c r="D928" s="13" t="s">
        <v>4299</v>
      </c>
      <c r="E928" s="13" t="s">
        <v>1687</v>
      </c>
      <c r="F928" s="13" t="s">
        <v>1687</v>
      </c>
      <c r="G928" s="13" t="s">
        <v>1687</v>
      </c>
      <c r="H928" s="14">
        <v>34.2721</v>
      </c>
      <c r="I928" s="14">
        <v>47.4758</v>
      </c>
      <c r="J928" s="13" t="s">
        <v>1104</v>
      </c>
      <c r="K928" s="13" t="s">
        <v>1281</v>
      </c>
      <c r="L928" s="24" t="e">
        <v>#N/A</v>
      </c>
      <c r="M928" s="24" t="e">
        <v>#N/A</v>
      </c>
      <c r="N928" s="1" t="e">
        <v>#N/A</v>
      </c>
    </row>
    <row r="929">
      <c r="A929" s="13" t="s">
        <v>1108</v>
      </c>
      <c r="B929" s="13" t="s">
        <v>4035</v>
      </c>
      <c r="C929" s="13" t="s">
        <v>209</v>
      </c>
      <c r="D929" s="13" t="s">
        <v>4305</v>
      </c>
      <c r="E929" s="13" t="s">
        <v>1687</v>
      </c>
      <c r="F929" s="13" t="s">
        <v>1687</v>
      </c>
      <c r="G929" s="13" t="s">
        <v>1687</v>
      </c>
      <c r="H929" s="14">
        <v>34.2721</v>
      </c>
      <c r="I929" s="14">
        <v>47.4758</v>
      </c>
      <c r="J929" s="13" t="s">
        <v>1104</v>
      </c>
      <c r="K929" s="13" t="s">
        <v>1281</v>
      </c>
      <c r="L929" s="24" t="e">
        <v>#N/A</v>
      </c>
      <c r="M929" s="24" t="e">
        <v>#N/A</v>
      </c>
      <c r="N929" s="1" t="e">
        <v>#N/A</v>
      </c>
    </row>
    <row r="930">
      <c r="A930" s="13" t="s">
        <v>1112</v>
      </c>
      <c r="B930" s="13" t="s">
        <v>4035</v>
      </c>
      <c r="C930" s="13" t="s">
        <v>195</v>
      </c>
      <c r="D930" s="13" t="s">
        <v>4312</v>
      </c>
      <c r="E930" s="13" t="s">
        <v>1439</v>
      </c>
      <c r="F930" s="13" t="s">
        <v>1438</v>
      </c>
      <c r="G930" s="13" t="s">
        <v>1439</v>
      </c>
      <c r="H930" s="14">
        <v>36.831593</v>
      </c>
      <c r="I930" s="14">
        <v>44.221083</v>
      </c>
      <c r="J930" s="13" t="s">
        <v>3694</v>
      </c>
      <c r="K930" s="13" t="s">
        <v>4313</v>
      </c>
      <c r="L930" s="24" t="e">
        <v>#N/A</v>
      </c>
      <c r="M930" s="24" t="e">
        <v>#N/A</v>
      </c>
      <c r="N930" s="1" t="e">
        <v>#N/A</v>
      </c>
    </row>
    <row r="931">
      <c r="A931" s="13" t="s">
        <v>1121</v>
      </c>
      <c r="B931" s="13" t="s">
        <v>4035</v>
      </c>
      <c r="C931" s="13" t="s">
        <v>195</v>
      </c>
      <c r="D931" s="13" t="s">
        <v>4312</v>
      </c>
      <c r="E931" s="13" t="s">
        <v>1439</v>
      </c>
      <c r="F931" s="13" t="s">
        <v>1438</v>
      </c>
      <c r="G931" s="13" t="s">
        <v>1439</v>
      </c>
      <c r="H931" s="14">
        <v>36.831593</v>
      </c>
      <c r="I931" s="14">
        <v>44.221083</v>
      </c>
      <c r="J931" s="13" t="s">
        <v>3694</v>
      </c>
      <c r="K931" s="13" t="s">
        <v>4313</v>
      </c>
      <c r="L931" s="24" t="e">
        <v>#N/A</v>
      </c>
      <c r="M931" s="24" t="e">
        <v>#N/A</v>
      </c>
      <c r="N931" s="1" t="e">
        <v>#N/A</v>
      </c>
    </row>
    <row r="932">
      <c r="A932" s="13" t="s">
        <v>1129</v>
      </c>
      <c r="B932" s="13" t="s">
        <v>4035</v>
      </c>
      <c r="C932" s="13" t="s">
        <v>1114</v>
      </c>
      <c r="D932" s="13" t="s">
        <v>1955</v>
      </c>
      <c r="E932" s="13" t="s">
        <v>1687</v>
      </c>
      <c r="F932" s="13" t="s">
        <v>1687</v>
      </c>
      <c r="G932" s="13" t="s">
        <v>1687</v>
      </c>
      <c r="H932" s="14">
        <v>32.56107143</v>
      </c>
      <c r="I932" s="14">
        <v>47.32417111</v>
      </c>
      <c r="J932" s="13" t="s">
        <v>1104</v>
      </c>
      <c r="K932" s="13" t="s">
        <v>1886</v>
      </c>
      <c r="L932" s="24" t="e">
        <v>#N/A</v>
      </c>
      <c r="M932" s="24" t="e">
        <v>#N/A</v>
      </c>
      <c r="N932" s="1" t="e">
        <v>#N/A</v>
      </c>
    </row>
    <row r="933">
      <c r="A933" s="13" t="s">
        <v>1132</v>
      </c>
      <c r="B933" s="13" t="s">
        <v>4035</v>
      </c>
      <c r="C933" s="13" t="s">
        <v>1114</v>
      </c>
      <c r="D933" s="13" t="s">
        <v>4318</v>
      </c>
      <c r="E933" s="13" t="s">
        <v>1687</v>
      </c>
      <c r="F933" s="13" t="s">
        <v>1687</v>
      </c>
      <c r="G933" s="13" t="s">
        <v>1687</v>
      </c>
      <c r="H933" s="14">
        <v>34.2721</v>
      </c>
      <c r="I933" s="14">
        <v>47.4758</v>
      </c>
      <c r="J933" s="13" t="s">
        <v>1104</v>
      </c>
      <c r="K933" s="13" t="s">
        <v>1281</v>
      </c>
      <c r="L933" s="24" t="e">
        <v>#N/A</v>
      </c>
      <c r="M933" s="24" t="e">
        <v>#N/A</v>
      </c>
      <c r="N933" s="1" t="e">
        <v>#N/A</v>
      </c>
    </row>
    <row r="934">
      <c r="A934" s="13" t="s">
        <v>1140</v>
      </c>
      <c r="B934" s="13" t="s">
        <v>4035</v>
      </c>
      <c r="C934" s="13" t="s">
        <v>1114</v>
      </c>
      <c r="D934" s="13" t="s">
        <v>4321</v>
      </c>
      <c r="E934" s="13" t="s">
        <v>1687</v>
      </c>
      <c r="F934" s="13" t="s">
        <v>1687</v>
      </c>
      <c r="G934" s="13" t="s">
        <v>1687</v>
      </c>
      <c r="H934" s="14">
        <v>34.2721</v>
      </c>
      <c r="I934" s="14">
        <v>47.4758</v>
      </c>
      <c r="J934" s="13" t="s">
        <v>1104</v>
      </c>
      <c r="K934" s="13" t="s">
        <v>1281</v>
      </c>
      <c r="L934" s="24" t="e">
        <v>#N/A</v>
      </c>
      <c r="M934" s="24" t="e">
        <v>#N/A</v>
      </c>
      <c r="N934" s="1" t="e">
        <v>#N/A</v>
      </c>
    </row>
    <row r="935">
      <c r="A935" s="13" t="s">
        <v>1143</v>
      </c>
      <c r="B935" s="13" t="s">
        <v>4035</v>
      </c>
      <c r="C935" s="13" t="s">
        <v>1114</v>
      </c>
      <c r="D935" s="13" t="s">
        <v>4323</v>
      </c>
      <c r="E935" s="13" t="s">
        <v>1439</v>
      </c>
      <c r="F935" s="13" t="s">
        <v>1438</v>
      </c>
      <c r="G935" s="13" t="s">
        <v>1439</v>
      </c>
      <c r="H935" s="14">
        <v>34.2721</v>
      </c>
      <c r="I935" s="14">
        <v>47.4758</v>
      </c>
      <c r="J935" s="13" t="s">
        <v>1104</v>
      </c>
      <c r="K935" s="13" t="s">
        <v>1281</v>
      </c>
      <c r="L935" s="24" t="e">
        <v>#N/A</v>
      </c>
      <c r="M935" s="24" t="e">
        <v>#N/A</v>
      </c>
      <c r="N935" s="1" t="e">
        <v>#N/A</v>
      </c>
    </row>
    <row r="936">
      <c r="A936" s="13" t="s">
        <v>1150</v>
      </c>
      <c r="B936" s="13" t="s">
        <v>4035</v>
      </c>
      <c r="C936" s="13" t="s">
        <v>1114</v>
      </c>
      <c r="D936" s="13" t="s">
        <v>4324</v>
      </c>
      <c r="E936" s="13" t="s">
        <v>1687</v>
      </c>
      <c r="F936" s="13" t="s">
        <v>1687</v>
      </c>
      <c r="G936" s="13" t="s">
        <v>1687</v>
      </c>
      <c r="H936" s="14">
        <v>34.2721</v>
      </c>
      <c r="I936" s="14">
        <v>47.4758</v>
      </c>
      <c r="J936" s="13" t="s">
        <v>1104</v>
      </c>
      <c r="K936" s="13" t="s">
        <v>1281</v>
      </c>
      <c r="L936" s="24" t="e">
        <v>#N/A</v>
      </c>
      <c r="M936" s="24" t="e">
        <v>#N/A</v>
      </c>
      <c r="N936" s="1" t="e">
        <v>#N/A</v>
      </c>
    </row>
    <row r="937">
      <c r="A937" s="13" t="s">
        <v>1157</v>
      </c>
      <c r="B937" s="13" t="s">
        <v>4035</v>
      </c>
      <c r="C937" s="13" t="s">
        <v>1114</v>
      </c>
      <c r="D937" s="13" t="s">
        <v>4324</v>
      </c>
      <c r="E937" s="13" t="s">
        <v>1439</v>
      </c>
      <c r="F937" s="13" t="s">
        <v>1438</v>
      </c>
      <c r="G937" s="13" t="s">
        <v>1439</v>
      </c>
      <c r="H937" s="14">
        <v>34.2721</v>
      </c>
      <c r="I937" s="14">
        <v>47.4758</v>
      </c>
      <c r="J937" s="13" t="s">
        <v>1104</v>
      </c>
      <c r="K937" s="13" t="s">
        <v>1281</v>
      </c>
      <c r="L937" s="24" t="e">
        <v>#N/A</v>
      </c>
      <c r="M937" s="24" t="e">
        <v>#N/A</v>
      </c>
      <c r="N937" s="1" t="e">
        <v>#N/A</v>
      </c>
    </row>
    <row r="938">
      <c r="A938" s="13" t="s">
        <v>1163</v>
      </c>
      <c r="B938" s="13" t="s">
        <v>4035</v>
      </c>
      <c r="C938" s="13" t="s">
        <v>1114</v>
      </c>
      <c r="D938" s="13" t="s">
        <v>4324</v>
      </c>
      <c r="E938" s="13" t="s">
        <v>1439</v>
      </c>
      <c r="F938" s="13" t="s">
        <v>1438</v>
      </c>
      <c r="G938" s="13" t="s">
        <v>1439</v>
      </c>
      <c r="H938" s="14">
        <v>34.2721</v>
      </c>
      <c r="I938" s="14">
        <v>47.4758</v>
      </c>
      <c r="J938" s="13" t="s">
        <v>1104</v>
      </c>
      <c r="K938" s="13" t="s">
        <v>1281</v>
      </c>
      <c r="L938" s="24" t="e">
        <v>#N/A</v>
      </c>
      <c r="M938" s="24" t="e">
        <v>#N/A</v>
      </c>
      <c r="N938" s="1" t="e">
        <v>#N/A</v>
      </c>
    </row>
    <row r="939">
      <c r="A939" s="13" t="s">
        <v>1169</v>
      </c>
      <c r="B939" s="13" t="s">
        <v>4035</v>
      </c>
      <c r="C939" s="13" t="s">
        <v>1114</v>
      </c>
      <c r="D939" s="13" t="s">
        <v>4325</v>
      </c>
      <c r="E939" s="13" t="s">
        <v>1439</v>
      </c>
      <c r="F939" s="13" t="s">
        <v>1438</v>
      </c>
      <c r="G939" s="13" t="s">
        <v>1439</v>
      </c>
      <c r="H939" s="14">
        <v>34.2721</v>
      </c>
      <c r="I939" s="14">
        <v>47.4758</v>
      </c>
      <c r="J939" s="13" t="s">
        <v>1104</v>
      </c>
      <c r="K939" s="13" t="s">
        <v>1281</v>
      </c>
      <c r="L939" s="24" t="e">
        <v>#N/A</v>
      </c>
      <c r="M939" s="24" t="e">
        <v>#N/A</v>
      </c>
      <c r="N939" s="1" t="e">
        <v>#N/A</v>
      </c>
    </row>
    <row r="940">
      <c r="A940" s="13" t="s">
        <v>1172</v>
      </c>
      <c r="B940" s="13" t="s">
        <v>4035</v>
      </c>
      <c r="C940" s="13" t="s">
        <v>209</v>
      </c>
      <c r="D940" s="13" t="s">
        <v>4327</v>
      </c>
      <c r="E940" s="13" t="s">
        <v>1687</v>
      </c>
      <c r="F940" s="13" t="s">
        <v>1687</v>
      </c>
      <c r="G940" s="13" t="s">
        <v>1687</v>
      </c>
      <c r="H940" s="14">
        <v>34.2721</v>
      </c>
      <c r="I940" s="14">
        <v>47.4758</v>
      </c>
      <c r="J940" s="13" t="s">
        <v>1104</v>
      </c>
      <c r="K940" s="13" t="s">
        <v>1281</v>
      </c>
      <c r="L940" s="24" t="e">
        <v>#N/A</v>
      </c>
      <c r="M940" s="24" t="e">
        <v>#N/A</v>
      </c>
      <c r="N940" s="1" t="e">
        <v>#N/A</v>
      </c>
    </row>
    <row r="941">
      <c r="A941" s="13" t="s">
        <v>1179</v>
      </c>
      <c r="B941" s="13" t="s">
        <v>4035</v>
      </c>
      <c r="C941" s="13" t="s">
        <v>209</v>
      </c>
      <c r="D941" s="13" t="s">
        <v>1653</v>
      </c>
      <c r="E941" s="13" t="s">
        <v>1687</v>
      </c>
      <c r="F941" s="13" t="s">
        <v>1687</v>
      </c>
      <c r="G941" s="13" t="s">
        <v>1687</v>
      </c>
      <c r="H941" s="14">
        <v>34.2721</v>
      </c>
      <c r="I941" s="14">
        <v>47.4758</v>
      </c>
      <c r="J941" s="13" t="s">
        <v>1104</v>
      </c>
      <c r="K941" s="13" t="s">
        <v>1281</v>
      </c>
      <c r="L941" s="24" t="e">
        <v>#N/A</v>
      </c>
      <c r="M941" s="24" t="e">
        <v>#N/A</v>
      </c>
      <c r="N941" s="1" t="e">
        <v>#N/A</v>
      </c>
    </row>
    <row r="942">
      <c r="A942" s="13" t="s">
        <v>1183</v>
      </c>
      <c r="B942" s="13" t="s">
        <v>4035</v>
      </c>
      <c r="C942" s="13" t="s">
        <v>209</v>
      </c>
      <c r="D942" s="13" t="s">
        <v>4251</v>
      </c>
      <c r="E942" s="13" t="s">
        <v>1687</v>
      </c>
      <c r="F942" s="13" t="s">
        <v>1687</v>
      </c>
      <c r="G942" s="13" t="s">
        <v>1687</v>
      </c>
      <c r="H942" s="14">
        <v>34.2721</v>
      </c>
      <c r="I942" s="14">
        <v>47.4758</v>
      </c>
      <c r="J942" s="13" t="s">
        <v>1104</v>
      </c>
      <c r="K942" s="13" t="s">
        <v>1281</v>
      </c>
      <c r="L942" s="24" t="e">
        <v>#N/A</v>
      </c>
      <c r="M942" s="24" t="e">
        <v>#N/A</v>
      </c>
      <c r="N942" s="1" t="e">
        <v>#N/A</v>
      </c>
    </row>
    <row r="943">
      <c r="A943" s="13" t="s">
        <v>1963</v>
      </c>
      <c r="B943" s="13" t="s">
        <v>4045</v>
      </c>
      <c r="C943" s="13" t="s">
        <v>1114</v>
      </c>
      <c r="D943" s="13" t="s">
        <v>1114</v>
      </c>
      <c r="E943" s="13" t="s">
        <v>119</v>
      </c>
      <c r="F943" s="13" t="s">
        <v>121</v>
      </c>
      <c r="G943" s="13" t="s">
        <v>119</v>
      </c>
      <c r="H943" s="14">
        <v>49.043</v>
      </c>
      <c r="I943" s="14">
        <v>2.5063</v>
      </c>
      <c r="J943" s="13" t="s">
        <v>1230</v>
      </c>
      <c r="K943" s="13" t="s">
        <v>2941</v>
      </c>
      <c r="L943" s="14">
        <v>177.0</v>
      </c>
      <c r="M943" s="14">
        <v>292.0</v>
      </c>
      <c r="N943" s="1">
        <v>62.0</v>
      </c>
    </row>
    <row r="944">
      <c r="A944" s="13" t="s">
        <v>2000</v>
      </c>
      <c r="B944" s="13" t="s">
        <v>4045</v>
      </c>
      <c r="C944" s="13" t="s">
        <v>1114</v>
      </c>
      <c r="D944" s="13" t="s">
        <v>1114</v>
      </c>
      <c r="E944" s="13" t="s">
        <v>119</v>
      </c>
      <c r="F944" s="13" t="s">
        <v>121</v>
      </c>
      <c r="G944" s="13" t="s">
        <v>119</v>
      </c>
      <c r="H944" s="14">
        <v>49.043</v>
      </c>
      <c r="I944" s="14">
        <v>2.5063</v>
      </c>
      <c r="J944" s="13" t="s">
        <v>1230</v>
      </c>
      <c r="K944" s="13" t="s">
        <v>2941</v>
      </c>
      <c r="L944" s="14">
        <v>177.0</v>
      </c>
      <c r="M944" s="14">
        <v>292.0</v>
      </c>
      <c r="N944" s="1">
        <v>62.0</v>
      </c>
    </row>
    <row r="945">
      <c r="A945" s="13" t="s">
        <v>1204</v>
      </c>
      <c r="B945" s="13" t="s">
        <v>4035</v>
      </c>
      <c r="C945" s="13" t="s">
        <v>1240</v>
      </c>
      <c r="D945" s="13" t="s">
        <v>4331</v>
      </c>
      <c r="E945" s="13" t="s">
        <v>1675</v>
      </c>
      <c r="F945" s="13" t="s">
        <v>1390</v>
      </c>
      <c r="G945" s="13" t="s">
        <v>1675</v>
      </c>
      <c r="H945" s="14">
        <v>33.73</v>
      </c>
      <c r="I945" s="14">
        <v>47.07</v>
      </c>
      <c r="J945" s="13" t="s">
        <v>1104</v>
      </c>
      <c r="K945" s="13" t="s">
        <v>1790</v>
      </c>
      <c r="L945" s="24" t="e">
        <v>#N/A</v>
      </c>
      <c r="M945" s="24" t="e">
        <v>#N/A</v>
      </c>
      <c r="N945" s="1" t="e">
        <v>#N/A</v>
      </c>
    </row>
    <row r="946">
      <c r="A946" s="13" t="s">
        <v>1211</v>
      </c>
      <c r="B946" s="13" t="s">
        <v>4035</v>
      </c>
      <c r="C946" s="13" t="s">
        <v>195</v>
      </c>
      <c r="D946" s="13" t="s">
        <v>4059</v>
      </c>
      <c r="E946" s="13" t="s">
        <v>1675</v>
      </c>
      <c r="F946" s="13" t="s">
        <v>1390</v>
      </c>
      <c r="G946" s="13" t="s">
        <v>1675</v>
      </c>
      <c r="H946" s="14">
        <v>26.6031</v>
      </c>
      <c r="I946" s="14">
        <v>37.9295</v>
      </c>
      <c r="J946" s="13" t="s">
        <v>4096</v>
      </c>
      <c r="K946" s="13" t="s">
        <v>4222</v>
      </c>
      <c r="L946" s="24" t="e">
        <v>#N/A</v>
      </c>
      <c r="M946" s="24" t="e">
        <v>#N/A</v>
      </c>
      <c r="N946" s="1" t="e">
        <v>#N/A</v>
      </c>
    </row>
    <row r="947">
      <c r="A947" s="13" t="s">
        <v>1214</v>
      </c>
      <c r="B947" s="13" t="s">
        <v>4035</v>
      </c>
      <c r="C947" s="13" t="s">
        <v>195</v>
      </c>
      <c r="D947" s="13" t="s">
        <v>4059</v>
      </c>
      <c r="E947" s="13" t="s">
        <v>1675</v>
      </c>
      <c r="F947" s="13" t="s">
        <v>1390</v>
      </c>
      <c r="G947" s="13" t="s">
        <v>1675</v>
      </c>
      <c r="H947" s="14">
        <v>26.6031</v>
      </c>
      <c r="I947" s="14">
        <v>37.9295</v>
      </c>
      <c r="J947" s="13" t="s">
        <v>4097</v>
      </c>
      <c r="K947" s="13" t="s">
        <v>4222</v>
      </c>
      <c r="L947" s="24" t="e">
        <v>#N/A</v>
      </c>
      <c r="M947" s="24" t="e">
        <v>#N/A</v>
      </c>
      <c r="N947" s="1" t="e">
        <v>#N/A</v>
      </c>
    </row>
    <row r="948">
      <c r="A948" s="13" t="s">
        <v>1951</v>
      </c>
      <c r="B948" s="13" t="s">
        <v>4045</v>
      </c>
      <c r="C948" s="13" t="s">
        <v>1114</v>
      </c>
      <c r="D948" s="13" t="s">
        <v>1955</v>
      </c>
      <c r="E948" s="13" t="s">
        <v>119</v>
      </c>
      <c r="F948" s="13" t="s">
        <v>121</v>
      </c>
      <c r="G948" s="13" t="s">
        <v>119</v>
      </c>
      <c r="H948" s="53">
        <v>49.043</v>
      </c>
      <c r="I948" s="53">
        <v>2.5063</v>
      </c>
      <c r="J948" s="13" t="s">
        <v>1230</v>
      </c>
      <c r="K948" s="54" t="s">
        <v>1961</v>
      </c>
      <c r="L948" s="14">
        <v>177.0</v>
      </c>
      <c r="M948" s="14">
        <v>62.0</v>
      </c>
      <c r="N948" s="1">
        <v>292.0</v>
      </c>
    </row>
    <row r="949">
      <c r="A949" s="13" t="s">
        <v>1988</v>
      </c>
      <c r="B949" s="13" t="s">
        <v>4045</v>
      </c>
      <c r="C949" s="13" t="s">
        <v>1114</v>
      </c>
      <c r="D949" s="13" t="s">
        <v>1955</v>
      </c>
      <c r="E949" s="13" t="s">
        <v>119</v>
      </c>
      <c r="F949" s="13" t="s">
        <v>121</v>
      </c>
      <c r="G949" s="13" t="s">
        <v>119</v>
      </c>
      <c r="H949" s="53">
        <v>49.043</v>
      </c>
      <c r="I949" s="53">
        <v>2.5063</v>
      </c>
      <c r="J949" s="13" t="s">
        <v>1230</v>
      </c>
      <c r="K949" s="54" t="s">
        <v>1961</v>
      </c>
      <c r="L949" s="14">
        <v>177.0</v>
      </c>
      <c r="M949" s="14">
        <v>62.0</v>
      </c>
      <c r="N949" s="1">
        <v>292.0</v>
      </c>
    </row>
    <row r="950">
      <c r="A950" s="13" t="s">
        <v>1994</v>
      </c>
      <c r="B950" s="13" t="s">
        <v>4045</v>
      </c>
      <c r="C950" s="13" t="s">
        <v>1114</v>
      </c>
      <c r="D950" s="13" t="s">
        <v>1955</v>
      </c>
      <c r="E950" s="13" t="s">
        <v>119</v>
      </c>
      <c r="F950" s="13" t="s">
        <v>121</v>
      </c>
      <c r="G950" s="13" t="s">
        <v>119</v>
      </c>
      <c r="H950" s="53">
        <v>49.043</v>
      </c>
      <c r="I950" s="53">
        <v>2.5063</v>
      </c>
      <c r="J950" s="13" t="s">
        <v>1230</v>
      </c>
      <c r="K950" s="54" t="s">
        <v>1961</v>
      </c>
      <c r="L950" s="14">
        <v>177.0</v>
      </c>
      <c r="M950" s="14">
        <v>62.0</v>
      </c>
      <c r="N950" s="1">
        <v>292.0</v>
      </c>
    </row>
    <row r="951">
      <c r="A951" s="13" t="s">
        <v>2622</v>
      </c>
      <c r="B951" s="13" t="s">
        <v>4045</v>
      </c>
      <c r="C951" s="13" t="s">
        <v>1114</v>
      </c>
      <c r="D951" s="13" t="s">
        <v>1955</v>
      </c>
      <c r="E951" s="13" t="s">
        <v>119</v>
      </c>
      <c r="F951" s="13" t="s">
        <v>121</v>
      </c>
      <c r="G951" s="13" t="s">
        <v>119</v>
      </c>
      <c r="H951" s="53">
        <v>49.043</v>
      </c>
      <c r="I951" s="53">
        <v>2.5063</v>
      </c>
      <c r="J951" s="13" t="s">
        <v>1230</v>
      </c>
      <c r="K951" s="54" t="s">
        <v>1961</v>
      </c>
      <c r="L951" s="14">
        <v>177.0</v>
      </c>
      <c r="M951" s="14">
        <v>62.0</v>
      </c>
      <c r="N951" s="1">
        <v>292.0</v>
      </c>
    </row>
    <row r="952">
      <c r="A952" s="13" t="s">
        <v>1218</v>
      </c>
      <c r="B952" s="13" t="s">
        <v>4035</v>
      </c>
      <c r="C952" s="13" t="s">
        <v>1114</v>
      </c>
      <c r="D952" s="13" t="s">
        <v>1823</v>
      </c>
      <c r="E952" s="13" t="s">
        <v>119</v>
      </c>
      <c r="F952" s="13" t="s">
        <v>121</v>
      </c>
      <c r="G952" s="13" t="s">
        <v>119</v>
      </c>
      <c r="H952" s="14">
        <v>42.73396243</v>
      </c>
      <c r="I952" s="14">
        <v>44.63367638</v>
      </c>
      <c r="J952" s="13" t="s">
        <v>564</v>
      </c>
      <c r="K952" s="13" t="s">
        <v>1829</v>
      </c>
      <c r="L952" s="24" t="e">
        <v>#N/A</v>
      </c>
      <c r="M952" s="24" t="e">
        <v>#N/A</v>
      </c>
      <c r="N952" s="1" t="e">
        <v>#N/A</v>
      </c>
    </row>
    <row r="953">
      <c r="A953" s="13" t="s">
        <v>1222</v>
      </c>
      <c r="B953" s="13" t="s">
        <v>4035</v>
      </c>
      <c r="C953" s="13" t="s">
        <v>1114</v>
      </c>
      <c r="D953" s="13" t="s">
        <v>4238</v>
      </c>
      <c r="E953" s="13" t="s">
        <v>1687</v>
      </c>
      <c r="F953" s="13" t="s">
        <v>1687</v>
      </c>
      <c r="G953" s="13" t="s">
        <v>1687</v>
      </c>
      <c r="H953" s="14">
        <v>33.40900013</v>
      </c>
      <c r="I953" s="14">
        <v>49.25473456</v>
      </c>
      <c r="J953" s="13" t="s">
        <v>1104</v>
      </c>
      <c r="K953" s="13" t="s">
        <v>4260</v>
      </c>
      <c r="L953" s="24" t="e">
        <v>#N/A</v>
      </c>
      <c r="M953" s="24" t="e">
        <v>#N/A</v>
      </c>
      <c r="N953" s="1" t="e"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5</v>
      </c>
      <c r="D1" s="2" t="s">
        <v>7</v>
      </c>
      <c r="E1" s="2" t="s">
        <v>10</v>
      </c>
      <c r="F1" s="2" t="s">
        <v>13</v>
      </c>
      <c r="G1" s="2" t="s">
        <v>15</v>
      </c>
      <c r="H1" s="2" t="s">
        <v>16</v>
      </c>
      <c r="I1" s="2" t="s">
        <v>18</v>
      </c>
      <c r="J1" s="2" t="s">
        <v>20</v>
      </c>
      <c r="K1" s="2" t="s">
        <v>22</v>
      </c>
      <c r="L1" s="2" t="s">
        <v>24</v>
      </c>
      <c r="M1" s="2" t="s">
        <v>27</v>
      </c>
      <c r="N1" s="2" t="s">
        <v>28</v>
      </c>
      <c r="O1" s="2" t="s">
        <v>32</v>
      </c>
      <c r="P1" s="2" t="s">
        <v>33</v>
      </c>
      <c r="Q1" s="2" t="s">
        <v>35</v>
      </c>
      <c r="R1" s="2" t="s">
        <v>39</v>
      </c>
      <c r="S1" s="2" t="s">
        <v>40</v>
      </c>
      <c r="T1" s="2" t="s">
        <v>42</v>
      </c>
      <c r="U1" s="2" t="s">
        <v>44</v>
      </c>
      <c r="V1" s="2" t="s">
        <v>1321</v>
      </c>
      <c r="W1" s="2" t="s">
        <v>52</v>
      </c>
      <c r="X1" s="2" t="s">
        <v>55</v>
      </c>
      <c r="Y1" s="2" t="s">
        <v>57</v>
      </c>
      <c r="Z1" s="2" t="s">
        <v>58</v>
      </c>
      <c r="AA1" s="2" t="s">
        <v>60</v>
      </c>
      <c r="AB1" s="2" t="s">
        <v>46</v>
      </c>
      <c r="AC1" s="2" t="s">
        <v>1304</v>
      </c>
      <c r="AD1" s="15"/>
    </row>
    <row r="2" hidden="1">
      <c r="A2" s="2" t="s">
        <v>17</v>
      </c>
      <c r="B2" s="2" t="s">
        <v>915</v>
      </c>
      <c r="C2" s="15"/>
      <c r="D2" s="2" t="s">
        <v>64</v>
      </c>
      <c r="E2" s="7" t="b">
        <v>1</v>
      </c>
      <c r="F2" s="9">
        <v>201.0</v>
      </c>
      <c r="G2" s="9">
        <v>7.102390303871256</v>
      </c>
      <c r="H2" s="9">
        <v>0.0048176691542288</v>
      </c>
      <c r="I2" s="7" t="b">
        <v>1</v>
      </c>
      <c r="J2" s="9">
        <v>0.0</v>
      </c>
      <c r="K2" s="7" t="b">
        <v>0</v>
      </c>
      <c r="L2" s="9">
        <v>458.0</v>
      </c>
      <c r="M2" s="9">
        <v>2.2786</v>
      </c>
      <c r="N2" s="2" t="s">
        <v>1332</v>
      </c>
      <c r="O2" s="2" t="s">
        <v>1334</v>
      </c>
      <c r="P2" s="9">
        <v>43.25</v>
      </c>
      <c r="Q2" s="9">
        <v>39.0</v>
      </c>
      <c r="R2" s="9">
        <v>0.014706</v>
      </c>
      <c r="S2" s="9">
        <v>0.6181</v>
      </c>
      <c r="T2" s="9">
        <v>0.7909</v>
      </c>
      <c r="U2" s="2" t="s">
        <v>1139</v>
      </c>
      <c r="V2" s="9">
        <v>0.0</v>
      </c>
      <c r="W2" s="2" t="s">
        <v>82</v>
      </c>
      <c r="X2" s="2" t="s">
        <v>517</v>
      </c>
      <c r="Y2" s="2" t="s">
        <v>1338</v>
      </c>
      <c r="Z2" s="9">
        <v>0.5522</v>
      </c>
      <c r="AA2" s="9">
        <v>0.6181</v>
      </c>
      <c r="AB2" s="9">
        <v>0.0</v>
      </c>
      <c r="AC2" s="9">
        <v>0.2667</v>
      </c>
      <c r="AD2" s="9" t="str">
        <f t="shared" ref="AD2:AD1024" si="1">VLOOKUP(A2,AE:AE,1,FALSE)</f>
        <v>#REF!</v>
      </c>
    </row>
    <row r="3" hidden="1">
      <c r="A3" s="2" t="s">
        <v>17</v>
      </c>
      <c r="B3" s="2" t="s">
        <v>963</v>
      </c>
      <c r="C3" s="15"/>
      <c r="D3" s="2" t="s">
        <v>64</v>
      </c>
      <c r="E3" s="7" t="b">
        <v>1</v>
      </c>
      <c r="F3" s="9">
        <v>358.0</v>
      </c>
      <c r="G3" s="9">
        <v>10.24451381155197</v>
      </c>
      <c r="H3" s="9">
        <v>0.0121125223463687</v>
      </c>
      <c r="I3" s="7" t="b">
        <v>1</v>
      </c>
      <c r="J3" s="9">
        <v>0.0</v>
      </c>
      <c r="K3" s="7" t="b">
        <v>0</v>
      </c>
      <c r="L3" s="9">
        <v>415.0</v>
      </c>
      <c r="M3" s="9">
        <v>1.1592</v>
      </c>
      <c r="N3" s="2" t="s">
        <v>1365</v>
      </c>
      <c r="O3" s="2" t="s">
        <v>550</v>
      </c>
      <c r="P3" s="9">
        <v>45.31</v>
      </c>
      <c r="Q3" s="9">
        <v>40.0</v>
      </c>
      <c r="R3" s="9">
        <v>0.0</v>
      </c>
      <c r="S3" s="9">
        <v>0.5819</v>
      </c>
      <c r="T3" s="9">
        <v>0.7708</v>
      </c>
      <c r="U3" s="2" t="s">
        <v>1367</v>
      </c>
      <c r="V3" s="9">
        <v>0.0</v>
      </c>
      <c r="W3" s="2" t="s">
        <v>82</v>
      </c>
      <c r="X3" s="2" t="s">
        <v>517</v>
      </c>
      <c r="Y3" s="2" t="s">
        <v>1368</v>
      </c>
      <c r="Z3" s="9">
        <v>0.5423</v>
      </c>
      <c r="AA3" s="9">
        <v>0.5819</v>
      </c>
      <c r="AB3" s="9">
        <v>0.0</v>
      </c>
      <c r="AC3" s="9">
        <v>0.7107</v>
      </c>
      <c r="AD3" s="9" t="str">
        <f t="shared" si="1"/>
        <v>#REF!</v>
      </c>
    </row>
    <row r="4" hidden="1">
      <c r="A4" s="2" t="s">
        <v>17</v>
      </c>
      <c r="B4" s="2" t="s">
        <v>969</v>
      </c>
      <c r="C4" s="15"/>
      <c r="D4" s="2" t="s">
        <v>64</v>
      </c>
      <c r="E4" s="7" t="b">
        <v>1</v>
      </c>
      <c r="F4" s="9">
        <v>95.0</v>
      </c>
      <c r="G4" s="9">
        <v>9.26952947191708</v>
      </c>
      <c r="H4" s="9">
        <v>0.0013487157894736</v>
      </c>
      <c r="I4" s="7" t="b">
        <v>1</v>
      </c>
      <c r="J4" s="9">
        <v>0.0</v>
      </c>
      <c r="K4" s="7" t="b">
        <v>0</v>
      </c>
      <c r="L4" s="9">
        <v>118.0</v>
      </c>
      <c r="M4" s="9">
        <v>1.2421</v>
      </c>
      <c r="N4" s="2" t="s">
        <v>309</v>
      </c>
      <c r="O4" s="2" t="s">
        <v>1373</v>
      </c>
      <c r="P4" s="9">
        <v>41.29</v>
      </c>
      <c r="Q4" s="9">
        <v>37.0</v>
      </c>
      <c r="R4" s="9">
        <v>0.0</v>
      </c>
      <c r="S4" s="9">
        <v>0.5246</v>
      </c>
      <c r="T4" s="9">
        <v>0.8649</v>
      </c>
      <c r="U4" s="2" t="s">
        <v>740</v>
      </c>
      <c r="V4" s="9">
        <v>0.0</v>
      </c>
      <c r="W4" s="2" t="s">
        <v>1124</v>
      </c>
      <c r="X4" s="2" t="s">
        <v>517</v>
      </c>
      <c r="Y4" s="2" t="s">
        <v>1375</v>
      </c>
      <c r="Z4" s="9">
        <v>0.463</v>
      </c>
      <c r="AA4" s="9">
        <v>0.5246</v>
      </c>
      <c r="AB4" s="9">
        <v>0.0</v>
      </c>
      <c r="AC4" s="9">
        <v>0.6319</v>
      </c>
      <c r="AD4" s="9" t="str">
        <f t="shared" si="1"/>
        <v>#REF!</v>
      </c>
    </row>
    <row r="5" hidden="1">
      <c r="A5" s="2" t="s">
        <v>17</v>
      </c>
      <c r="B5" s="2" t="s">
        <v>992</v>
      </c>
      <c r="C5" s="15"/>
      <c r="D5" s="2" t="s">
        <v>64</v>
      </c>
      <c r="E5" s="7" t="b">
        <v>1</v>
      </c>
      <c r="F5" s="9">
        <v>176.0</v>
      </c>
      <c r="G5" s="9">
        <v>11.49762218863614</v>
      </c>
      <c r="H5" s="9">
        <v>0.0115003977272727</v>
      </c>
      <c r="I5" s="7" t="b">
        <v>1</v>
      </c>
      <c r="J5" s="9">
        <v>0.0</v>
      </c>
      <c r="K5" s="7" t="b">
        <v>0</v>
      </c>
      <c r="L5" s="9">
        <v>169.0</v>
      </c>
      <c r="M5" s="9">
        <v>0.9602</v>
      </c>
      <c r="N5" s="2" t="s">
        <v>1382</v>
      </c>
      <c r="O5" s="2" t="s">
        <v>1383</v>
      </c>
      <c r="P5" s="9">
        <v>42.96</v>
      </c>
      <c r="Q5" s="9">
        <v>39.0</v>
      </c>
      <c r="R5" s="9">
        <v>0.0</v>
      </c>
      <c r="S5" s="9">
        <v>0.5031</v>
      </c>
      <c r="T5" s="9">
        <v>0.8432</v>
      </c>
      <c r="U5" s="2" t="s">
        <v>825</v>
      </c>
      <c r="V5" s="9">
        <v>0.0</v>
      </c>
      <c r="W5" s="2" t="s">
        <v>157</v>
      </c>
      <c r="X5" s="2" t="s">
        <v>517</v>
      </c>
      <c r="Y5" s="2" t="s">
        <v>1375</v>
      </c>
      <c r="Z5" s="9">
        <v>0.4718</v>
      </c>
      <c r="AA5" s="9">
        <v>0.5031</v>
      </c>
      <c r="AB5" s="9">
        <v>0.0</v>
      </c>
      <c r="AC5" s="9">
        <v>0.7028</v>
      </c>
      <c r="AD5" s="9" t="str">
        <f t="shared" si="1"/>
        <v>#REF!</v>
      </c>
    </row>
    <row r="6" hidden="1">
      <c r="A6" s="2" t="s">
        <v>17</v>
      </c>
      <c r="B6" s="2" t="s">
        <v>1031</v>
      </c>
      <c r="C6" s="15"/>
      <c r="D6" s="2" t="s">
        <v>64</v>
      </c>
      <c r="E6" s="7" t="b">
        <v>1</v>
      </c>
      <c r="F6" s="9">
        <v>57.0</v>
      </c>
      <c r="G6" s="9">
        <v>9.05826798936905</v>
      </c>
      <c r="H6" s="9">
        <v>0.0011931368421052</v>
      </c>
      <c r="I6" s="7" t="b">
        <v>1</v>
      </c>
      <c r="J6" s="9">
        <v>0.0</v>
      </c>
      <c r="K6" s="7" t="b">
        <v>0</v>
      </c>
      <c r="L6" s="9">
        <v>73.0</v>
      </c>
      <c r="M6" s="9">
        <v>1.2807</v>
      </c>
      <c r="N6" s="2" t="s">
        <v>1394</v>
      </c>
      <c r="O6" s="2" t="s">
        <v>1396</v>
      </c>
      <c r="P6" s="9">
        <v>43.05</v>
      </c>
      <c r="Q6" s="9">
        <v>39.0</v>
      </c>
      <c r="R6" s="9">
        <v>0.083333</v>
      </c>
      <c r="S6" s="9">
        <v>0.4144</v>
      </c>
      <c r="T6" s="9">
        <v>0.9036</v>
      </c>
      <c r="U6" s="2" t="s">
        <v>1398</v>
      </c>
      <c r="V6" s="9">
        <v>0.0</v>
      </c>
      <c r="W6" s="2" t="s">
        <v>134</v>
      </c>
      <c r="X6" s="2" t="s">
        <v>517</v>
      </c>
      <c r="Y6" s="2" t="s">
        <v>1399</v>
      </c>
      <c r="Z6" s="9">
        <v>0.4008</v>
      </c>
      <c r="AA6" s="9">
        <v>0.4144</v>
      </c>
      <c r="AB6" s="9">
        <v>0.0</v>
      </c>
      <c r="AC6" s="9">
        <v>0.1961</v>
      </c>
      <c r="AD6" s="9" t="str">
        <f t="shared" si="1"/>
        <v>#REF!</v>
      </c>
    </row>
    <row r="7" hidden="1">
      <c r="A7" s="2" t="s">
        <v>23</v>
      </c>
      <c r="B7" s="2" t="s">
        <v>963</v>
      </c>
      <c r="C7" s="15"/>
      <c r="D7" s="2" t="s">
        <v>64</v>
      </c>
      <c r="E7" s="7" t="b">
        <v>1</v>
      </c>
      <c r="F7" s="9">
        <v>168.0</v>
      </c>
      <c r="G7" s="9">
        <v>14.6924331392681</v>
      </c>
      <c r="H7" s="9">
        <v>0.0117358702380952</v>
      </c>
      <c r="I7" s="7" t="b">
        <v>1</v>
      </c>
      <c r="J7" s="9">
        <v>0.0</v>
      </c>
      <c r="K7" s="7" t="b">
        <v>0</v>
      </c>
      <c r="L7" s="9">
        <v>130.0</v>
      </c>
      <c r="M7" s="9">
        <v>0.7738</v>
      </c>
      <c r="N7" s="2" t="s">
        <v>309</v>
      </c>
      <c r="O7" s="2" t="s">
        <v>1373</v>
      </c>
      <c r="P7" s="9">
        <v>50.0</v>
      </c>
      <c r="Q7" s="9">
        <v>42.0</v>
      </c>
      <c r="R7" s="9">
        <v>0.0</v>
      </c>
      <c r="S7" s="9">
        <v>0.4699</v>
      </c>
      <c r="T7" s="9">
        <v>0.8718</v>
      </c>
      <c r="U7" s="2" t="s">
        <v>1406</v>
      </c>
      <c r="V7" s="9">
        <v>0.0</v>
      </c>
      <c r="W7" s="2" t="s">
        <v>82</v>
      </c>
      <c r="X7" s="2" t="s">
        <v>495</v>
      </c>
      <c r="Y7" s="2" t="s">
        <v>1408</v>
      </c>
      <c r="Z7" s="9">
        <v>0.4545</v>
      </c>
      <c r="AA7" s="9">
        <v>0.4699</v>
      </c>
      <c r="AB7" s="9">
        <v>0.0</v>
      </c>
      <c r="AC7" s="9">
        <v>0.7607</v>
      </c>
      <c r="AD7" s="9" t="str">
        <f t="shared" si="1"/>
        <v>#REF!</v>
      </c>
    </row>
    <row r="8" hidden="1">
      <c r="A8" s="2" t="s">
        <v>29</v>
      </c>
      <c r="B8" s="2" t="s">
        <v>915</v>
      </c>
      <c r="C8" s="15"/>
      <c r="D8" s="2" t="s">
        <v>64</v>
      </c>
      <c r="E8" s="7" t="b">
        <v>1</v>
      </c>
      <c r="F8" s="9">
        <v>78.0</v>
      </c>
      <c r="G8" s="9">
        <v>6.456046401655612</v>
      </c>
      <c r="H8" s="9">
        <v>0.0015509166666666</v>
      </c>
      <c r="I8" s="7" t="b">
        <v>1</v>
      </c>
      <c r="J8" s="9">
        <v>0.0</v>
      </c>
      <c r="K8" s="7" t="b">
        <v>0</v>
      </c>
      <c r="L8" s="9">
        <v>177.0</v>
      </c>
      <c r="M8" s="9">
        <v>2.2692</v>
      </c>
      <c r="N8" s="2" t="s">
        <v>309</v>
      </c>
      <c r="O8" s="2" t="s">
        <v>1373</v>
      </c>
      <c r="P8" s="9">
        <v>44.03</v>
      </c>
      <c r="Q8" s="9">
        <v>39.0</v>
      </c>
      <c r="R8" s="9">
        <v>0.029412</v>
      </c>
      <c r="S8" s="9">
        <v>0.555</v>
      </c>
      <c r="T8" s="9">
        <v>0.8652</v>
      </c>
      <c r="U8" s="2" t="s">
        <v>1416</v>
      </c>
      <c r="V8" s="9">
        <v>0.0</v>
      </c>
      <c r="W8" s="2" t="s">
        <v>157</v>
      </c>
      <c r="X8" s="2" t="s">
        <v>495</v>
      </c>
      <c r="Y8" s="2" t="s">
        <v>1418</v>
      </c>
      <c r="Z8" s="9">
        <v>0.4794</v>
      </c>
      <c r="AA8" s="9">
        <v>0.555</v>
      </c>
      <c r="AB8" s="9">
        <v>0.0</v>
      </c>
      <c r="AC8" s="9">
        <v>0.6384</v>
      </c>
      <c r="AD8" s="9" t="str">
        <f t="shared" si="1"/>
        <v>#REF!</v>
      </c>
    </row>
    <row r="9" hidden="1">
      <c r="A9" s="2" t="s">
        <v>29</v>
      </c>
      <c r="B9" s="2" t="s">
        <v>963</v>
      </c>
      <c r="C9" s="15"/>
      <c r="D9" s="2" t="s">
        <v>64</v>
      </c>
      <c r="E9" s="7" t="b">
        <v>1</v>
      </c>
      <c r="F9" s="9">
        <v>169.0</v>
      </c>
      <c r="G9" s="9">
        <v>11.41839724908672</v>
      </c>
      <c r="H9" s="9">
        <v>0.0071427076923076</v>
      </c>
      <c r="I9" s="7" t="b">
        <v>1</v>
      </c>
      <c r="J9" s="9">
        <v>0.0</v>
      </c>
      <c r="K9" s="7" t="b">
        <v>0</v>
      </c>
      <c r="L9" s="9">
        <v>170.0</v>
      </c>
      <c r="M9" s="9">
        <v>1.0059</v>
      </c>
      <c r="N9" s="2" t="s">
        <v>1425</v>
      </c>
      <c r="O9" s="2" t="s">
        <v>1426</v>
      </c>
      <c r="P9" s="9">
        <v>46.6</v>
      </c>
      <c r="Q9" s="9">
        <v>41.0</v>
      </c>
      <c r="R9" s="9">
        <v>0.0</v>
      </c>
      <c r="S9" s="9">
        <v>0.5493</v>
      </c>
      <c r="T9" s="9">
        <v>0.868</v>
      </c>
      <c r="U9" s="2" t="s">
        <v>758</v>
      </c>
      <c r="V9" s="9">
        <v>0.875</v>
      </c>
      <c r="W9" s="2" t="s">
        <v>82</v>
      </c>
      <c r="X9" s="2" t="s">
        <v>237</v>
      </c>
      <c r="Y9" s="2" t="s">
        <v>1428</v>
      </c>
      <c r="Z9" s="9">
        <v>0.4819</v>
      </c>
      <c r="AA9" s="9">
        <v>0.5493</v>
      </c>
      <c r="AB9" s="9">
        <v>0.875</v>
      </c>
      <c r="AC9" s="9">
        <v>0.7182</v>
      </c>
      <c r="AD9" s="9" t="str">
        <f t="shared" si="1"/>
        <v>#REF!</v>
      </c>
    </row>
    <row r="10" hidden="1">
      <c r="A10" s="2" t="s">
        <v>29</v>
      </c>
      <c r="B10" s="2" t="s">
        <v>1027</v>
      </c>
      <c r="C10" s="15"/>
      <c r="D10" s="2" t="s">
        <v>64</v>
      </c>
      <c r="E10" s="7" t="b">
        <v>1</v>
      </c>
      <c r="F10" s="9">
        <v>416.0</v>
      </c>
      <c r="G10" s="9">
        <v>8.893584485491616</v>
      </c>
      <c r="H10" s="9">
        <v>0.0034231269230769</v>
      </c>
      <c r="I10" s="7" t="b">
        <v>1</v>
      </c>
      <c r="J10" s="9">
        <v>0.0</v>
      </c>
      <c r="K10" s="7" t="b">
        <v>0</v>
      </c>
      <c r="L10" s="9">
        <v>136.0</v>
      </c>
      <c r="M10" s="9">
        <v>0.3269</v>
      </c>
      <c r="N10" s="2" t="s">
        <v>1433</v>
      </c>
      <c r="O10" s="2" t="s">
        <v>1426</v>
      </c>
      <c r="P10" s="9">
        <v>47.33</v>
      </c>
      <c r="Q10" s="9">
        <v>42.0</v>
      </c>
      <c r="R10" s="9">
        <v>0.055556</v>
      </c>
      <c r="S10" s="9">
        <v>0.6221</v>
      </c>
      <c r="T10" s="9">
        <v>0.9847</v>
      </c>
      <c r="U10" s="2" t="s">
        <v>1434</v>
      </c>
      <c r="V10" s="9">
        <v>0.0</v>
      </c>
      <c r="W10" s="2" t="s">
        <v>82</v>
      </c>
      <c r="X10" s="2" t="s">
        <v>517</v>
      </c>
      <c r="Y10" s="2" t="s">
        <v>1437</v>
      </c>
      <c r="Z10" s="9">
        <v>0.4883</v>
      </c>
      <c r="AA10" s="9">
        <v>0.6221</v>
      </c>
      <c r="AB10" s="9">
        <v>0.0</v>
      </c>
      <c r="AC10" s="9">
        <v>0.2266</v>
      </c>
      <c r="AD10" s="9" t="str">
        <f t="shared" si="1"/>
        <v>#REF!</v>
      </c>
    </row>
    <row r="11" hidden="1">
      <c r="A11" s="2" t="s">
        <v>29</v>
      </c>
      <c r="B11" s="2" t="s">
        <v>1031</v>
      </c>
      <c r="C11" s="15"/>
      <c r="D11" s="2" t="s">
        <v>64</v>
      </c>
      <c r="E11" s="7" t="b">
        <v>1</v>
      </c>
      <c r="F11" s="9">
        <v>110.0</v>
      </c>
      <c r="G11" s="9">
        <v>13.17753242098796</v>
      </c>
      <c r="H11" s="9">
        <v>0.0048632354545454</v>
      </c>
      <c r="I11" s="7" t="b">
        <v>1</v>
      </c>
      <c r="J11" s="9">
        <v>0.0</v>
      </c>
      <c r="K11" s="7" t="b">
        <v>0</v>
      </c>
      <c r="L11" s="9">
        <v>86.0</v>
      </c>
      <c r="M11" s="9">
        <v>0.7818</v>
      </c>
      <c r="N11" s="2" t="s">
        <v>1450</v>
      </c>
      <c r="O11" s="2" t="s">
        <v>1451</v>
      </c>
      <c r="P11" s="9">
        <v>45.77</v>
      </c>
      <c r="Q11" s="9">
        <v>41.0</v>
      </c>
      <c r="R11" s="9">
        <v>0.0</v>
      </c>
      <c r="S11" s="9">
        <v>0.5728</v>
      </c>
      <c r="T11" s="9">
        <v>0.9917</v>
      </c>
      <c r="U11" s="2" t="s">
        <v>1453</v>
      </c>
      <c r="V11" s="15"/>
      <c r="W11" s="2" t="s">
        <v>157</v>
      </c>
      <c r="X11" s="2" t="s">
        <v>1455</v>
      </c>
      <c r="Y11" s="2" t="s">
        <v>1456</v>
      </c>
      <c r="Z11" s="9">
        <v>0.4425</v>
      </c>
      <c r="AA11" s="9">
        <v>0.5728</v>
      </c>
      <c r="AB11" s="15"/>
      <c r="AC11" s="9">
        <v>0.8181</v>
      </c>
      <c r="AD11" s="9" t="str">
        <f t="shared" si="1"/>
        <v>#REF!</v>
      </c>
    </row>
    <row r="12" hidden="1">
      <c r="A12" s="2" t="s">
        <v>34</v>
      </c>
      <c r="B12" s="2" t="s">
        <v>895</v>
      </c>
      <c r="C12" s="15"/>
      <c r="D12" s="2" t="s">
        <v>64</v>
      </c>
      <c r="E12" s="7" t="b">
        <v>1</v>
      </c>
      <c r="F12" s="9">
        <v>523.0</v>
      </c>
      <c r="G12" s="9">
        <v>3.36371361654995</v>
      </c>
      <c r="H12" s="9">
        <v>0.0013034019120458</v>
      </c>
      <c r="I12" s="7" t="b">
        <v>1</v>
      </c>
      <c r="J12" s="9">
        <v>0.0</v>
      </c>
      <c r="K12" s="7" t="b">
        <v>0</v>
      </c>
      <c r="L12" s="9">
        <v>87.0</v>
      </c>
      <c r="M12" s="9">
        <v>0.1663</v>
      </c>
      <c r="N12" s="2" t="s">
        <v>1460</v>
      </c>
      <c r="O12" s="2" t="s">
        <v>1462</v>
      </c>
      <c r="P12" s="9">
        <v>40.49</v>
      </c>
      <c r="Q12" s="9">
        <v>39.0</v>
      </c>
      <c r="R12" s="9">
        <v>0.0</v>
      </c>
      <c r="S12" s="9">
        <v>0.2091</v>
      </c>
      <c r="T12" s="9">
        <v>0.3576</v>
      </c>
      <c r="U12" s="2" t="s">
        <v>704</v>
      </c>
      <c r="V12" s="9">
        <v>0.0</v>
      </c>
      <c r="W12" s="2" t="s">
        <v>82</v>
      </c>
      <c r="X12" s="2" t="s">
        <v>1466</v>
      </c>
      <c r="Y12" s="2" t="s">
        <v>1468</v>
      </c>
      <c r="Z12" s="9">
        <v>0.2508</v>
      </c>
      <c r="AA12" s="9">
        <v>0.2091</v>
      </c>
      <c r="AB12" s="9">
        <v>0.0</v>
      </c>
      <c r="AC12" s="9">
        <v>0.7132</v>
      </c>
      <c r="AD12" s="9" t="str">
        <f t="shared" si="1"/>
        <v>#REF!</v>
      </c>
    </row>
    <row r="13" hidden="1">
      <c r="A13" s="2" t="s">
        <v>34</v>
      </c>
      <c r="B13" s="2" t="s">
        <v>915</v>
      </c>
      <c r="C13" s="15"/>
      <c r="D13" s="2" t="s">
        <v>64</v>
      </c>
      <c r="E13" s="7" t="b">
        <v>1</v>
      </c>
      <c r="F13" s="9">
        <v>116.0</v>
      </c>
      <c r="G13" s="9">
        <v>7.428207557905231</v>
      </c>
      <c r="H13" s="9">
        <v>0.0030492931034482</v>
      </c>
      <c r="I13" s="7" t="b">
        <v>1</v>
      </c>
      <c r="J13" s="9">
        <v>0.0</v>
      </c>
      <c r="K13" s="7" t="b">
        <v>0</v>
      </c>
      <c r="L13" s="9">
        <v>123.0</v>
      </c>
      <c r="M13" s="9">
        <v>1.0603</v>
      </c>
      <c r="N13" s="2" t="s">
        <v>1475</v>
      </c>
      <c r="O13" s="2" t="s">
        <v>1451</v>
      </c>
      <c r="P13" s="9">
        <v>52.29</v>
      </c>
      <c r="Q13" s="9">
        <v>45.0</v>
      </c>
      <c r="R13" s="9">
        <v>0.045455</v>
      </c>
      <c r="S13" s="9">
        <v>0.4357</v>
      </c>
      <c r="T13" s="9">
        <v>0.7666</v>
      </c>
      <c r="U13" s="2" t="s">
        <v>553</v>
      </c>
      <c r="V13" s="9">
        <v>0.87</v>
      </c>
      <c r="W13" s="2" t="s">
        <v>82</v>
      </c>
      <c r="X13" s="2" t="s">
        <v>495</v>
      </c>
      <c r="Y13" s="2" t="s">
        <v>1479</v>
      </c>
      <c r="Z13" s="9">
        <v>0.4274</v>
      </c>
      <c r="AA13" s="9">
        <v>0.4357</v>
      </c>
      <c r="AB13" s="9">
        <v>0.87</v>
      </c>
      <c r="AC13" s="9">
        <v>0.2601</v>
      </c>
      <c r="AD13" s="9" t="str">
        <f t="shared" si="1"/>
        <v>#REF!</v>
      </c>
    </row>
    <row r="14" hidden="1">
      <c r="A14" s="2" t="s">
        <v>34</v>
      </c>
      <c r="B14" s="2" t="s">
        <v>969</v>
      </c>
      <c r="C14" s="15"/>
      <c r="D14" s="2" t="s">
        <v>64</v>
      </c>
      <c r="E14" s="7" t="b">
        <v>1</v>
      </c>
      <c r="F14" s="9">
        <v>315.0</v>
      </c>
      <c r="G14" s="9">
        <v>8.710678486394613</v>
      </c>
      <c r="H14" s="9">
        <v>0.0039375047619047</v>
      </c>
      <c r="I14" s="7" t="b">
        <v>1</v>
      </c>
      <c r="J14" s="9">
        <v>0.0</v>
      </c>
      <c r="K14" s="7" t="b">
        <v>0</v>
      </c>
      <c r="L14" s="9">
        <v>10.0</v>
      </c>
      <c r="M14" s="9">
        <v>0.0317</v>
      </c>
      <c r="N14" s="2" t="s">
        <v>1485</v>
      </c>
      <c r="O14" s="2" t="s">
        <v>1486</v>
      </c>
      <c r="P14" s="9">
        <v>36.5</v>
      </c>
      <c r="Q14" s="9">
        <v>36.5</v>
      </c>
      <c r="R14" s="9">
        <v>0.0</v>
      </c>
      <c r="S14" s="9">
        <v>0.3084</v>
      </c>
      <c r="T14" s="9">
        <v>1.0001</v>
      </c>
      <c r="U14" s="2" t="s">
        <v>1489</v>
      </c>
      <c r="V14" s="15"/>
      <c r="W14" s="2" t="s">
        <v>1124</v>
      </c>
      <c r="X14" s="2" t="s">
        <v>182</v>
      </c>
      <c r="Y14" s="2" t="s">
        <v>1491</v>
      </c>
      <c r="Z14" s="9">
        <v>0.2357</v>
      </c>
      <c r="AA14" s="9">
        <v>0.3084</v>
      </c>
      <c r="AB14" s="15"/>
      <c r="AC14" s="9">
        <v>0.1028</v>
      </c>
      <c r="AD14" s="9" t="str">
        <f t="shared" si="1"/>
        <v>#REF!</v>
      </c>
    </row>
    <row r="15" hidden="1">
      <c r="A15" s="2" t="s">
        <v>34</v>
      </c>
      <c r="B15" s="2" t="s">
        <v>1004</v>
      </c>
      <c r="C15" s="15"/>
      <c r="D15" s="2" t="s">
        <v>64</v>
      </c>
      <c r="E15" s="7" t="b">
        <v>1</v>
      </c>
      <c r="F15" s="9">
        <v>182.0</v>
      </c>
      <c r="G15" s="9">
        <v>8.02684383434123</v>
      </c>
      <c r="H15" s="9">
        <v>0.0010300219780219</v>
      </c>
      <c r="I15" s="7" t="b">
        <v>1</v>
      </c>
      <c r="J15" s="9">
        <v>0.0</v>
      </c>
      <c r="K15" s="7" t="b">
        <v>0</v>
      </c>
      <c r="L15" s="9">
        <v>30.0</v>
      </c>
      <c r="M15" s="9">
        <v>0.1648</v>
      </c>
      <c r="N15" s="2" t="s">
        <v>1495</v>
      </c>
      <c r="O15" s="2" t="s">
        <v>1486</v>
      </c>
      <c r="P15" s="9">
        <v>40.17</v>
      </c>
      <c r="Q15" s="9">
        <v>41.0</v>
      </c>
      <c r="R15" s="9">
        <v>0.0</v>
      </c>
      <c r="S15" s="9">
        <v>0.2654</v>
      </c>
      <c r="T15" s="9">
        <v>0.6159</v>
      </c>
      <c r="U15" s="2" t="s">
        <v>1496</v>
      </c>
      <c r="V15" s="15"/>
      <c r="W15" s="2" t="s">
        <v>82</v>
      </c>
      <c r="X15" s="2" t="s">
        <v>182</v>
      </c>
      <c r="Y15" s="2" t="s">
        <v>1498</v>
      </c>
      <c r="Z15" s="9">
        <v>0.2597</v>
      </c>
      <c r="AA15" s="9">
        <v>0.2654</v>
      </c>
      <c r="AB15" s="15"/>
      <c r="AC15" s="9">
        <v>0.718</v>
      </c>
      <c r="AD15" s="9" t="str">
        <f t="shared" si="1"/>
        <v>#REF!</v>
      </c>
    </row>
    <row r="16" hidden="1">
      <c r="A16" s="2" t="s">
        <v>34</v>
      </c>
      <c r="B16" s="2" t="s">
        <v>1027</v>
      </c>
      <c r="C16" s="15"/>
      <c r="D16" s="2" t="s">
        <v>64</v>
      </c>
      <c r="E16" s="7" t="b">
        <v>1</v>
      </c>
      <c r="F16" s="9">
        <v>11286.0</v>
      </c>
      <c r="G16" s="9">
        <v>7.787110161889403</v>
      </c>
      <c r="H16" s="9">
        <v>0.0657513923444976</v>
      </c>
      <c r="I16" s="7" t="b">
        <v>1</v>
      </c>
      <c r="J16" s="9">
        <v>0.0</v>
      </c>
      <c r="K16" s="7" t="b">
        <v>0</v>
      </c>
      <c r="L16" s="9">
        <v>3484.0</v>
      </c>
      <c r="M16" s="9">
        <v>0.3087</v>
      </c>
      <c r="N16" s="2" t="s">
        <v>1501</v>
      </c>
      <c r="O16" s="2" t="s">
        <v>1502</v>
      </c>
      <c r="P16" s="9">
        <v>51.32</v>
      </c>
      <c r="Q16" s="9">
        <v>45.0</v>
      </c>
      <c r="R16" s="9">
        <v>0.026379</v>
      </c>
      <c r="S16" s="9">
        <v>0.8756</v>
      </c>
      <c r="T16" s="9">
        <v>0.7744</v>
      </c>
      <c r="U16" s="2" t="s">
        <v>1489</v>
      </c>
      <c r="V16" s="9">
        <v>0.8697</v>
      </c>
      <c r="W16" s="2" t="s">
        <v>157</v>
      </c>
      <c r="X16" s="2" t="s">
        <v>517</v>
      </c>
      <c r="Y16" s="2" t="s">
        <v>1503</v>
      </c>
      <c r="Z16" s="9">
        <v>0.7644</v>
      </c>
      <c r="AA16" s="9">
        <v>0.8756</v>
      </c>
      <c r="AB16" s="9">
        <v>0.8697</v>
      </c>
      <c r="AC16" s="9">
        <v>0.2092</v>
      </c>
      <c r="AD16" s="9" t="str">
        <f t="shared" si="1"/>
        <v>#REF!</v>
      </c>
    </row>
    <row r="17" hidden="1">
      <c r="A17" s="2" t="s">
        <v>34</v>
      </c>
      <c r="B17" s="2" t="s">
        <v>1031</v>
      </c>
      <c r="C17" s="15"/>
      <c r="D17" s="2" t="s">
        <v>64</v>
      </c>
      <c r="E17" s="7" t="b">
        <v>1</v>
      </c>
      <c r="F17" s="9">
        <v>23851.0</v>
      </c>
      <c r="G17" s="9">
        <v>29.96372205794404</v>
      </c>
      <c r="H17" s="9">
        <v>1.952803547021089</v>
      </c>
      <c r="I17" s="7" t="b">
        <v>1</v>
      </c>
      <c r="J17" s="9">
        <v>0.0</v>
      </c>
      <c r="K17" s="7" t="b">
        <v>0</v>
      </c>
      <c r="L17" s="9">
        <v>20984.0</v>
      </c>
      <c r="M17" s="9">
        <v>0.8798</v>
      </c>
      <c r="N17" s="2" t="s">
        <v>1508</v>
      </c>
      <c r="O17" s="2" t="s">
        <v>1509</v>
      </c>
      <c r="P17" s="9">
        <v>54.02</v>
      </c>
      <c r="Q17" s="9">
        <v>48.0</v>
      </c>
      <c r="R17" s="9">
        <v>0.026477</v>
      </c>
      <c r="S17" s="9">
        <v>0.9735</v>
      </c>
      <c r="T17" s="9">
        <v>0.9464</v>
      </c>
      <c r="U17" s="2" t="s">
        <v>465</v>
      </c>
      <c r="V17" s="9">
        <v>0.8851</v>
      </c>
      <c r="W17" s="2" t="s">
        <v>82</v>
      </c>
      <c r="X17" s="2" t="s">
        <v>99</v>
      </c>
      <c r="Y17" s="2" t="s">
        <v>1515</v>
      </c>
      <c r="Z17" s="9">
        <v>0.9295</v>
      </c>
      <c r="AA17" s="9">
        <v>0.9735</v>
      </c>
      <c r="AB17" s="9">
        <v>0.8851</v>
      </c>
      <c r="AC17" s="9">
        <v>0.8661</v>
      </c>
      <c r="AD17" s="9" t="str">
        <f t="shared" si="1"/>
        <v>#REF!</v>
      </c>
    </row>
    <row r="18" hidden="1">
      <c r="A18" s="2" t="s">
        <v>41</v>
      </c>
      <c r="B18" s="2" t="s">
        <v>895</v>
      </c>
      <c r="C18" s="15"/>
      <c r="D18" s="2" t="s">
        <v>64</v>
      </c>
      <c r="E18" s="7" t="b">
        <v>1</v>
      </c>
      <c r="F18" s="9">
        <v>92.0</v>
      </c>
      <c r="G18" s="9">
        <v>13.00534708092772</v>
      </c>
      <c r="H18" s="9">
        <v>0.0034317282608695</v>
      </c>
      <c r="I18" s="7" t="b">
        <v>1</v>
      </c>
      <c r="J18" s="9">
        <v>0.0</v>
      </c>
      <c r="K18" s="7" t="b">
        <v>0</v>
      </c>
      <c r="L18" s="9">
        <v>15.0</v>
      </c>
      <c r="M18" s="9">
        <v>0.163</v>
      </c>
      <c r="N18" s="2" t="s">
        <v>1495</v>
      </c>
      <c r="O18" s="2" t="s">
        <v>1486</v>
      </c>
      <c r="P18" s="9">
        <v>49.33</v>
      </c>
      <c r="Q18" s="9">
        <v>39.0</v>
      </c>
      <c r="R18" s="9">
        <v>0.0</v>
      </c>
      <c r="S18" s="9">
        <v>0.2409</v>
      </c>
      <c r="T18" s="9">
        <v>0.7366</v>
      </c>
      <c r="U18" s="2" t="s">
        <v>1520</v>
      </c>
      <c r="V18" s="9">
        <v>0.0</v>
      </c>
      <c r="W18" s="2" t="s">
        <v>82</v>
      </c>
      <c r="X18" s="2" t="s">
        <v>1521</v>
      </c>
      <c r="Y18" s="2" t="s">
        <v>1498</v>
      </c>
      <c r="Z18" s="9">
        <v>0.2409</v>
      </c>
      <c r="AA18" s="9">
        <v>0.2409</v>
      </c>
      <c r="AB18" s="9">
        <v>0.0</v>
      </c>
      <c r="AC18" s="9">
        <v>0.0866</v>
      </c>
      <c r="AD18" s="9" t="str">
        <f t="shared" si="1"/>
        <v>#REF!</v>
      </c>
    </row>
    <row r="19" hidden="1">
      <c r="A19" s="2" t="s">
        <v>41</v>
      </c>
      <c r="B19" s="2" t="s">
        <v>963</v>
      </c>
      <c r="C19" s="15"/>
      <c r="D19" s="2" t="s">
        <v>64</v>
      </c>
      <c r="E19" s="7" t="b">
        <v>1</v>
      </c>
      <c r="F19" s="9">
        <v>366.0</v>
      </c>
      <c r="G19" s="9">
        <v>13.34792318318947</v>
      </c>
      <c r="H19" s="9">
        <v>0.0209460901639344</v>
      </c>
      <c r="I19" s="7" t="b">
        <v>1</v>
      </c>
      <c r="J19" s="9">
        <v>0.0</v>
      </c>
      <c r="K19" s="7" t="b">
        <v>0</v>
      </c>
      <c r="L19" s="9">
        <v>258.0</v>
      </c>
      <c r="M19" s="9">
        <v>0.7049</v>
      </c>
      <c r="N19" s="2" t="s">
        <v>1525</v>
      </c>
      <c r="O19" s="2" t="s">
        <v>1527</v>
      </c>
      <c r="P19" s="9">
        <v>57.06</v>
      </c>
      <c r="Q19" s="9">
        <v>45.0</v>
      </c>
      <c r="R19" s="9">
        <v>0.0</v>
      </c>
      <c r="S19" s="9">
        <v>0.5033</v>
      </c>
      <c r="T19" s="9">
        <v>0.7442</v>
      </c>
      <c r="U19" s="2" t="s">
        <v>1528</v>
      </c>
      <c r="V19" s="9">
        <v>0.8812</v>
      </c>
      <c r="W19" s="2" t="s">
        <v>82</v>
      </c>
      <c r="X19" s="2" t="s">
        <v>495</v>
      </c>
      <c r="Y19" s="2" t="s">
        <v>1529</v>
      </c>
      <c r="Z19" s="9">
        <v>0.5014</v>
      </c>
      <c r="AA19" s="9">
        <v>0.5033</v>
      </c>
      <c r="AB19" s="9">
        <v>0.8812</v>
      </c>
      <c r="AC19" s="9">
        <v>0.7058</v>
      </c>
      <c r="AD19" s="9" t="str">
        <f t="shared" si="1"/>
        <v>#REF!</v>
      </c>
    </row>
    <row r="20" hidden="1">
      <c r="A20" s="2" t="s">
        <v>41</v>
      </c>
      <c r="B20" s="2" t="s">
        <v>969</v>
      </c>
      <c r="C20" s="15"/>
      <c r="D20" s="2" t="s">
        <v>64</v>
      </c>
      <c r="E20" s="7" t="b">
        <v>1</v>
      </c>
      <c r="F20" s="9">
        <v>188.0</v>
      </c>
      <c r="G20" s="9">
        <v>6.46357629367037</v>
      </c>
      <c r="H20" s="9">
        <v>0.0012973010638297</v>
      </c>
      <c r="I20" s="7" t="b">
        <v>1</v>
      </c>
      <c r="J20" s="9">
        <v>0.0</v>
      </c>
      <c r="K20" s="7" t="b">
        <v>0</v>
      </c>
      <c r="L20" s="9">
        <v>121.0</v>
      </c>
      <c r="M20" s="9">
        <v>0.6436</v>
      </c>
      <c r="N20" s="2" t="s">
        <v>1425</v>
      </c>
      <c r="O20" s="2" t="s">
        <v>1533</v>
      </c>
      <c r="P20" s="9">
        <v>48.68</v>
      </c>
      <c r="Q20" s="9">
        <v>40.0</v>
      </c>
      <c r="R20" s="9">
        <v>0.0</v>
      </c>
      <c r="S20" s="9">
        <v>0.4749</v>
      </c>
      <c r="T20" s="9">
        <v>0.6283</v>
      </c>
      <c r="U20" s="2" t="s">
        <v>688</v>
      </c>
      <c r="V20" s="9">
        <v>0.0</v>
      </c>
      <c r="W20" s="2" t="s">
        <v>181</v>
      </c>
      <c r="X20" s="2" t="s">
        <v>1521</v>
      </c>
      <c r="Y20" s="2" t="s">
        <v>1536</v>
      </c>
      <c r="Z20" s="9">
        <v>0.4215</v>
      </c>
      <c r="AA20" s="9">
        <v>0.4749</v>
      </c>
      <c r="AB20" s="9">
        <v>0.0</v>
      </c>
      <c r="AC20" s="9">
        <v>0.2751</v>
      </c>
      <c r="AD20" s="9" t="str">
        <f t="shared" si="1"/>
        <v>#REF!</v>
      </c>
    </row>
    <row r="21" hidden="1">
      <c r="A21" s="2" t="s">
        <v>41</v>
      </c>
      <c r="B21" s="2" t="s">
        <v>1027</v>
      </c>
      <c r="C21" s="15"/>
      <c r="D21" s="2" t="s">
        <v>64</v>
      </c>
      <c r="E21" s="7" t="b">
        <v>1</v>
      </c>
      <c r="F21" s="9">
        <v>265.0</v>
      </c>
      <c r="G21" s="9">
        <v>11.23910994461506</v>
      </c>
      <c r="H21" s="9">
        <v>0.0034846301886792</v>
      </c>
      <c r="I21" s="7" t="b">
        <v>1</v>
      </c>
      <c r="J21" s="9">
        <v>0.0</v>
      </c>
      <c r="K21" s="7" t="b">
        <v>0</v>
      </c>
      <c r="L21" s="9">
        <v>59.0</v>
      </c>
      <c r="M21" s="9">
        <v>0.2226</v>
      </c>
      <c r="N21" s="2" t="s">
        <v>1394</v>
      </c>
      <c r="O21" s="2" t="s">
        <v>1539</v>
      </c>
      <c r="P21" s="9">
        <v>52.14</v>
      </c>
      <c r="Q21" s="9">
        <v>49.0</v>
      </c>
      <c r="R21" s="9">
        <v>0.0</v>
      </c>
      <c r="S21" s="9">
        <v>0.5017</v>
      </c>
      <c r="T21" s="9">
        <v>0.9812</v>
      </c>
      <c r="U21" s="2" t="s">
        <v>1540</v>
      </c>
      <c r="V21" s="9">
        <v>0.0</v>
      </c>
      <c r="W21" s="2" t="s">
        <v>82</v>
      </c>
      <c r="X21" s="2" t="s">
        <v>1466</v>
      </c>
      <c r="Y21" s="2" t="s">
        <v>1542</v>
      </c>
      <c r="Z21" s="9">
        <v>0.4035</v>
      </c>
      <c r="AA21" s="9">
        <v>0.5017</v>
      </c>
      <c r="AB21" s="9">
        <v>0.0</v>
      </c>
      <c r="AC21" s="9">
        <v>0.179</v>
      </c>
      <c r="AD21" s="9" t="str">
        <f t="shared" si="1"/>
        <v>#REF!</v>
      </c>
    </row>
    <row r="22" hidden="1">
      <c r="A22" s="2" t="s">
        <v>41</v>
      </c>
      <c r="B22" s="2" t="s">
        <v>1031</v>
      </c>
      <c r="C22" s="15"/>
      <c r="D22" s="2" t="s">
        <v>64</v>
      </c>
      <c r="E22" s="7" t="b">
        <v>1</v>
      </c>
      <c r="F22" s="9">
        <v>231.0</v>
      </c>
      <c r="G22" s="9">
        <v>15.76579401442706</v>
      </c>
      <c r="H22" s="9">
        <v>0.0145416727272727</v>
      </c>
      <c r="I22" s="7" t="b">
        <v>1</v>
      </c>
      <c r="J22" s="9">
        <v>0.0</v>
      </c>
      <c r="K22" s="7" t="b">
        <v>0</v>
      </c>
      <c r="L22" s="9">
        <v>181.0</v>
      </c>
      <c r="M22" s="9">
        <v>0.7835</v>
      </c>
      <c r="N22" s="2" t="s">
        <v>509</v>
      </c>
      <c r="O22" s="2" t="s">
        <v>1545</v>
      </c>
      <c r="P22" s="9">
        <v>50.36</v>
      </c>
      <c r="Q22" s="9">
        <v>44.0</v>
      </c>
      <c r="R22" s="9">
        <v>0.0</v>
      </c>
      <c r="S22" s="9">
        <v>0.6302</v>
      </c>
      <c r="T22" s="9">
        <v>0.9731</v>
      </c>
      <c r="U22" s="2" t="s">
        <v>1547</v>
      </c>
      <c r="V22" s="9">
        <v>0.0</v>
      </c>
      <c r="W22" s="2" t="s">
        <v>157</v>
      </c>
      <c r="X22" s="2" t="s">
        <v>517</v>
      </c>
      <c r="Y22" s="2" t="s">
        <v>1375</v>
      </c>
      <c r="Z22" s="9">
        <v>0.5122</v>
      </c>
      <c r="AA22" s="9">
        <v>0.6302</v>
      </c>
      <c r="AB22" s="9">
        <v>0.0</v>
      </c>
      <c r="AC22" s="9">
        <v>0.8484</v>
      </c>
      <c r="AD22" s="9" t="str">
        <f t="shared" si="1"/>
        <v>#REF!</v>
      </c>
    </row>
    <row r="23" hidden="1">
      <c r="A23" s="2" t="s">
        <v>47</v>
      </c>
      <c r="B23" s="2" t="s">
        <v>895</v>
      </c>
      <c r="C23" s="15"/>
      <c r="D23" s="2" t="s">
        <v>64</v>
      </c>
      <c r="E23" s="7" t="b">
        <v>1</v>
      </c>
      <c r="F23" s="9">
        <v>221.0</v>
      </c>
      <c r="G23" s="9">
        <v>5.550079710080057</v>
      </c>
      <c r="H23" s="9">
        <v>0.0015010407239819</v>
      </c>
      <c r="I23" s="7" t="b">
        <v>1</v>
      </c>
      <c r="J23" s="9">
        <v>0.0</v>
      </c>
      <c r="K23" s="7" t="b">
        <v>0</v>
      </c>
      <c r="L23" s="9">
        <v>94.0</v>
      </c>
      <c r="M23" s="9">
        <v>0.4253</v>
      </c>
      <c r="N23" s="2" t="s">
        <v>1551</v>
      </c>
      <c r="O23" s="2" t="s">
        <v>1552</v>
      </c>
      <c r="P23" s="9">
        <v>42.01</v>
      </c>
      <c r="Q23" s="9">
        <v>39.0</v>
      </c>
      <c r="R23" s="9">
        <v>0.0625</v>
      </c>
      <c r="S23" s="9">
        <v>0.224</v>
      </c>
      <c r="T23" s="9">
        <v>0.391</v>
      </c>
      <c r="U23" s="2" t="s">
        <v>1553</v>
      </c>
      <c r="V23" s="9">
        <v>0.0</v>
      </c>
      <c r="W23" s="2" t="s">
        <v>82</v>
      </c>
      <c r="X23" s="2" t="s">
        <v>517</v>
      </c>
      <c r="Y23" s="2" t="s">
        <v>1556</v>
      </c>
      <c r="Z23" s="9">
        <v>0.2918</v>
      </c>
      <c r="AA23" s="9">
        <v>0.224</v>
      </c>
      <c r="AB23" s="9">
        <v>0.0</v>
      </c>
      <c r="AC23" s="9">
        <v>0.726</v>
      </c>
      <c r="AD23" s="9" t="str">
        <f t="shared" si="1"/>
        <v>#REF!</v>
      </c>
    </row>
    <row r="24" hidden="1">
      <c r="A24" s="2" t="s">
        <v>47</v>
      </c>
      <c r="B24" s="2" t="s">
        <v>915</v>
      </c>
      <c r="C24" s="15"/>
      <c r="D24" s="2" t="s">
        <v>64</v>
      </c>
      <c r="E24" s="7" t="b">
        <v>1</v>
      </c>
      <c r="F24" s="9">
        <v>243.0</v>
      </c>
      <c r="G24" s="9">
        <v>7.549604749862882</v>
      </c>
      <c r="H24" s="9">
        <v>0.0065689296296296</v>
      </c>
      <c r="I24" s="7" t="b">
        <v>1</v>
      </c>
      <c r="J24" s="9">
        <v>0.0</v>
      </c>
      <c r="K24" s="7" t="b">
        <v>0</v>
      </c>
      <c r="L24" s="9">
        <v>579.0</v>
      </c>
      <c r="M24" s="9">
        <v>2.3827</v>
      </c>
      <c r="N24" s="2" t="s">
        <v>1559</v>
      </c>
      <c r="O24" s="2" t="s">
        <v>1560</v>
      </c>
      <c r="P24" s="9">
        <v>43.63</v>
      </c>
      <c r="Q24" s="9">
        <v>39.0</v>
      </c>
      <c r="R24" s="9">
        <v>0.009615</v>
      </c>
      <c r="S24" s="9">
        <v>0.6446</v>
      </c>
      <c r="T24" s="9">
        <v>0.7591</v>
      </c>
      <c r="U24" s="2" t="s">
        <v>1562</v>
      </c>
      <c r="V24" s="9">
        <v>0.0</v>
      </c>
      <c r="W24" s="2" t="s">
        <v>82</v>
      </c>
      <c r="X24" s="2" t="s">
        <v>1466</v>
      </c>
      <c r="Y24" s="2" t="s">
        <v>1564</v>
      </c>
      <c r="Z24" s="9">
        <v>0.5738</v>
      </c>
      <c r="AA24" s="9">
        <v>0.6446</v>
      </c>
      <c r="AB24" s="9">
        <v>0.0</v>
      </c>
      <c r="AC24" s="9">
        <v>0.2609</v>
      </c>
      <c r="AD24" s="9" t="str">
        <f t="shared" si="1"/>
        <v>#REF!</v>
      </c>
    </row>
    <row r="25" hidden="1">
      <c r="A25" s="2" t="s">
        <v>47</v>
      </c>
      <c r="B25" s="2" t="s">
        <v>963</v>
      </c>
      <c r="C25" s="15"/>
      <c r="D25" s="2" t="s">
        <v>64</v>
      </c>
      <c r="E25" s="7" t="b">
        <v>1</v>
      </c>
      <c r="F25" s="9">
        <v>1912.0</v>
      </c>
      <c r="G25" s="9">
        <v>13.84270566241595</v>
      </c>
      <c r="H25" s="9">
        <v>0.1104652458158995</v>
      </c>
      <c r="I25" s="7" t="b">
        <v>1</v>
      </c>
      <c r="J25" s="9">
        <v>0.0</v>
      </c>
      <c r="K25" s="7" t="b">
        <v>0</v>
      </c>
      <c r="L25" s="9">
        <v>1769.0</v>
      </c>
      <c r="M25" s="9">
        <v>0.9252</v>
      </c>
      <c r="N25" s="2" t="s">
        <v>1569</v>
      </c>
      <c r="O25" s="2" t="s">
        <v>1570</v>
      </c>
      <c r="P25" s="9">
        <v>46.54</v>
      </c>
      <c r="Q25" s="9">
        <v>42.0</v>
      </c>
      <c r="R25" s="9">
        <v>0.00838</v>
      </c>
      <c r="S25" s="9">
        <v>0.828</v>
      </c>
      <c r="T25" s="9">
        <v>0.8746</v>
      </c>
      <c r="U25" s="2" t="s">
        <v>1571</v>
      </c>
      <c r="V25" s="9">
        <v>0.8889</v>
      </c>
      <c r="W25" s="2" t="s">
        <v>82</v>
      </c>
      <c r="X25" s="2" t="s">
        <v>84</v>
      </c>
      <c r="Y25" s="2" t="s">
        <v>1572</v>
      </c>
      <c r="Z25" s="9">
        <v>0.7089</v>
      </c>
      <c r="AA25" s="9">
        <v>0.828</v>
      </c>
      <c r="AB25" s="9">
        <v>0.8889</v>
      </c>
      <c r="AC25" s="9">
        <v>0.8425</v>
      </c>
      <c r="AD25" s="9" t="str">
        <f t="shared" si="1"/>
        <v>#REF!</v>
      </c>
    </row>
    <row r="26" hidden="1">
      <c r="A26" s="2" t="s">
        <v>47</v>
      </c>
      <c r="B26" s="2" t="s">
        <v>969</v>
      </c>
      <c r="C26" s="15"/>
      <c r="D26" s="2" t="s">
        <v>64</v>
      </c>
      <c r="E26" s="7" t="b">
        <v>1</v>
      </c>
      <c r="F26" s="9">
        <v>334.0</v>
      </c>
      <c r="G26" s="9">
        <v>4.835432300441975</v>
      </c>
      <c r="H26" s="9">
        <v>0.0012889511976047</v>
      </c>
      <c r="I26" s="7" t="b">
        <v>1</v>
      </c>
      <c r="J26" s="9">
        <v>0.0</v>
      </c>
      <c r="K26" s="7" t="b">
        <v>0</v>
      </c>
      <c r="L26" s="9">
        <v>354.0</v>
      </c>
      <c r="M26" s="9">
        <v>1.0599</v>
      </c>
      <c r="N26" s="2" t="s">
        <v>1578</v>
      </c>
      <c r="O26" s="2" t="s">
        <v>1579</v>
      </c>
      <c r="P26" s="9">
        <v>40.58</v>
      </c>
      <c r="Q26" s="9">
        <v>38.0</v>
      </c>
      <c r="R26" s="9">
        <v>0.014706</v>
      </c>
      <c r="S26" s="9">
        <v>0.5335</v>
      </c>
      <c r="T26" s="9">
        <v>0.53</v>
      </c>
      <c r="U26" s="2" t="s">
        <v>1207</v>
      </c>
      <c r="V26" s="9">
        <v>0.0</v>
      </c>
      <c r="W26" s="2" t="s">
        <v>181</v>
      </c>
      <c r="X26" s="2" t="s">
        <v>1466</v>
      </c>
      <c r="Y26" s="2" t="s">
        <v>1582</v>
      </c>
      <c r="Z26" s="9">
        <v>0.483</v>
      </c>
      <c r="AA26" s="9">
        <v>0.5335</v>
      </c>
      <c r="AB26" s="9">
        <v>0.0</v>
      </c>
      <c r="AC26" s="9">
        <v>0.264</v>
      </c>
      <c r="AD26" s="9" t="str">
        <f t="shared" si="1"/>
        <v>#REF!</v>
      </c>
    </row>
    <row r="27" hidden="1">
      <c r="A27" s="2" t="s">
        <v>47</v>
      </c>
      <c r="B27" s="2" t="s">
        <v>973</v>
      </c>
      <c r="C27" s="15"/>
      <c r="D27" s="2" t="s">
        <v>64</v>
      </c>
      <c r="E27" s="7" t="b">
        <v>1</v>
      </c>
      <c r="F27" s="9">
        <v>184.0</v>
      </c>
      <c r="G27" s="9">
        <v>4.867165313608759</v>
      </c>
      <c r="H27" s="9">
        <v>0.0017918869565217</v>
      </c>
      <c r="I27" s="7" t="b">
        <v>1</v>
      </c>
      <c r="J27" s="9">
        <v>0.0</v>
      </c>
      <c r="K27" s="7" t="b">
        <v>0</v>
      </c>
      <c r="L27" s="9">
        <v>369.0</v>
      </c>
      <c r="M27" s="9">
        <v>2.0054</v>
      </c>
      <c r="N27" s="2" t="s">
        <v>1586</v>
      </c>
      <c r="O27" s="2" t="s">
        <v>1587</v>
      </c>
      <c r="P27" s="9">
        <v>43.14</v>
      </c>
      <c r="Q27" s="9">
        <v>39.0</v>
      </c>
      <c r="R27" s="9">
        <v>0.036145</v>
      </c>
      <c r="S27" s="9">
        <v>0.54</v>
      </c>
      <c r="T27" s="9">
        <v>0.5923</v>
      </c>
      <c r="U27" s="2" t="s">
        <v>1589</v>
      </c>
      <c r="V27" s="9">
        <v>0.8885</v>
      </c>
      <c r="W27" s="2" t="s">
        <v>1591</v>
      </c>
      <c r="X27" s="2" t="s">
        <v>517</v>
      </c>
      <c r="Y27" s="2" t="s">
        <v>1593</v>
      </c>
      <c r="Z27" s="9">
        <v>0.4892</v>
      </c>
      <c r="AA27" s="9">
        <v>0.54</v>
      </c>
      <c r="AB27" s="9">
        <v>0.8885</v>
      </c>
      <c r="AC27" s="9">
        <v>0.2379</v>
      </c>
      <c r="AD27" s="9" t="str">
        <f t="shared" si="1"/>
        <v>#REF!</v>
      </c>
    </row>
    <row r="28" hidden="1">
      <c r="A28" s="2" t="s">
        <v>47</v>
      </c>
      <c r="B28" s="2" t="s">
        <v>992</v>
      </c>
      <c r="C28" s="15"/>
      <c r="D28" s="2" t="s">
        <v>64</v>
      </c>
      <c r="E28" s="7" t="b">
        <v>1</v>
      </c>
      <c r="F28" s="9">
        <v>168.0</v>
      </c>
      <c r="G28" s="9">
        <v>7.953491468349494</v>
      </c>
      <c r="H28" s="9">
        <v>0.0052685357142857</v>
      </c>
      <c r="I28" s="7" t="b">
        <v>1</v>
      </c>
      <c r="J28" s="9">
        <v>0.0</v>
      </c>
      <c r="K28" s="7" t="b">
        <v>0</v>
      </c>
      <c r="L28" s="9">
        <v>370.0</v>
      </c>
      <c r="M28" s="9">
        <v>2.2024</v>
      </c>
      <c r="N28" s="2" t="s">
        <v>1597</v>
      </c>
      <c r="O28" s="2" t="s">
        <v>1598</v>
      </c>
      <c r="P28" s="9">
        <v>42.08</v>
      </c>
      <c r="Q28" s="9">
        <v>39.0</v>
      </c>
      <c r="R28" s="9">
        <v>0.013699</v>
      </c>
      <c r="S28" s="9">
        <v>0.5473</v>
      </c>
      <c r="T28" s="9">
        <v>0.618</v>
      </c>
      <c r="U28" s="2" t="s">
        <v>1599</v>
      </c>
      <c r="V28" s="9">
        <v>0.8875</v>
      </c>
      <c r="W28" s="2" t="s">
        <v>1600</v>
      </c>
      <c r="X28" s="2" t="s">
        <v>517</v>
      </c>
      <c r="Y28" s="2" t="s">
        <v>1593</v>
      </c>
      <c r="Z28" s="9">
        <v>0.5016</v>
      </c>
      <c r="AA28" s="9">
        <v>0.5473</v>
      </c>
      <c r="AB28" s="9">
        <v>0.8875</v>
      </c>
      <c r="AC28" s="9">
        <v>0.2421</v>
      </c>
      <c r="AD28" s="9" t="str">
        <f t="shared" si="1"/>
        <v>#REF!</v>
      </c>
    </row>
    <row r="29" hidden="1">
      <c r="A29" s="2" t="s">
        <v>47</v>
      </c>
      <c r="B29" s="2" t="s">
        <v>1027</v>
      </c>
      <c r="C29" s="15"/>
      <c r="D29" s="2" t="s">
        <v>64</v>
      </c>
      <c r="E29" s="7" t="b">
        <v>1</v>
      </c>
      <c r="F29" s="9">
        <v>3782.0</v>
      </c>
      <c r="G29" s="9">
        <v>8.298162660234587</v>
      </c>
      <c r="H29" s="9">
        <v>0.0263731737176097</v>
      </c>
      <c r="I29" s="7" t="b">
        <v>1</v>
      </c>
      <c r="J29" s="9">
        <v>0.0</v>
      </c>
      <c r="K29" s="7" t="b">
        <v>0</v>
      </c>
      <c r="L29" s="9">
        <v>1400.0</v>
      </c>
      <c r="M29" s="9">
        <v>0.3702</v>
      </c>
      <c r="N29" s="2" t="s">
        <v>1603</v>
      </c>
      <c r="O29" s="2" t="s">
        <v>1604</v>
      </c>
      <c r="P29" s="9">
        <v>47.0</v>
      </c>
      <c r="Q29" s="9">
        <v>42.0</v>
      </c>
      <c r="R29" s="9">
        <v>0.011765</v>
      </c>
      <c r="S29" s="9">
        <v>0.8412</v>
      </c>
      <c r="T29" s="9">
        <v>0.9049</v>
      </c>
      <c r="U29" s="2" t="s">
        <v>1398</v>
      </c>
      <c r="V29" s="9">
        <v>0.875</v>
      </c>
      <c r="W29" s="2" t="s">
        <v>157</v>
      </c>
      <c r="X29" s="2" t="s">
        <v>495</v>
      </c>
      <c r="Y29" s="2" t="s">
        <v>1607</v>
      </c>
      <c r="Z29" s="9">
        <v>0.7032</v>
      </c>
      <c r="AA29" s="9">
        <v>0.8412</v>
      </c>
      <c r="AB29" s="9">
        <v>0.875</v>
      </c>
      <c r="AC29" s="9">
        <v>0.2066</v>
      </c>
      <c r="AD29" s="9" t="str">
        <f t="shared" si="1"/>
        <v>#REF!</v>
      </c>
    </row>
    <row r="30" hidden="1">
      <c r="A30" s="2" t="s">
        <v>47</v>
      </c>
      <c r="B30" s="2" t="s">
        <v>1031</v>
      </c>
      <c r="C30" s="15"/>
      <c r="D30" s="2" t="s">
        <v>64</v>
      </c>
      <c r="E30" s="7" t="b">
        <v>1</v>
      </c>
      <c r="F30" s="9">
        <v>13248.0</v>
      </c>
      <c r="G30" s="9">
        <v>25.32691898442694</v>
      </c>
      <c r="H30" s="9">
        <v>1.191699377264493</v>
      </c>
      <c r="I30" s="7" t="b">
        <v>1</v>
      </c>
      <c r="J30" s="9">
        <v>0.0</v>
      </c>
      <c r="K30" s="7" t="b">
        <v>0</v>
      </c>
      <c r="L30" s="9">
        <v>12846.0</v>
      </c>
      <c r="M30" s="9">
        <v>0.9697</v>
      </c>
      <c r="N30" s="2" t="s">
        <v>1613</v>
      </c>
      <c r="O30" s="2" t="s">
        <v>1013</v>
      </c>
      <c r="P30" s="9">
        <v>53.34</v>
      </c>
      <c r="Q30" s="9">
        <v>46.0</v>
      </c>
      <c r="R30" s="9">
        <v>0.015476</v>
      </c>
      <c r="S30" s="9">
        <v>0.9614</v>
      </c>
      <c r="T30" s="9">
        <v>0.9379</v>
      </c>
      <c r="U30" s="2" t="s">
        <v>1286</v>
      </c>
      <c r="V30" s="9">
        <v>0.8837</v>
      </c>
      <c r="W30" s="2" t="s">
        <v>82</v>
      </c>
      <c r="X30" s="2" t="s">
        <v>99</v>
      </c>
      <c r="Y30" s="2" t="s">
        <v>1515</v>
      </c>
      <c r="Z30" s="9">
        <v>0.8953</v>
      </c>
      <c r="AA30" s="9">
        <v>0.9614</v>
      </c>
      <c r="AB30" s="9">
        <v>0.8837</v>
      </c>
      <c r="AC30" s="9">
        <v>0.8445</v>
      </c>
      <c r="AD30" s="9" t="str">
        <f t="shared" si="1"/>
        <v>#REF!</v>
      </c>
    </row>
    <row r="31" hidden="1">
      <c r="A31" s="2" t="s">
        <v>1617</v>
      </c>
      <c r="B31" s="2" t="s">
        <v>163</v>
      </c>
      <c r="C31" s="15"/>
      <c r="D31" s="2" t="s">
        <v>64</v>
      </c>
      <c r="E31" s="7" t="b">
        <v>1</v>
      </c>
      <c r="F31" s="9">
        <v>1.0</v>
      </c>
      <c r="G31" s="9">
        <v>30.06598045294094</v>
      </c>
      <c r="H31" s="9">
        <v>0.013956</v>
      </c>
      <c r="I31" s="7" t="b">
        <v>1</v>
      </c>
      <c r="J31" s="9">
        <v>0.0</v>
      </c>
      <c r="K31" s="7" t="b">
        <v>0</v>
      </c>
      <c r="L31" s="9">
        <v>3.0</v>
      </c>
      <c r="M31" s="9">
        <v>3.0</v>
      </c>
      <c r="N31" s="2" t="s">
        <v>400</v>
      </c>
      <c r="O31" s="2" t="s">
        <v>402</v>
      </c>
      <c r="P31" s="9">
        <v>58.0</v>
      </c>
      <c r="Q31" s="9">
        <v>58.0</v>
      </c>
      <c r="R31" s="9">
        <v>0.0</v>
      </c>
      <c r="S31" s="9">
        <v>0.2193</v>
      </c>
      <c r="T31" s="9">
        <v>1.0006</v>
      </c>
      <c r="U31" s="2" t="s">
        <v>109</v>
      </c>
      <c r="V31" s="15"/>
      <c r="W31" s="2" t="s">
        <v>82</v>
      </c>
      <c r="X31" s="2" t="s">
        <v>1621</v>
      </c>
      <c r="Y31" s="2" t="s">
        <v>1622</v>
      </c>
      <c r="Z31" s="9">
        <v>0.1502</v>
      </c>
      <c r="AA31" s="9">
        <v>0.2193</v>
      </c>
      <c r="AB31" s="15"/>
      <c r="AC31" s="9">
        <v>0.8193</v>
      </c>
      <c r="AD31" s="9" t="str">
        <f t="shared" si="1"/>
        <v>#REF!</v>
      </c>
    </row>
    <row r="32" hidden="1">
      <c r="A32" s="2" t="s">
        <v>1617</v>
      </c>
      <c r="B32" s="2" t="s">
        <v>203</v>
      </c>
      <c r="C32" s="15"/>
      <c r="D32" s="2" t="s">
        <v>64</v>
      </c>
      <c r="E32" s="7" t="b">
        <v>1</v>
      </c>
      <c r="F32" s="9">
        <v>7.0</v>
      </c>
      <c r="G32" s="9">
        <v>21.76271102590396</v>
      </c>
      <c r="H32" s="9">
        <v>0.0102426285714285</v>
      </c>
      <c r="I32" s="7" t="b">
        <v>1</v>
      </c>
      <c r="J32" s="9">
        <v>0.0</v>
      </c>
      <c r="K32" s="7" t="b">
        <v>0</v>
      </c>
      <c r="L32" s="9">
        <v>3.0</v>
      </c>
      <c r="M32" s="9">
        <v>0.4286</v>
      </c>
      <c r="N32" s="2" t="s">
        <v>1628</v>
      </c>
      <c r="O32" s="2" t="s">
        <v>1629</v>
      </c>
      <c r="P32" s="9">
        <v>47.33</v>
      </c>
      <c r="Q32" s="9">
        <v>52.0</v>
      </c>
      <c r="R32" s="9">
        <v>0.0</v>
      </c>
      <c r="S32" s="9">
        <v>0.2092</v>
      </c>
      <c r="T32" s="9">
        <v>1.0004</v>
      </c>
      <c r="U32" s="2" t="s">
        <v>1630</v>
      </c>
      <c r="V32" s="15"/>
      <c r="W32" s="15"/>
      <c r="X32" s="2" t="s">
        <v>182</v>
      </c>
      <c r="Y32" s="2" t="s">
        <v>1632</v>
      </c>
      <c r="Z32" s="9">
        <v>0.1455</v>
      </c>
      <c r="AA32" s="9">
        <v>0.2092</v>
      </c>
      <c r="AB32" s="15"/>
      <c r="AC32" s="9">
        <v>0.0</v>
      </c>
      <c r="AD32" s="9" t="str">
        <f t="shared" si="1"/>
        <v>#REF!</v>
      </c>
    </row>
    <row r="33" hidden="1">
      <c r="A33" s="2" t="s">
        <v>1617</v>
      </c>
      <c r="B33" s="2" t="s">
        <v>526</v>
      </c>
      <c r="C33" s="15"/>
      <c r="D33" s="2" t="s">
        <v>64</v>
      </c>
      <c r="E33" s="7" t="b">
        <v>1</v>
      </c>
      <c r="F33" s="9">
        <v>633.0</v>
      </c>
      <c r="G33" s="9">
        <v>16.73505734546047</v>
      </c>
      <c r="H33" s="9">
        <v>0.0027725007898894</v>
      </c>
      <c r="I33" s="7" t="b">
        <v>1</v>
      </c>
      <c r="J33" s="9">
        <v>0.0</v>
      </c>
      <c r="K33" s="7" t="b">
        <v>0</v>
      </c>
      <c r="L33" s="9">
        <v>3795.0</v>
      </c>
      <c r="M33" s="9">
        <v>5.9953</v>
      </c>
      <c r="N33" s="2" t="s">
        <v>1634</v>
      </c>
      <c r="O33" s="2" t="s">
        <v>1635</v>
      </c>
      <c r="P33" s="9">
        <v>66.1</v>
      </c>
      <c r="Q33" s="9">
        <v>57.0</v>
      </c>
      <c r="R33" s="9">
        <v>0.014847</v>
      </c>
      <c r="S33" s="9">
        <v>0.8955</v>
      </c>
      <c r="T33" s="9">
        <v>0.9895</v>
      </c>
      <c r="U33" s="2" t="s">
        <v>1636</v>
      </c>
      <c r="V33" s="9">
        <v>0.8657</v>
      </c>
      <c r="W33" s="2" t="s">
        <v>82</v>
      </c>
      <c r="X33" s="2" t="s">
        <v>84</v>
      </c>
      <c r="Y33" s="2" t="s">
        <v>1638</v>
      </c>
      <c r="Z33" s="9">
        <v>0.7493</v>
      </c>
      <c r="AA33" s="9">
        <v>0.8955</v>
      </c>
      <c r="AB33" s="9">
        <v>0.8657</v>
      </c>
      <c r="AC33" s="9">
        <v>0.4222</v>
      </c>
      <c r="AD33" s="9" t="str">
        <f t="shared" si="1"/>
        <v>#REF!</v>
      </c>
    </row>
    <row r="34" hidden="1">
      <c r="A34" s="2" t="s">
        <v>1617</v>
      </c>
      <c r="B34" s="2" t="s">
        <v>534</v>
      </c>
      <c r="C34" s="15"/>
      <c r="D34" s="2" t="s">
        <v>64</v>
      </c>
      <c r="E34" s="7" t="b">
        <v>1</v>
      </c>
      <c r="F34" s="9">
        <v>2187.0</v>
      </c>
      <c r="G34" s="9">
        <v>10.26937090236312</v>
      </c>
      <c r="H34" s="9">
        <v>0.0154471810699588</v>
      </c>
      <c r="I34" s="7" t="b">
        <v>1</v>
      </c>
      <c r="J34" s="9">
        <v>0.0</v>
      </c>
      <c r="K34" s="7" t="b">
        <v>0</v>
      </c>
      <c r="L34" s="9">
        <v>546.0</v>
      </c>
      <c r="M34" s="9">
        <v>0.2497</v>
      </c>
      <c r="N34" s="2" t="s">
        <v>1644</v>
      </c>
      <c r="O34" s="2" t="s">
        <v>1645</v>
      </c>
      <c r="P34" s="9">
        <v>70.09</v>
      </c>
      <c r="Q34" s="9">
        <v>57.0</v>
      </c>
      <c r="R34" s="9">
        <v>0.018519</v>
      </c>
      <c r="S34" s="9">
        <v>0.7109</v>
      </c>
      <c r="T34" s="9">
        <v>0.8557</v>
      </c>
      <c r="U34" s="2" t="s">
        <v>704</v>
      </c>
      <c r="V34" s="9">
        <v>0.6501</v>
      </c>
      <c r="W34" s="2" t="s">
        <v>198</v>
      </c>
      <c r="X34" s="2" t="s">
        <v>517</v>
      </c>
      <c r="Y34" s="2" t="s">
        <v>1648</v>
      </c>
      <c r="Z34" s="9">
        <v>0.5833</v>
      </c>
      <c r="AA34" s="9">
        <v>0.7109</v>
      </c>
      <c r="AB34" s="9">
        <v>0.6501</v>
      </c>
      <c r="AC34" s="9">
        <v>0.2339</v>
      </c>
      <c r="AD34" s="9" t="str">
        <f t="shared" si="1"/>
        <v>#REF!</v>
      </c>
    </row>
    <row r="35" hidden="1">
      <c r="A35" s="2" t="s">
        <v>1617</v>
      </c>
      <c r="B35" s="2" t="s">
        <v>542</v>
      </c>
      <c r="C35" s="15"/>
      <c r="D35" s="2" t="s">
        <v>64</v>
      </c>
      <c r="E35" s="7" t="b">
        <v>1</v>
      </c>
      <c r="F35" s="9">
        <v>729.0</v>
      </c>
      <c r="G35" s="9">
        <v>18.802791207105</v>
      </c>
      <c r="H35" s="9">
        <v>0.0344825788751714</v>
      </c>
      <c r="I35" s="7" t="b">
        <v>1</v>
      </c>
      <c r="J35" s="9">
        <v>0.0</v>
      </c>
      <c r="K35" s="7" t="b">
        <v>0</v>
      </c>
      <c r="L35" s="9">
        <v>1074.0</v>
      </c>
      <c r="M35" s="9">
        <v>1.4733</v>
      </c>
      <c r="N35" s="2" t="s">
        <v>586</v>
      </c>
      <c r="O35" s="2" t="s">
        <v>1655</v>
      </c>
      <c r="P35" s="9">
        <v>66.63</v>
      </c>
      <c r="Q35" s="9">
        <v>54.5</v>
      </c>
      <c r="R35" s="9">
        <v>0.004878</v>
      </c>
      <c r="S35" s="9">
        <v>0.845</v>
      </c>
      <c r="T35" s="9">
        <v>0.9682</v>
      </c>
      <c r="U35" s="2" t="s">
        <v>740</v>
      </c>
      <c r="V35" s="9">
        <v>0.8147</v>
      </c>
      <c r="W35" s="2" t="s">
        <v>1657</v>
      </c>
      <c r="X35" s="2" t="s">
        <v>495</v>
      </c>
      <c r="Y35" s="2" t="s">
        <v>1658</v>
      </c>
      <c r="Z35" s="9">
        <v>0.6912</v>
      </c>
      <c r="AA35" s="9">
        <v>0.845</v>
      </c>
      <c r="AB35" s="9">
        <v>0.8147</v>
      </c>
      <c r="AC35" s="9">
        <v>0.2423</v>
      </c>
      <c r="AD35" s="9" t="str">
        <f t="shared" si="1"/>
        <v>#REF!</v>
      </c>
    </row>
    <row r="36" hidden="1">
      <c r="A36" s="2" t="s">
        <v>1617</v>
      </c>
      <c r="B36" s="2" t="s">
        <v>611</v>
      </c>
      <c r="C36" s="15"/>
      <c r="D36" s="2" t="s">
        <v>64</v>
      </c>
      <c r="E36" s="7" t="b">
        <v>1</v>
      </c>
      <c r="F36" s="9">
        <v>98.0</v>
      </c>
      <c r="G36" s="9">
        <v>17.03129507445432</v>
      </c>
      <c r="H36" s="9">
        <v>0.0023045632653061</v>
      </c>
      <c r="I36" s="7" t="b">
        <v>1</v>
      </c>
      <c r="J36" s="9">
        <v>0.0</v>
      </c>
      <c r="K36" s="7" t="b">
        <v>0</v>
      </c>
      <c r="L36" s="9">
        <v>8.0</v>
      </c>
      <c r="M36" s="9">
        <v>0.0816</v>
      </c>
      <c r="N36" s="2" t="s">
        <v>1664</v>
      </c>
      <c r="O36" s="2" t="s">
        <v>1665</v>
      </c>
      <c r="P36" s="9">
        <v>38.62</v>
      </c>
      <c r="Q36" s="9">
        <v>37.5</v>
      </c>
      <c r="R36" s="9">
        <v>0.0</v>
      </c>
      <c r="S36" s="9">
        <v>0.2386</v>
      </c>
      <c r="T36" s="9">
        <v>0.9191</v>
      </c>
      <c r="U36" s="2" t="s">
        <v>1671</v>
      </c>
      <c r="V36" s="9">
        <v>0.0</v>
      </c>
      <c r="W36" s="2" t="s">
        <v>82</v>
      </c>
      <c r="X36" s="2" t="s">
        <v>1466</v>
      </c>
      <c r="Y36" s="2" t="s">
        <v>1542</v>
      </c>
      <c r="Z36" s="9">
        <v>0.1852</v>
      </c>
      <c r="AA36" s="9">
        <v>0.2386</v>
      </c>
      <c r="AB36" s="9">
        <v>0.0</v>
      </c>
      <c r="AC36" s="9">
        <v>0.0</v>
      </c>
      <c r="AD36" s="9" t="str">
        <f t="shared" si="1"/>
        <v>#REF!</v>
      </c>
    </row>
    <row r="37">
      <c r="A37" s="2" t="s">
        <v>1617</v>
      </c>
      <c r="B37" s="2" t="s">
        <v>306</v>
      </c>
      <c r="C37" s="2" t="s">
        <v>1675</v>
      </c>
      <c r="D37" s="2" t="s">
        <v>64</v>
      </c>
      <c r="E37" s="7" t="b">
        <v>1</v>
      </c>
      <c r="F37" s="9">
        <v>32896.0</v>
      </c>
      <c r="G37" s="9">
        <v>91.60012766690755</v>
      </c>
      <c r="H37" s="9">
        <v>6.771119889956226</v>
      </c>
      <c r="I37" s="7" t="b">
        <v>1</v>
      </c>
      <c r="J37" s="9">
        <v>0.0</v>
      </c>
      <c r="K37" s="7" t="b">
        <v>0</v>
      </c>
      <c r="L37" s="9">
        <v>32927.0</v>
      </c>
      <c r="M37" s="9">
        <v>1.0009</v>
      </c>
      <c r="N37" s="2" t="s">
        <v>1678</v>
      </c>
      <c r="O37" s="2" t="s">
        <v>1680</v>
      </c>
      <c r="P37" s="9">
        <v>70.74</v>
      </c>
      <c r="Q37" s="9">
        <v>62.0</v>
      </c>
      <c r="R37" s="9">
        <v>0.010357</v>
      </c>
      <c r="S37" s="9">
        <v>0.9872</v>
      </c>
      <c r="T37" s="9">
        <v>0.9529</v>
      </c>
      <c r="U37" s="2" t="s">
        <v>1681</v>
      </c>
      <c r="V37" s="9">
        <v>0.8647</v>
      </c>
      <c r="W37" s="2" t="s">
        <v>82</v>
      </c>
      <c r="X37" s="2" t="s">
        <v>99</v>
      </c>
      <c r="Y37" s="2" t="s">
        <v>1515</v>
      </c>
      <c r="Z37" s="9">
        <v>0.9625</v>
      </c>
      <c r="AA37" s="9">
        <v>0.9872</v>
      </c>
      <c r="AB37" s="9">
        <v>0.8647</v>
      </c>
      <c r="AC37" s="9">
        <v>0.8287</v>
      </c>
      <c r="AD37" s="9" t="str">
        <f t="shared" si="1"/>
        <v>#REF!</v>
      </c>
    </row>
    <row r="38" hidden="1">
      <c r="A38" s="2" t="s">
        <v>1617</v>
      </c>
      <c r="B38" s="2" t="s">
        <v>969</v>
      </c>
      <c r="C38" s="15"/>
      <c r="D38" s="2" t="s">
        <v>64</v>
      </c>
      <c r="E38" s="7" t="b">
        <v>1</v>
      </c>
      <c r="F38" s="9">
        <v>107.0</v>
      </c>
      <c r="G38" s="9">
        <v>27.23940119574451</v>
      </c>
      <c r="H38" s="9">
        <v>0.0130778467289719</v>
      </c>
      <c r="I38" s="7" t="b">
        <v>1</v>
      </c>
      <c r="J38" s="9">
        <v>0.0</v>
      </c>
      <c r="K38" s="7" t="b">
        <v>0</v>
      </c>
      <c r="L38" s="9">
        <v>110.0</v>
      </c>
      <c r="M38" s="9">
        <v>1.028</v>
      </c>
      <c r="N38" s="2" t="s">
        <v>1689</v>
      </c>
      <c r="O38" s="2" t="s">
        <v>1690</v>
      </c>
      <c r="P38" s="9">
        <v>61.77</v>
      </c>
      <c r="Q38" s="9">
        <v>53.0</v>
      </c>
      <c r="R38" s="9">
        <v>0.0</v>
      </c>
      <c r="S38" s="9">
        <v>0.6053</v>
      </c>
      <c r="T38" s="9">
        <v>0.9841</v>
      </c>
      <c r="U38" s="2" t="s">
        <v>1693</v>
      </c>
      <c r="V38" s="9">
        <v>0.3</v>
      </c>
      <c r="W38" s="2" t="s">
        <v>1600</v>
      </c>
      <c r="X38" s="2" t="s">
        <v>517</v>
      </c>
      <c r="Y38" s="2" t="s">
        <v>1375</v>
      </c>
      <c r="Z38" s="9">
        <v>0.4769</v>
      </c>
      <c r="AA38" s="9">
        <v>0.6053</v>
      </c>
      <c r="AB38" s="9">
        <v>0.3</v>
      </c>
      <c r="AC38" s="9">
        <v>0.7028</v>
      </c>
      <c r="AD38" s="9" t="str">
        <f t="shared" si="1"/>
        <v>#REF!</v>
      </c>
    </row>
    <row r="39" hidden="1">
      <c r="A39" s="2" t="s">
        <v>1617</v>
      </c>
      <c r="B39" s="2" t="s">
        <v>982</v>
      </c>
      <c r="C39" s="15"/>
      <c r="D39" s="2" t="s">
        <v>64</v>
      </c>
      <c r="E39" s="7" t="b">
        <v>1</v>
      </c>
      <c r="F39" s="9">
        <v>265.0</v>
      </c>
      <c r="G39" s="9">
        <v>24.18357449967535</v>
      </c>
      <c r="H39" s="9">
        <v>0.0727050943396226</v>
      </c>
      <c r="I39" s="7" t="b">
        <v>1</v>
      </c>
      <c r="J39" s="9">
        <v>0.0</v>
      </c>
      <c r="K39" s="7" t="b">
        <v>0</v>
      </c>
      <c r="L39" s="9">
        <v>368.0</v>
      </c>
      <c r="M39" s="9">
        <v>1.3887</v>
      </c>
      <c r="N39" s="2" t="s">
        <v>1644</v>
      </c>
      <c r="O39" s="2" t="s">
        <v>1698</v>
      </c>
      <c r="P39" s="9">
        <v>71.84</v>
      </c>
      <c r="Q39" s="9">
        <v>58.5</v>
      </c>
      <c r="R39" s="9">
        <v>0.0125</v>
      </c>
      <c r="S39" s="9">
        <v>0.7497</v>
      </c>
      <c r="T39" s="9">
        <v>0.9883</v>
      </c>
      <c r="U39" s="2" t="s">
        <v>1701</v>
      </c>
      <c r="V39" s="9">
        <v>0.55</v>
      </c>
      <c r="W39" s="2" t="s">
        <v>181</v>
      </c>
      <c r="X39" s="2" t="s">
        <v>237</v>
      </c>
      <c r="Y39" s="2" t="s">
        <v>1703</v>
      </c>
      <c r="Z39" s="9">
        <v>0.5959</v>
      </c>
      <c r="AA39" s="9">
        <v>0.7497</v>
      </c>
      <c r="AB39" s="9">
        <v>0.55</v>
      </c>
      <c r="AC39" s="9">
        <v>0.6094</v>
      </c>
      <c r="AD39" s="9" t="str">
        <f t="shared" si="1"/>
        <v>#REF!</v>
      </c>
    </row>
    <row r="40" hidden="1">
      <c r="A40" s="2" t="s">
        <v>1617</v>
      </c>
      <c r="B40" s="2" t="s">
        <v>992</v>
      </c>
      <c r="C40" s="15"/>
      <c r="D40" s="2" t="s">
        <v>64</v>
      </c>
      <c r="E40" s="7" t="b">
        <v>1</v>
      </c>
      <c r="F40" s="9">
        <v>57.0</v>
      </c>
      <c r="G40" s="9">
        <v>17.90253845381598</v>
      </c>
      <c r="H40" s="9">
        <v>0.0090709157894736</v>
      </c>
      <c r="I40" s="7" t="b">
        <v>1</v>
      </c>
      <c r="J40" s="9">
        <v>0.0</v>
      </c>
      <c r="K40" s="7" t="b">
        <v>0</v>
      </c>
      <c r="L40" s="9">
        <v>218.0</v>
      </c>
      <c r="M40" s="9">
        <v>3.8246</v>
      </c>
      <c r="N40" s="2" t="s">
        <v>230</v>
      </c>
      <c r="O40" s="2" t="s">
        <v>78</v>
      </c>
      <c r="P40" s="9">
        <v>68.27</v>
      </c>
      <c r="Q40" s="9">
        <v>57.0</v>
      </c>
      <c r="R40" s="9">
        <v>0.0</v>
      </c>
      <c r="S40" s="9">
        <v>0.668</v>
      </c>
      <c r="T40" s="9">
        <v>0.9814</v>
      </c>
      <c r="U40" s="2" t="s">
        <v>1016</v>
      </c>
      <c r="V40" s="9">
        <v>0.8193</v>
      </c>
      <c r="W40" s="2" t="s">
        <v>1707</v>
      </c>
      <c r="X40" s="2" t="s">
        <v>517</v>
      </c>
      <c r="Y40" s="2" t="s">
        <v>1711</v>
      </c>
      <c r="Z40" s="9">
        <v>0.5324</v>
      </c>
      <c r="AA40" s="9">
        <v>0.668</v>
      </c>
      <c r="AB40" s="9">
        <v>0.8193</v>
      </c>
      <c r="AC40" s="9">
        <v>0.5907</v>
      </c>
      <c r="AD40" s="9" t="str">
        <f t="shared" si="1"/>
        <v>#REF!</v>
      </c>
    </row>
    <row r="41" hidden="1">
      <c r="A41" s="2" t="s">
        <v>1617</v>
      </c>
      <c r="B41" s="2" t="s">
        <v>997</v>
      </c>
      <c r="C41" s="15"/>
      <c r="D41" s="2" t="s">
        <v>64</v>
      </c>
      <c r="E41" s="7" t="b">
        <v>1</v>
      </c>
      <c r="F41" s="9">
        <v>387.0</v>
      </c>
      <c r="G41" s="9">
        <v>38.36668194541841</v>
      </c>
      <c r="H41" s="9">
        <v>0.0381593162790697</v>
      </c>
      <c r="I41" s="7" t="b">
        <v>1</v>
      </c>
      <c r="J41" s="9">
        <v>0.0</v>
      </c>
      <c r="K41" s="7" t="b">
        <v>0</v>
      </c>
      <c r="L41" s="9">
        <v>237.0</v>
      </c>
      <c r="M41" s="9">
        <v>0.6124</v>
      </c>
      <c r="N41" s="2" t="s">
        <v>1715</v>
      </c>
      <c r="O41" s="2" t="s">
        <v>1716</v>
      </c>
      <c r="P41" s="9">
        <v>80.31</v>
      </c>
      <c r="Q41" s="9">
        <v>68.0</v>
      </c>
      <c r="R41" s="9">
        <v>0.0</v>
      </c>
      <c r="S41" s="9">
        <v>0.6662</v>
      </c>
      <c r="T41" s="9">
        <v>0.9939</v>
      </c>
      <c r="U41" s="2" t="s">
        <v>1717</v>
      </c>
      <c r="V41" s="9">
        <v>0.55</v>
      </c>
      <c r="W41" s="2" t="s">
        <v>157</v>
      </c>
      <c r="X41" s="2" t="s">
        <v>495</v>
      </c>
      <c r="Y41" s="2" t="s">
        <v>1718</v>
      </c>
      <c r="Z41" s="9">
        <v>0.5255</v>
      </c>
      <c r="AA41" s="9">
        <v>0.6662</v>
      </c>
      <c r="AB41" s="9">
        <v>0.55</v>
      </c>
      <c r="AC41" s="9">
        <v>0.7884</v>
      </c>
      <c r="AD41" s="9" t="str">
        <f t="shared" si="1"/>
        <v>#REF!</v>
      </c>
    </row>
    <row r="42" hidden="1">
      <c r="A42" s="2" t="s">
        <v>1617</v>
      </c>
      <c r="B42" s="2" t="s">
        <v>1027</v>
      </c>
      <c r="C42" s="15"/>
      <c r="D42" s="2" t="s">
        <v>64</v>
      </c>
      <c r="E42" s="7" t="b">
        <v>1</v>
      </c>
      <c r="F42" s="9">
        <v>316.0</v>
      </c>
      <c r="G42" s="9">
        <v>23.30568546228155</v>
      </c>
      <c r="H42" s="9">
        <v>0.0177900056962025</v>
      </c>
      <c r="I42" s="7" t="b">
        <v>1</v>
      </c>
      <c r="J42" s="9">
        <v>0.0</v>
      </c>
      <c r="K42" s="7" t="b">
        <v>0</v>
      </c>
      <c r="L42" s="9">
        <v>101.0</v>
      </c>
      <c r="M42" s="9">
        <v>0.3196</v>
      </c>
      <c r="N42" s="2" t="s">
        <v>1724</v>
      </c>
      <c r="O42" s="2" t="s">
        <v>1725</v>
      </c>
      <c r="P42" s="9">
        <v>71.38</v>
      </c>
      <c r="Q42" s="9">
        <v>60.0</v>
      </c>
      <c r="R42" s="9">
        <v>0.125</v>
      </c>
      <c r="S42" s="9">
        <v>0.5872</v>
      </c>
      <c r="T42" s="9">
        <v>0.9679</v>
      </c>
      <c r="U42" s="2" t="s">
        <v>1207</v>
      </c>
      <c r="V42" s="9">
        <v>0.3673</v>
      </c>
      <c r="W42" s="2" t="s">
        <v>82</v>
      </c>
      <c r="X42" s="2" t="s">
        <v>495</v>
      </c>
      <c r="Y42" s="2" t="s">
        <v>1726</v>
      </c>
      <c r="Z42" s="9">
        <v>0.4546</v>
      </c>
      <c r="AA42" s="9">
        <v>0.5872</v>
      </c>
      <c r="AB42" s="9">
        <v>0.3673</v>
      </c>
      <c r="AC42" s="9">
        <v>0.6806</v>
      </c>
      <c r="AD42" s="9" t="str">
        <f t="shared" si="1"/>
        <v>#REF!</v>
      </c>
    </row>
    <row r="43" hidden="1">
      <c r="A43" s="2" t="s">
        <v>1729</v>
      </c>
      <c r="B43" s="2" t="s">
        <v>203</v>
      </c>
      <c r="C43" s="15"/>
      <c r="D43" s="2" t="s">
        <v>64</v>
      </c>
      <c r="E43" s="7" t="b">
        <v>1</v>
      </c>
      <c r="F43" s="9">
        <v>6.0</v>
      </c>
      <c r="G43" s="9">
        <v>28.73901008147359</v>
      </c>
      <c r="H43" s="9">
        <v>0.0152994</v>
      </c>
      <c r="I43" s="7" t="b">
        <v>1</v>
      </c>
      <c r="J43" s="9">
        <v>0.0</v>
      </c>
      <c r="K43" s="7" t="b">
        <v>0</v>
      </c>
      <c r="L43" s="9">
        <v>7.0</v>
      </c>
      <c r="M43" s="9">
        <v>1.1667</v>
      </c>
      <c r="N43" s="2" t="s">
        <v>1450</v>
      </c>
      <c r="O43" s="2" t="s">
        <v>1451</v>
      </c>
      <c r="P43" s="9">
        <v>48.86</v>
      </c>
      <c r="Q43" s="9">
        <v>50.0</v>
      </c>
      <c r="R43" s="9">
        <v>0.0</v>
      </c>
      <c r="S43" s="9">
        <v>0.3328</v>
      </c>
      <c r="T43" s="9">
        <v>1.0009</v>
      </c>
      <c r="U43" s="2" t="s">
        <v>1733</v>
      </c>
      <c r="V43" s="15"/>
      <c r="W43" s="15"/>
      <c r="X43" s="2" t="s">
        <v>1455</v>
      </c>
      <c r="Y43" s="2" t="s">
        <v>1734</v>
      </c>
      <c r="Z43" s="9">
        <v>0.2577</v>
      </c>
      <c r="AA43" s="9">
        <v>0.3328</v>
      </c>
      <c r="AB43" s="15"/>
      <c r="AC43" s="9">
        <v>0.8786</v>
      </c>
      <c r="AD43" s="9" t="str">
        <f t="shared" si="1"/>
        <v>#REF!</v>
      </c>
    </row>
    <row r="44" hidden="1">
      <c r="A44" s="2" t="s">
        <v>1729</v>
      </c>
      <c r="B44" s="2" t="s">
        <v>534</v>
      </c>
      <c r="C44" s="15"/>
      <c r="D44" s="2" t="s">
        <v>64</v>
      </c>
      <c r="E44" s="7" t="b">
        <v>1</v>
      </c>
      <c r="F44" s="9">
        <v>661.0</v>
      </c>
      <c r="G44" s="9">
        <v>22.76869889350852</v>
      </c>
      <c r="H44" s="9">
        <v>0.0230448199697428</v>
      </c>
      <c r="I44" s="7" t="b">
        <v>1</v>
      </c>
      <c r="J44" s="9">
        <v>0.0</v>
      </c>
      <c r="K44" s="7" t="b">
        <v>0</v>
      </c>
      <c r="L44" s="9">
        <v>464.0</v>
      </c>
      <c r="M44" s="9">
        <v>0.702</v>
      </c>
      <c r="N44" s="2" t="s">
        <v>1737</v>
      </c>
      <c r="O44" s="2" t="s">
        <v>1738</v>
      </c>
      <c r="P44" s="9">
        <v>65.25</v>
      </c>
      <c r="Q44" s="9">
        <v>54.5</v>
      </c>
      <c r="R44" s="9">
        <v>0.0</v>
      </c>
      <c r="S44" s="9">
        <v>0.7334</v>
      </c>
      <c r="T44" s="9">
        <v>0.9627</v>
      </c>
      <c r="U44" s="2" t="s">
        <v>1741</v>
      </c>
      <c r="V44" s="9">
        <v>0.0</v>
      </c>
      <c r="W44" s="2" t="s">
        <v>1094</v>
      </c>
      <c r="X44" s="2" t="s">
        <v>517</v>
      </c>
      <c r="Y44" s="2" t="s">
        <v>1744</v>
      </c>
      <c r="Z44" s="9">
        <v>0.5904</v>
      </c>
      <c r="AA44" s="9">
        <v>0.7334</v>
      </c>
      <c r="AB44" s="9">
        <v>0.0</v>
      </c>
      <c r="AC44" s="9">
        <v>0.7219</v>
      </c>
      <c r="AD44" s="9" t="str">
        <f t="shared" si="1"/>
        <v>#REF!</v>
      </c>
    </row>
    <row r="45" hidden="1">
      <c r="A45" s="2" t="s">
        <v>1729</v>
      </c>
      <c r="B45" s="2" t="s">
        <v>542</v>
      </c>
      <c r="C45" s="15"/>
      <c r="D45" s="2" t="s">
        <v>64</v>
      </c>
      <c r="E45" s="7" t="b">
        <v>1</v>
      </c>
      <c r="F45" s="9">
        <v>957.0</v>
      </c>
      <c r="G45" s="9">
        <v>16.72435775293078</v>
      </c>
      <c r="H45" s="9">
        <v>0.0357088307210031</v>
      </c>
      <c r="I45" s="7" t="b">
        <v>1</v>
      </c>
      <c r="J45" s="9">
        <v>0.0</v>
      </c>
      <c r="K45" s="7" t="b">
        <v>0</v>
      </c>
      <c r="L45" s="9">
        <v>1433.0</v>
      </c>
      <c r="M45" s="9">
        <v>1.4974</v>
      </c>
      <c r="N45" s="2" t="s">
        <v>1747</v>
      </c>
      <c r="O45" s="2" t="s">
        <v>1749</v>
      </c>
      <c r="P45" s="9">
        <v>61.3</v>
      </c>
      <c r="Q45" s="9">
        <v>50.0</v>
      </c>
      <c r="R45" s="9">
        <v>0.010676</v>
      </c>
      <c r="S45" s="9">
        <v>0.8605</v>
      </c>
      <c r="T45" s="9">
        <v>0.9554</v>
      </c>
      <c r="U45" s="2" t="s">
        <v>688</v>
      </c>
      <c r="V45" s="9">
        <v>0.8121</v>
      </c>
      <c r="W45" s="2" t="s">
        <v>134</v>
      </c>
      <c r="X45" s="2" t="s">
        <v>237</v>
      </c>
      <c r="Y45" s="2" t="s">
        <v>1752</v>
      </c>
      <c r="Z45" s="9">
        <v>0.7159</v>
      </c>
      <c r="AA45" s="9">
        <v>0.8605</v>
      </c>
      <c r="AB45" s="9">
        <v>0.8121</v>
      </c>
      <c r="AC45" s="9">
        <v>0.2669</v>
      </c>
      <c r="AD45" s="9" t="str">
        <f t="shared" si="1"/>
        <v>#REF!</v>
      </c>
    </row>
    <row r="46" hidden="1">
      <c r="A46" s="2" t="s">
        <v>1729</v>
      </c>
      <c r="B46" s="2" t="s">
        <v>611</v>
      </c>
      <c r="C46" s="15"/>
      <c r="D46" s="2" t="s">
        <v>64</v>
      </c>
      <c r="E46" s="7" t="b">
        <v>1</v>
      </c>
      <c r="F46" s="9">
        <v>57.0</v>
      </c>
      <c r="G46" s="9">
        <v>22.34423108716277</v>
      </c>
      <c r="H46" s="9">
        <v>0.0023070333333333</v>
      </c>
      <c r="I46" s="7" t="b">
        <v>1</v>
      </c>
      <c r="J46" s="9">
        <v>0.0</v>
      </c>
      <c r="K46" s="7" t="b">
        <v>0</v>
      </c>
      <c r="L46" s="9">
        <v>4.0</v>
      </c>
      <c r="M46" s="9">
        <v>0.0702</v>
      </c>
      <c r="N46" s="2" t="s">
        <v>1664</v>
      </c>
      <c r="O46" s="2" t="s">
        <v>1665</v>
      </c>
      <c r="P46" s="9">
        <v>37.5</v>
      </c>
      <c r="Q46" s="9">
        <v>38.0</v>
      </c>
      <c r="R46" s="9">
        <v>0.0</v>
      </c>
      <c r="S46" s="9">
        <v>0.1736</v>
      </c>
      <c r="T46" s="9">
        <v>1.0</v>
      </c>
      <c r="U46" s="2" t="s">
        <v>1756</v>
      </c>
      <c r="V46" s="15"/>
      <c r="W46" s="2" t="s">
        <v>82</v>
      </c>
      <c r="X46" s="2" t="s">
        <v>1455</v>
      </c>
      <c r="Y46" s="2" t="s">
        <v>1542</v>
      </c>
      <c r="Z46" s="9">
        <v>0.1347</v>
      </c>
      <c r="AA46" s="9">
        <v>0.1736</v>
      </c>
      <c r="AB46" s="15"/>
      <c r="AC46" s="9">
        <v>0.3</v>
      </c>
      <c r="AD46" s="9" t="str">
        <f t="shared" si="1"/>
        <v>#REF!</v>
      </c>
    </row>
    <row r="47">
      <c r="A47" s="2" t="s">
        <v>1729</v>
      </c>
      <c r="B47" s="2" t="s">
        <v>306</v>
      </c>
      <c r="C47" s="2" t="s">
        <v>1675</v>
      </c>
      <c r="D47" s="2" t="s">
        <v>64</v>
      </c>
      <c r="E47" s="7" t="b">
        <v>1</v>
      </c>
      <c r="F47" s="9">
        <v>48684.0</v>
      </c>
      <c r="G47" s="9">
        <v>76.22386772859832</v>
      </c>
      <c r="H47" s="9">
        <v>5.434333534631502</v>
      </c>
      <c r="I47" s="7" t="b">
        <v>1</v>
      </c>
      <c r="J47" s="9">
        <v>0.0</v>
      </c>
      <c r="K47" s="7" t="b">
        <v>0</v>
      </c>
      <c r="L47" s="9">
        <v>50232.0</v>
      </c>
      <c r="M47" s="9">
        <v>1.0318</v>
      </c>
      <c r="N47" s="2" t="s">
        <v>1760</v>
      </c>
      <c r="O47" s="2" t="s">
        <v>1761</v>
      </c>
      <c r="P47" s="9">
        <v>61.12</v>
      </c>
      <c r="Q47" s="9">
        <v>54.0</v>
      </c>
      <c r="R47" s="9">
        <v>0.014967</v>
      </c>
      <c r="S47" s="9">
        <v>0.9879</v>
      </c>
      <c r="T47" s="9">
        <v>0.9387</v>
      </c>
      <c r="U47" s="2" t="s">
        <v>1275</v>
      </c>
      <c r="V47" s="9">
        <v>0.881</v>
      </c>
      <c r="W47" s="2" t="s">
        <v>82</v>
      </c>
      <c r="X47" s="2" t="s">
        <v>99</v>
      </c>
      <c r="Y47" s="2" t="s">
        <v>1515</v>
      </c>
      <c r="Z47" s="9">
        <v>0.9727</v>
      </c>
      <c r="AA47" s="9">
        <v>0.9879</v>
      </c>
      <c r="AB47" s="9">
        <v>0.881</v>
      </c>
      <c r="AC47" s="9">
        <v>0.8467</v>
      </c>
      <c r="AD47" s="9" t="str">
        <f t="shared" si="1"/>
        <v>#REF!</v>
      </c>
    </row>
    <row r="48" hidden="1">
      <c r="A48" s="2" t="s">
        <v>1729</v>
      </c>
      <c r="B48" s="2" t="s">
        <v>969</v>
      </c>
      <c r="C48" s="15"/>
      <c r="D48" s="2" t="s">
        <v>64</v>
      </c>
      <c r="E48" s="7" t="b">
        <v>1</v>
      </c>
      <c r="F48" s="9">
        <v>131.0</v>
      </c>
      <c r="G48" s="9">
        <v>24.97198712912535</v>
      </c>
      <c r="H48" s="9">
        <v>0.0134480435114503</v>
      </c>
      <c r="I48" s="7" t="b">
        <v>1</v>
      </c>
      <c r="J48" s="9">
        <v>0.0</v>
      </c>
      <c r="K48" s="7" t="b">
        <v>0</v>
      </c>
      <c r="L48" s="9">
        <v>158.0</v>
      </c>
      <c r="M48" s="9">
        <v>1.2061</v>
      </c>
      <c r="N48" s="2" t="s">
        <v>1768</v>
      </c>
      <c r="O48" s="2" t="s">
        <v>1769</v>
      </c>
      <c r="P48" s="9">
        <v>60.29</v>
      </c>
      <c r="Q48" s="9">
        <v>54.5</v>
      </c>
      <c r="R48" s="9">
        <v>0.029412</v>
      </c>
      <c r="S48" s="9">
        <v>0.6547</v>
      </c>
      <c r="T48" s="9">
        <v>0.9654</v>
      </c>
      <c r="U48" s="2" t="s">
        <v>1453</v>
      </c>
      <c r="V48" s="9">
        <v>0.0</v>
      </c>
      <c r="W48" s="2" t="s">
        <v>1771</v>
      </c>
      <c r="X48" s="2" t="s">
        <v>495</v>
      </c>
      <c r="Y48" s="2" t="s">
        <v>1418</v>
      </c>
      <c r="Z48" s="9">
        <v>0.512</v>
      </c>
      <c r="AA48" s="9">
        <v>0.6547</v>
      </c>
      <c r="AB48" s="9">
        <v>0.0</v>
      </c>
      <c r="AC48" s="9">
        <v>0.7878</v>
      </c>
      <c r="AD48" s="9" t="str">
        <f t="shared" si="1"/>
        <v>#REF!</v>
      </c>
    </row>
    <row r="49" hidden="1">
      <c r="A49" s="2" t="s">
        <v>1729</v>
      </c>
      <c r="B49" s="2" t="s">
        <v>982</v>
      </c>
      <c r="C49" s="15"/>
      <c r="D49" s="2" t="s">
        <v>64</v>
      </c>
      <c r="E49" s="7" t="b">
        <v>1</v>
      </c>
      <c r="F49" s="9">
        <v>228.0</v>
      </c>
      <c r="G49" s="9">
        <v>22.39219651300504</v>
      </c>
      <c r="H49" s="9">
        <v>0.053945346491228</v>
      </c>
      <c r="I49" s="7" t="b">
        <v>1</v>
      </c>
      <c r="J49" s="9">
        <v>0.0</v>
      </c>
      <c r="K49" s="7" t="b">
        <v>0</v>
      </c>
      <c r="L49" s="9">
        <v>264.0</v>
      </c>
      <c r="M49" s="9">
        <v>1.1579</v>
      </c>
      <c r="N49" s="2" t="s">
        <v>1775</v>
      </c>
      <c r="O49" s="2" t="s">
        <v>1777</v>
      </c>
      <c r="P49" s="9">
        <v>64.86</v>
      </c>
      <c r="Q49" s="9">
        <v>54.0</v>
      </c>
      <c r="R49" s="9">
        <v>0.032258</v>
      </c>
      <c r="S49" s="9">
        <v>0.7149</v>
      </c>
      <c r="T49" s="9">
        <v>0.9908</v>
      </c>
      <c r="U49" s="2" t="s">
        <v>1779</v>
      </c>
      <c r="V49" s="9">
        <v>0.397</v>
      </c>
      <c r="W49" s="2" t="s">
        <v>1780</v>
      </c>
      <c r="X49" s="2" t="s">
        <v>495</v>
      </c>
      <c r="Y49" s="2" t="s">
        <v>1418</v>
      </c>
      <c r="Z49" s="9">
        <v>0.5629</v>
      </c>
      <c r="AA49" s="9">
        <v>0.7149</v>
      </c>
      <c r="AB49" s="9">
        <v>0.397</v>
      </c>
      <c r="AC49" s="9">
        <v>0.6956</v>
      </c>
      <c r="AD49" s="9" t="str">
        <f t="shared" si="1"/>
        <v>#REF!</v>
      </c>
    </row>
    <row r="50" hidden="1">
      <c r="A50" s="2" t="s">
        <v>1729</v>
      </c>
      <c r="B50" s="2" t="s">
        <v>997</v>
      </c>
      <c r="C50" s="15"/>
      <c r="D50" s="2" t="s">
        <v>64</v>
      </c>
      <c r="E50" s="7" t="b">
        <v>1</v>
      </c>
      <c r="F50" s="9">
        <v>238.0</v>
      </c>
      <c r="G50" s="9">
        <v>28.50694320180498</v>
      </c>
      <c r="H50" s="9">
        <v>0.013022294117647</v>
      </c>
      <c r="I50" s="7" t="b">
        <v>1</v>
      </c>
      <c r="J50" s="9">
        <v>0.0</v>
      </c>
      <c r="K50" s="7" t="b">
        <v>0</v>
      </c>
      <c r="L50" s="9">
        <v>139.0</v>
      </c>
      <c r="M50" s="9">
        <v>0.584</v>
      </c>
      <c r="N50" s="2" t="s">
        <v>1784</v>
      </c>
      <c r="O50" s="2" t="s">
        <v>1426</v>
      </c>
      <c r="P50" s="9">
        <v>69.41</v>
      </c>
      <c r="Q50" s="9">
        <v>58.0</v>
      </c>
      <c r="R50" s="9">
        <v>0.0</v>
      </c>
      <c r="S50" s="9">
        <v>0.6066</v>
      </c>
      <c r="T50" s="9">
        <v>1.0014</v>
      </c>
      <c r="U50" s="2" t="s">
        <v>572</v>
      </c>
      <c r="V50" s="9">
        <v>0.3</v>
      </c>
      <c r="W50" s="2" t="s">
        <v>82</v>
      </c>
      <c r="X50" s="2" t="s">
        <v>495</v>
      </c>
      <c r="Y50" s="2" t="s">
        <v>1408</v>
      </c>
      <c r="Z50" s="9">
        <v>0.4743</v>
      </c>
      <c r="AA50" s="9">
        <v>0.6066</v>
      </c>
      <c r="AB50" s="9">
        <v>0.3</v>
      </c>
      <c r="AC50" s="9">
        <v>0.7475</v>
      </c>
      <c r="AD50" s="9" t="str">
        <f t="shared" si="1"/>
        <v>#REF!</v>
      </c>
    </row>
    <row r="51" hidden="1">
      <c r="A51" s="2" t="s">
        <v>1729</v>
      </c>
      <c r="B51" s="2" t="s">
        <v>1015</v>
      </c>
      <c r="C51" s="15"/>
      <c r="D51" s="2" t="s">
        <v>64</v>
      </c>
      <c r="E51" s="7" t="b">
        <v>1</v>
      </c>
      <c r="F51" s="9">
        <v>51.0</v>
      </c>
      <c r="G51" s="9">
        <v>11.45886225424675</v>
      </c>
      <c r="H51" s="9">
        <v>0.0016684078431372</v>
      </c>
      <c r="I51" s="7" t="b">
        <v>1</v>
      </c>
      <c r="J51" s="9">
        <v>0.0</v>
      </c>
      <c r="K51" s="7" t="b">
        <v>0</v>
      </c>
      <c r="L51" s="9">
        <v>9.0</v>
      </c>
      <c r="M51" s="9">
        <v>0.1765</v>
      </c>
      <c r="N51" s="2" t="s">
        <v>1664</v>
      </c>
      <c r="O51" s="2" t="s">
        <v>1665</v>
      </c>
      <c r="P51" s="9">
        <v>43.11</v>
      </c>
      <c r="Q51" s="9">
        <v>44.0</v>
      </c>
      <c r="R51" s="9">
        <v>0.0</v>
      </c>
      <c r="S51" s="9">
        <v>0.1531</v>
      </c>
      <c r="T51" s="9">
        <v>0.743</v>
      </c>
      <c r="U51" s="2" t="s">
        <v>1786</v>
      </c>
      <c r="V51" s="15"/>
      <c r="W51" s="2" t="s">
        <v>134</v>
      </c>
      <c r="X51" s="2" t="s">
        <v>1787</v>
      </c>
      <c r="Y51" s="2" t="s">
        <v>1788</v>
      </c>
      <c r="Z51" s="9">
        <v>0.1695</v>
      </c>
      <c r="AA51" s="9">
        <v>0.1531</v>
      </c>
      <c r="AB51" s="15"/>
      <c r="AC51" s="9">
        <v>0.1444</v>
      </c>
      <c r="AD51" s="9" t="str">
        <f t="shared" si="1"/>
        <v>#REF!</v>
      </c>
    </row>
    <row r="52" hidden="1">
      <c r="A52" s="2" t="s">
        <v>1729</v>
      </c>
      <c r="B52" s="2" t="s">
        <v>1027</v>
      </c>
      <c r="C52" s="15"/>
      <c r="D52" s="2" t="s">
        <v>64</v>
      </c>
      <c r="E52" s="7" t="b">
        <v>1</v>
      </c>
      <c r="F52" s="9">
        <v>389.0</v>
      </c>
      <c r="G52" s="9">
        <v>19.00462554996248</v>
      </c>
      <c r="H52" s="9">
        <v>0.0145615784061696</v>
      </c>
      <c r="I52" s="7" t="b">
        <v>1</v>
      </c>
      <c r="J52" s="9">
        <v>0.0</v>
      </c>
      <c r="K52" s="7" t="b">
        <v>0</v>
      </c>
      <c r="L52" s="9">
        <v>135.0</v>
      </c>
      <c r="M52" s="9">
        <v>0.347</v>
      </c>
      <c r="N52" s="2" t="s">
        <v>1689</v>
      </c>
      <c r="O52" s="2" t="s">
        <v>1791</v>
      </c>
      <c r="P52" s="9">
        <v>62.83</v>
      </c>
      <c r="Q52" s="9">
        <v>52.0</v>
      </c>
      <c r="R52" s="9">
        <v>0.0</v>
      </c>
      <c r="S52" s="9">
        <v>0.6301</v>
      </c>
      <c r="T52" s="9">
        <v>1.0019</v>
      </c>
      <c r="U52" s="2" t="s">
        <v>788</v>
      </c>
      <c r="V52" s="9">
        <v>0.7682</v>
      </c>
      <c r="W52" s="2" t="s">
        <v>82</v>
      </c>
      <c r="X52" s="2" t="s">
        <v>495</v>
      </c>
      <c r="Y52" s="2" t="s">
        <v>1792</v>
      </c>
      <c r="Z52" s="9">
        <v>0.491</v>
      </c>
      <c r="AA52" s="9">
        <v>0.6301</v>
      </c>
      <c r="AB52" s="9">
        <v>0.7682</v>
      </c>
      <c r="AC52" s="9">
        <v>0.6993</v>
      </c>
      <c r="AD52" s="9" t="str">
        <f t="shared" si="1"/>
        <v>#REF!</v>
      </c>
    </row>
    <row r="53" hidden="1">
      <c r="A53" s="2" t="s">
        <v>1793</v>
      </c>
      <c r="B53" s="2" t="s">
        <v>163</v>
      </c>
      <c r="C53" s="15"/>
      <c r="D53" s="2" t="s">
        <v>64</v>
      </c>
      <c r="E53" s="7" t="b">
        <v>1</v>
      </c>
      <c r="F53" s="9">
        <v>1.0</v>
      </c>
      <c r="G53" s="9">
        <v>15.01648605356982</v>
      </c>
      <c r="H53" s="9">
        <v>0.003489</v>
      </c>
      <c r="I53" s="7" t="b">
        <v>1</v>
      </c>
      <c r="J53" s="9">
        <v>0.0</v>
      </c>
      <c r="K53" s="7" t="b">
        <v>0</v>
      </c>
      <c r="L53" s="9">
        <v>3.0</v>
      </c>
      <c r="M53" s="9">
        <v>3.0</v>
      </c>
      <c r="N53" s="2" t="s">
        <v>1794</v>
      </c>
      <c r="O53" s="2" t="s">
        <v>1795</v>
      </c>
      <c r="P53" s="9">
        <v>108.33</v>
      </c>
      <c r="Q53" s="9">
        <v>123.0</v>
      </c>
      <c r="R53" s="9">
        <v>0.0</v>
      </c>
      <c r="S53" s="9">
        <v>0.2193</v>
      </c>
      <c r="T53" s="9">
        <v>1.0011</v>
      </c>
      <c r="U53" s="2" t="s">
        <v>1630</v>
      </c>
      <c r="V53" s="15"/>
      <c r="W53" s="2" t="s">
        <v>82</v>
      </c>
      <c r="X53" s="2" t="s">
        <v>1621</v>
      </c>
      <c r="Y53" s="2" t="s">
        <v>1622</v>
      </c>
      <c r="Z53" s="9">
        <v>0.1502</v>
      </c>
      <c r="AA53" s="9">
        <v>0.2193</v>
      </c>
      <c r="AB53" s="15"/>
      <c r="AC53" s="9">
        <v>0.0</v>
      </c>
      <c r="AD53" s="9" t="str">
        <f t="shared" si="1"/>
        <v>#REF!</v>
      </c>
    </row>
    <row r="54" hidden="1">
      <c r="A54" s="2" t="s">
        <v>1793</v>
      </c>
      <c r="B54" s="2" t="s">
        <v>534</v>
      </c>
      <c r="C54" s="15"/>
      <c r="D54" s="2" t="s">
        <v>64</v>
      </c>
      <c r="E54" s="7" t="b">
        <v>1</v>
      </c>
      <c r="F54" s="9">
        <v>650.0</v>
      </c>
      <c r="G54" s="9">
        <v>26.41662669168551</v>
      </c>
      <c r="H54" s="9">
        <v>0.0304758769230769</v>
      </c>
      <c r="I54" s="7" t="b">
        <v>1</v>
      </c>
      <c r="J54" s="9">
        <v>0.0</v>
      </c>
      <c r="K54" s="7" t="b">
        <v>0</v>
      </c>
      <c r="L54" s="9">
        <v>441.0</v>
      </c>
      <c r="M54" s="9">
        <v>0.6785</v>
      </c>
      <c r="N54" s="2" t="s">
        <v>1796</v>
      </c>
      <c r="O54" s="2" t="s">
        <v>1797</v>
      </c>
      <c r="P54" s="9">
        <v>66.84</v>
      </c>
      <c r="Q54" s="9">
        <v>55.0</v>
      </c>
      <c r="R54" s="9">
        <v>0.035088</v>
      </c>
      <c r="S54" s="9">
        <v>0.7428</v>
      </c>
      <c r="T54" s="9">
        <v>0.9825</v>
      </c>
      <c r="U54" s="2" t="s">
        <v>1741</v>
      </c>
      <c r="V54" s="9">
        <v>0.875</v>
      </c>
      <c r="W54" s="2" t="s">
        <v>181</v>
      </c>
      <c r="X54" s="2" t="s">
        <v>237</v>
      </c>
      <c r="Y54" s="2" t="s">
        <v>1798</v>
      </c>
      <c r="Z54" s="9">
        <v>0.5885</v>
      </c>
      <c r="AA54" s="9">
        <v>0.7428</v>
      </c>
      <c r="AB54" s="9">
        <v>0.875</v>
      </c>
      <c r="AC54" s="9">
        <v>0.7093</v>
      </c>
      <c r="AD54" s="9" t="str">
        <f t="shared" si="1"/>
        <v>#REF!</v>
      </c>
    </row>
    <row r="55" hidden="1">
      <c r="A55" s="2" t="s">
        <v>1793</v>
      </c>
      <c r="B55" s="2" t="s">
        <v>542</v>
      </c>
      <c r="C55" s="15"/>
      <c r="D55" s="2" t="s">
        <v>64</v>
      </c>
      <c r="E55" s="7" t="b">
        <v>1</v>
      </c>
      <c r="F55" s="9">
        <v>642.0</v>
      </c>
      <c r="G55" s="9">
        <v>17.67587504113834</v>
      </c>
      <c r="H55" s="9">
        <v>0.0269190716510903</v>
      </c>
      <c r="I55" s="7" t="b">
        <v>1</v>
      </c>
      <c r="J55" s="9">
        <v>0.0</v>
      </c>
      <c r="K55" s="7" t="b">
        <v>0</v>
      </c>
      <c r="L55" s="9">
        <v>1084.0</v>
      </c>
      <c r="M55" s="9">
        <v>1.6885</v>
      </c>
      <c r="N55" s="2" t="s">
        <v>1801</v>
      </c>
      <c r="O55" s="2" t="s">
        <v>1802</v>
      </c>
      <c r="P55" s="9">
        <v>62.63</v>
      </c>
      <c r="Q55" s="9">
        <v>52.0</v>
      </c>
      <c r="R55" s="9">
        <v>0.008696</v>
      </c>
      <c r="S55" s="9">
        <v>0.8492</v>
      </c>
      <c r="T55" s="9">
        <v>0.9691</v>
      </c>
      <c r="U55" s="2" t="s">
        <v>1562</v>
      </c>
      <c r="V55" s="9">
        <v>0.8575</v>
      </c>
      <c r="W55" s="2" t="s">
        <v>134</v>
      </c>
      <c r="X55" s="2" t="s">
        <v>495</v>
      </c>
      <c r="Y55" s="2" t="s">
        <v>1658</v>
      </c>
      <c r="Z55" s="9">
        <v>0.6932</v>
      </c>
      <c r="AA55" s="9">
        <v>0.8492</v>
      </c>
      <c r="AB55" s="9">
        <v>0.8575</v>
      </c>
      <c r="AC55" s="9">
        <v>0.2663</v>
      </c>
      <c r="AD55" s="9" t="str">
        <f t="shared" si="1"/>
        <v>#REF!</v>
      </c>
    </row>
    <row r="56">
      <c r="A56" s="2" t="s">
        <v>1793</v>
      </c>
      <c r="B56" s="2" t="s">
        <v>306</v>
      </c>
      <c r="C56" s="2" t="s">
        <v>1675</v>
      </c>
      <c r="D56" s="2" t="s">
        <v>64</v>
      </c>
      <c r="E56" s="7" t="b">
        <v>1</v>
      </c>
      <c r="F56" s="9">
        <v>232.0</v>
      </c>
      <c r="G56" s="9">
        <v>23.64279422676745</v>
      </c>
      <c r="H56" s="9">
        <v>0.0473514051724137</v>
      </c>
      <c r="I56" s="7" t="b">
        <v>1</v>
      </c>
      <c r="J56" s="9">
        <v>0.0</v>
      </c>
      <c r="K56" s="7" t="b">
        <v>0</v>
      </c>
      <c r="L56" s="9">
        <v>223.0</v>
      </c>
      <c r="M56" s="9">
        <v>0.9612</v>
      </c>
      <c r="N56" s="2" t="s">
        <v>1586</v>
      </c>
      <c r="O56" s="2" t="s">
        <v>1807</v>
      </c>
      <c r="P56" s="9">
        <v>61.25</v>
      </c>
      <c r="Q56" s="9">
        <v>53.0</v>
      </c>
      <c r="R56" s="9">
        <v>0.021739</v>
      </c>
      <c r="S56" s="9">
        <v>0.709</v>
      </c>
      <c r="T56" s="9">
        <v>1.0021</v>
      </c>
      <c r="U56" s="2" t="s">
        <v>96</v>
      </c>
      <c r="V56" s="9">
        <v>0.0</v>
      </c>
      <c r="W56" s="2" t="s">
        <v>82</v>
      </c>
      <c r="X56" s="2" t="s">
        <v>237</v>
      </c>
      <c r="Y56" s="2" t="s">
        <v>1810</v>
      </c>
      <c r="Z56" s="9">
        <v>0.5528</v>
      </c>
      <c r="AA56" s="9">
        <v>0.709</v>
      </c>
      <c r="AB56" s="9">
        <v>0.0</v>
      </c>
      <c r="AC56" s="9">
        <v>0.8568</v>
      </c>
      <c r="AD56" s="9" t="str">
        <f t="shared" si="1"/>
        <v>#REF!</v>
      </c>
    </row>
    <row r="57" hidden="1">
      <c r="A57" s="2" t="s">
        <v>1793</v>
      </c>
      <c r="B57" s="2" t="s">
        <v>969</v>
      </c>
      <c r="C57" s="15"/>
      <c r="D57" s="2" t="s">
        <v>64</v>
      </c>
      <c r="E57" s="7" t="b">
        <v>1</v>
      </c>
      <c r="F57" s="9">
        <v>78.0</v>
      </c>
      <c r="G57" s="9">
        <v>23.05798121306374</v>
      </c>
      <c r="H57" s="9">
        <v>0.0068432205128205</v>
      </c>
      <c r="I57" s="7" t="b">
        <v>1</v>
      </c>
      <c r="J57" s="9">
        <v>0.0</v>
      </c>
      <c r="K57" s="7" t="b">
        <v>0</v>
      </c>
      <c r="L57" s="9">
        <v>122.0</v>
      </c>
      <c r="M57" s="9">
        <v>1.5641</v>
      </c>
      <c r="N57" s="2" t="s">
        <v>1813</v>
      </c>
      <c r="O57" s="2" t="s">
        <v>1598</v>
      </c>
      <c r="P57" s="9">
        <v>62.68</v>
      </c>
      <c r="Q57" s="9">
        <v>50.5</v>
      </c>
      <c r="R57" s="9">
        <v>0.0</v>
      </c>
      <c r="S57" s="9">
        <v>0.6246</v>
      </c>
      <c r="T57" s="9">
        <v>0.9718</v>
      </c>
      <c r="U57" s="2" t="s">
        <v>1817</v>
      </c>
      <c r="V57" s="9">
        <v>0.0</v>
      </c>
      <c r="W57" s="2" t="s">
        <v>1771</v>
      </c>
      <c r="X57" s="2" t="s">
        <v>517</v>
      </c>
      <c r="Y57" s="2" t="s">
        <v>1375</v>
      </c>
      <c r="Z57" s="9">
        <v>0.4863</v>
      </c>
      <c r="AA57" s="9">
        <v>0.6246</v>
      </c>
      <c r="AB57" s="9">
        <v>0.0</v>
      </c>
      <c r="AC57" s="9">
        <v>0.7546</v>
      </c>
      <c r="AD57" s="9" t="str">
        <f t="shared" si="1"/>
        <v>#REF!</v>
      </c>
    </row>
    <row r="58" hidden="1">
      <c r="A58" s="2" t="s">
        <v>1793</v>
      </c>
      <c r="B58" s="2" t="s">
        <v>982</v>
      </c>
      <c r="C58" s="15"/>
      <c r="D58" s="2" t="s">
        <v>64</v>
      </c>
      <c r="E58" s="7" t="b">
        <v>1</v>
      </c>
      <c r="F58" s="9">
        <v>123.0</v>
      </c>
      <c r="G58" s="9">
        <v>19.09331039494424</v>
      </c>
      <c r="H58" s="9">
        <v>0.0214228292682926</v>
      </c>
      <c r="I58" s="7" t="b">
        <v>1</v>
      </c>
      <c r="J58" s="9">
        <v>0.0</v>
      </c>
      <c r="K58" s="7" t="b">
        <v>0</v>
      </c>
      <c r="L58" s="9">
        <v>199.0</v>
      </c>
      <c r="M58" s="9">
        <v>1.6179</v>
      </c>
      <c r="N58" s="2" t="s">
        <v>1820</v>
      </c>
      <c r="O58" s="2" t="s">
        <v>1560</v>
      </c>
      <c r="P58" s="9">
        <v>68.49</v>
      </c>
      <c r="Q58" s="9">
        <v>52.0</v>
      </c>
      <c r="R58" s="9">
        <v>0.023256</v>
      </c>
      <c r="S58" s="9">
        <v>0.6773</v>
      </c>
      <c r="T58" s="9">
        <v>0.9908</v>
      </c>
      <c r="U58" s="2" t="s">
        <v>1562</v>
      </c>
      <c r="V58" s="9">
        <v>0.1137</v>
      </c>
      <c r="W58" s="2" t="s">
        <v>1821</v>
      </c>
      <c r="X58" s="2" t="s">
        <v>517</v>
      </c>
      <c r="Y58" s="2" t="s">
        <v>1399</v>
      </c>
      <c r="Z58" s="9">
        <v>0.5338</v>
      </c>
      <c r="AA58" s="9">
        <v>0.6773</v>
      </c>
      <c r="AB58" s="9">
        <v>0.1137</v>
      </c>
      <c r="AC58" s="9">
        <v>0.2867</v>
      </c>
      <c r="AD58" s="9" t="str">
        <f t="shared" si="1"/>
        <v>#REF!</v>
      </c>
    </row>
    <row r="59" hidden="1">
      <c r="A59" s="2" t="s">
        <v>1793</v>
      </c>
      <c r="B59" s="2" t="s">
        <v>997</v>
      </c>
      <c r="C59" s="15"/>
      <c r="D59" s="2" t="s">
        <v>64</v>
      </c>
      <c r="E59" s="7" t="b">
        <v>1</v>
      </c>
      <c r="F59" s="9">
        <v>137.0</v>
      </c>
      <c r="G59" s="9">
        <v>34.53380281584903</v>
      </c>
      <c r="H59" s="9">
        <v>0.0110134715328467</v>
      </c>
      <c r="I59" s="7" t="b">
        <v>1</v>
      </c>
      <c r="J59" s="9">
        <v>0.0</v>
      </c>
      <c r="K59" s="7" t="b">
        <v>0</v>
      </c>
      <c r="L59" s="9">
        <v>89.0</v>
      </c>
      <c r="M59" s="9">
        <v>0.6496</v>
      </c>
      <c r="N59" s="2" t="s">
        <v>1825</v>
      </c>
      <c r="O59" s="2" t="s">
        <v>1533</v>
      </c>
      <c r="P59" s="9">
        <v>78.92</v>
      </c>
      <c r="Q59" s="9">
        <v>70.0</v>
      </c>
      <c r="R59" s="9">
        <v>0.0</v>
      </c>
      <c r="S59" s="9">
        <v>0.5482</v>
      </c>
      <c r="T59" s="9">
        <v>0.9971</v>
      </c>
      <c r="U59" s="2" t="s">
        <v>1827</v>
      </c>
      <c r="V59" s="9">
        <v>0.3</v>
      </c>
      <c r="W59" s="2" t="s">
        <v>157</v>
      </c>
      <c r="X59" s="2" t="s">
        <v>517</v>
      </c>
      <c r="Y59" s="2" t="s">
        <v>1375</v>
      </c>
      <c r="Z59" s="9">
        <v>0.4314</v>
      </c>
      <c r="AA59" s="9">
        <v>0.5482</v>
      </c>
      <c r="AB59" s="9">
        <v>0.3</v>
      </c>
      <c r="AC59" s="9">
        <v>0.72</v>
      </c>
      <c r="AD59" s="9" t="str">
        <f t="shared" si="1"/>
        <v>#REF!</v>
      </c>
    </row>
    <row r="60" hidden="1">
      <c r="A60" s="2" t="s">
        <v>1793</v>
      </c>
      <c r="B60" s="2" t="s">
        <v>1027</v>
      </c>
      <c r="C60" s="15"/>
      <c r="D60" s="2" t="s">
        <v>64</v>
      </c>
      <c r="E60" s="7" t="b">
        <v>1</v>
      </c>
      <c r="F60" s="9">
        <v>266.0</v>
      </c>
      <c r="G60" s="9">
        <v>19.51214807977548</v>
      </c>
      <c r="H60" s="9">
        <v>0.0105194304511278</v>
      </c>
      <c r="I60" s="7" t="b">
        <v>1</v>
      </c>
      <c r="J60" s="9">
        <v>0.0</v>
      </c>
      <c r="K60" s="7" t="b">
        <v>0</v>
      </c>
      <c r="L60" s="9">
        <v>77.0</v>
      </c>
      <c r="M60" s="9">
        <v>0.2895</v>
      </c>
      <c r="N60" s="2" t="s">
        <v>1475</v>
      </c>
      <c r="O60" s="2" t="s">
        <v>511</v>
      </c>
      <c r="P60" s="9">
        <v>64.71</v>
      </c>
      <c r="Q60" s="9">
        <v>56.0</v>
      </c>
      <c r="R60" s="9">
        <v>0.0</v>
      </c>
      <c r="S60" s="9">
        <v>0.5627</v>
      </c>
      <c r="T60" s="9">
        <v>1.0011</v>
      </c>
      <c r="U60" s="2" t="s">
        <v>1067</v>
      </c>
      <c r="V60" s="9">
        <v>0.675</v>
      </c>
      <c r="W60" s="2" t="s">
        <v>82</v>
      </c>
      <c r="X60" s="2" t="s">
        <v>517</v>
      </c>
      <c r="Y60" s="2" t="s">
        <v>1835</v>
      </c>
      <c r="Z60" s="9">
        <v>0.4348</v>
      </c>
      <c r="AA60" s="9">
        <v>0.5627</v>
      </c>
      <c r="AB60" s="9">
        <v>0.675</v>
      </c>
      <c r="AC60" s="9">
        <v>0.1468</v>
      </c>
      <c r="AD60" s="9" t="str">
        <f t="shared" si="1"/>
        <v>#REF!</v>
      </c>
    </row>
    <row r="61" hidden="1">
      <c r="A61" s="2" t="s">
        <v>1839</v>
      </c>
      <c r="B61" s="2" t="s">
        <v>163</v>
      </c>
      <c r="C61" s="15"/>
      <c r="D61" s="2" t="s">
        <v>64</v>
      </c>
      <c r="E61" s="7" t="b">
        <v>1</v>
      </c>
      <c r="F61" s="9">
        <v>3.0</v>
      </c>
      <c r="G61" s="9">
        <v>22.10654301923715</v>
      </c>
      <c r="H61" s="9">
        <v>0.022506</v>
      </c>
      <c r="I61" s="7" t="b">
        <v>1</v>
      </c>
      <c r="J61" s="9">
        <v>0.0</v>
      </c>
      <c r="K61" s="7" t="b">
        <v>0</v>
      </c>
      <c r="L61" s="9">
        <v>4.0</v>
      </c>
      <c r="M61" s="9">
        <v>1.3333</v>
      </c>
      <c r="N61" s="2" t="s">
        <v>1784</v>
      </c>
      <c r="O61" s="2" t="s">
        <v>1426</v>
      </c>
      <c r="P61" s="9">
        <v>109.5</v>
      </c>
      <c r="Q61" s="9">
        <v>70.5</v>
      </c>
      <c r="R61" s="9">
        <v>0.0</v>
      </c>
      <c r="S61" s="9">
        <v>0.2767</v>
      </c>
      <c r="T61" s="9">
        <v>1.0015</v>
      </c>
      <c r="U61" s="2" t="s">
        <v>1840</v>
      </c>
      <c r="V61" s="15"/>
      <c r="W61" s="2" t="s">
        <v>82</v>
      </c>
      <c r="X61" s="2" t="s">
        <v>1621</v>
      </c>
      <c r="Y61" s="2" t="s">
        <v>1622</v>
      </c>
      <c r="Z61" s="9">
        <v>0.1896</v>
      </c>
      <c r="AA61" s="9">
        <v>0.2767</v>
      </c>
      <c r="AB61" s="15"/>
      <c r="AC61" s="9">
        <v>0.0</v>
      </c>
      <c r="AD61" s="9" t="str">
        <f t="shared" si="1"/>
        <v>#REF!</v>
      </c>
    </row>
    <row r="62" hidden="1">
      <c r="A62" s="2" t="s">
        <v>1839</v>
      </c>
      <c r="B62" s="2" t="s">
        <v>534</v>
      </c>
      <c r="C62" s="15"/>
      <c r="D62" s="2" t="s">
        <v>64</v>
      </c>
      <c r="E62" s="7" t="b">
        <v>1</v>
      </c>
      <c r="F62" s="9">
        <v>481.0</v>
      </c>
      <c r="G62" s="9">
        <v>27.97863510619498</v>
      </c>
      <c r="H62" s="9">
        <v>0.025356923076923</v>
      </c>
      <c r="I62" s="7" t="b">
        <v>1</v>
      </c>
      <c r="J62" s="9">
        <v>0.0</v>
      </c>
      <c r="K62" s="7" t="b">
        <v>0</v>
      </c>
      <c r="L62" s="9">
        <v>276.0</v>
      </c>
      <c r="M62" s="9">
        <v>0.5738</v>
      </c>
      <c r="N62" s="2" t="s">
        <v>1846</v>
      </c>
      <c r="O62" s="2" t="s">
        <v>1847</v>
      </c>
      <c r="P62" s="9">
        <v>72.82</v>
      </c>
      <c r="Q62" s="9">
        <v>64.0</v>
      </c>
      <c r="R62" s="9">
        <v>0.0</v>
      </c>
      <c r="S62" s="9">
        <v>0.6932</v>
      </c>
      <c r="T62" s="9">
        <v>0.9954</v>
      </c>
      <c r="U62" s="2" t="s">
        <v>1850</v>
      </c>
      <c r="V62" s="9">
        <v>0.7289</v>
      </c>
      <c r="W62" s="2" t="s">
        <v>181</v>
      </c>
      <c r="X62" s="2" t="s">
        <v>495</v>
      </c>
      <c r="Y62" s="2" t="s">
        <v>1851</v>
      </c>
      <c r="Z62" s="9">
        <v>0.547</v>
      </c>
      <c r="AA62" s="9">
        <v>0.6932</v>
      </c>
      <c r="AB62" s="9">
        <v>0.7289</v>
      </c>
      <c r="AC62" s="9">
        <v>0.7125</v>
      </c>
      <c r="AD62" s="9" t="str">
        <f t="shared" si="1"/>
        <v>#REF!</v>
      </c>
    </row>
    <row r="63" hidden="1">
      <c r="A63" s="2" t="s">
        <v>1839</v>
      </c>
      <c r="B63" s="2" t="s">
        <v>542</v>
      </c>
      <c r="C63" s="15"/>
      <c r="D63" s="2" t="s">
        <v>64</v>
      </c>
      <c r="E63" s="7" t="b">
        <v>1</v>
      </c>
      <c r="F63" s="9">
        <v>553.0</v>
      </c>
      <c r="G63" s="9">
        <v>19.70622750487922</v>
      </c>
      <c r="H63" s="9">
        <v>0.0288260506329113</v>
      </c>
      <c r="I63" s="7" t="b">
        <v>1</v>
      </c>
      <c r="J63" s="9">
        <v>0.0</v>
      </c>
      <c r="K63" s="7" t="b">
        <v>0</v>
      </c>
      <c r="L63" s="9">
        <v>770.0</v>
      </c>
      <c r="M63" s="9">
        <v>1.3924</v>
      </c>
      <c r="N63" s="2" t="s">
        <v>1855</v>
      </c>
      <c r="O63" s="2" t="s">
        <v>1856</v>
      </c>
      <c r="P63" s="9">
        <v>66.82</v>
      </c>
      <c r="Q63" s="9">
        <v>55.0</v>
      </c>
      <c r="R63" s="9">
        <v>0.005814</v>
      </c>
      <c r="S63" s="9">
        <v>0.8174</v>
      </c>
      <c r="T63" s="9">
        <v>0.9904</v>
      </c>
      <c r="U63" s="2" t="s">
        <v>758</v>
      </c>
      <c r="V63" s="9">
        <v>0.4738</v>
      </c>
      <c r="W63" s="2" t="s">
        <v>157</v>
      </c>
      <c r="X63" s="2" t="s">
        <v>495</v>
      </c>
      <c r="Y63" s="2" t="s">
        <v>1857</v>
      </c>
      <c r="Z63" s="9">
        <v>0.6621</v>
      </c>
      <c r="AA63" s="9">
        <v>0.8174</v>
      </c>
      <c r="AB63" s="9">
        <v>0.4738</v>
      </c>
      <c r="AC63" s="9">
        <v>0.6253</v>
      </c>
      <c r="AD63" s="9" t="str">
        <f t="shared" si="1"/>
        <v>#REF!</v>
      </c>
    </row>
    <row r="64" hidden="1">
      <c r="A64" s="2" t="s">
        <v>1839</v>
      </c>
      <c r="B64" s="2" t="s">
        <v>885</v>
      </c>
      <c r="C64" s="15"/>
      <c r="D64" s="2" t="s">
        <v>64</v>
      </c>
      <c r="E64" s="7" t="b">
        <v>1</v>
      </c>
      <c r="F64" s="9">
        <v>159.0</v>
      </c>
      <c r="G64" s="9">
        <v>8.779089033811989</v>
      </c>
      <c r="H64" s="9">
        <v>0.0011651320754716</v>
      </c>
      <c r="I64" s="7" t="b">
        <v>1</v>
      </c>
      <c r="J64" s="9">
        <v>0.0</v>
      </c>
      <c r="K64" s="7" t="b">
        <v>0</v>
      </c>
      <c r="L64" s="9">
        <v>478.0</v>
      </c>
      <c r="M64" s="9">
        <v>3.0063</v>
      </c>
      <c r="N64" s="2" t="s">
        <v>400</v>
      </c>
      <c r="O64" s="2" t="s">
        <v>1486</v>
      </c>
      <c r="P64" s="9">
        <v>76.67</v>
      </c>
      <c r="Q64" s="9">
        <v>66.0</v>
      </c>
      <c r="R64" s="9">
        <v>0.035461</v>
      </c>
      <c r="S64" s="9">
        <v>0.2923</v>
      </c>
      <c r="T64" s="9">
        <v>0.1873</v>
      </c>
      <c r="U64" s="2" t="s">
        <v>1861</v>
      </c>
      <c r="V64" s="9">
        <v>0.7585</v>
      </c>
      <c r="W64" s="2" t="s">
        <v>1124</v>
      </c>
      <c r="X64" s="2" t="s">
        <v>495</v>
      </c>
      <c r="Y64" s="2" t="s">
        <v>1864</v>
      </c>
      <c r="Z64" s="9">
        <v>0.23</v>
      </c>
      <c r="AA64" s="9">
        <v>0.2923</v>
      </c>
      <c r="AB64" s="9">
        <v>0.7585</v>
      </c>
      <c r="AC64" s="9">
        <v>0.7414</v>
      </c>
      <c r="AD64" s="9" t="str">
        <f t="shared" si="1"/>
        <v>#REF!</v>
      </c>
    </row>
    <row r="65">
      <c r="A65" s="2" t="s">
        <v>1839</v>
      </c>
      <c r="B65" s="2" t="s">
        <v>306</v>
      </c>
      <c r="C65" s="2" t="s">
        <v>1675</v>
      </c>
      <c r="D65" s="2" t="s">
        <v>64</v>
      </c>
      <c r="E65" s="7" t="b">
        <v>1</v>
      </c>
      <c r="F65" s="9">
        <v>93.0</v>
      </c>
      <c r="G65" s="9">
        <v>28.62764362449273</v>
      </c>
      <c r="H65" s="9">
        <v>0.0281013978494623</v>
      </c>
      <c r="I65" s="7" t="b">
        <v>1</v>
      </c>
      <c r="J65" s="9">
        <v>0.0</v>
      </c>
      <c r="K65" s="7" t="b">
        <v>0</v>
      </c>
      <c r="L65" s="9">
        <v>92.0</v>
      </c>
      <c r="M65" s="9">
        <v>0.9892</v>
      </c>
      <c r="N65" s="2" t="s">
        <v>1724</v>
      </c>
      <c r="O65" s="2" t="s">
        <v>231</v>
      </c>
      <c r="P65" s="9">
        <v>63.83</v>
      </c>
      <c r="Q65" s="9">
        <v>56.5</v>
      </c>
      <c r="R65" s="9">
        <v>0.0</v>
      </c>
      <c r="S65" s="9">
        <v>0.6005</v>
      </c>
      <c r="T65" s="9">
        <v>0.9935</v>
      </c>
      <c r="U65" s="2" t="s">
        <v>1868</v>
      </c>
      <c r="V65" s="9">
        <v>0.87</v>
      </c>
      <c r="W65" s="2" t="s">
        <v>82</v>
      </c>
      <c r="X65" s="2" t="s">
        <v>237</v>
      </c>
      <c r="Y65" s="2" t="s">
        <v>1428</v>
      </c>
      <c r="Z65" s="9">
        <v>0.4607</v>
      </c>
      <c r="AA65" s="9">
        <v>0.6005</v>
      </c>
      <c r="AB65" s="9">
        <v>0.87</v>
      </c>
      <c r="AC65" s="9">
        <v>0.8672</v>
      </c>
      <c r="AD65" s="9" t="str">
        <f t="shared" si="1"/>
        <v>#REF!</v>
      </c>
    </row>
    <row r="66" hidden="1">
      <c r="A66" s="2" t="s">
        <v>1839</v>
      </c>
      <c r="B66" s="2" t="s">
        <v>969</v>
      </c>
      <c r="C66" s="15"/>
      <c r="D66" s="2" t="s">
        <v>64</v>
      </c>
      <c r="E66" s="7" t="b">
        <v>1</v>
      </c>
      <c r="F66" s="9">
        <v>54.0</v>
      </c>
      <c r="G66" s="9">
        <v>35.16316557934498</v>
      </c>
      <c r="H66" s="9">
        <v>0.0110143555555555</v>
      </c>
      <c r="I66" s="7" t="b">
        <v>1</v>
      </c>
      <c r="J66" s="9">
        <v>0.0</v>
      </c>
      <c r="K66" s="7" t="b">
        <v>0</v>
      </c>
      <c r="L66" s="9">
        <v>67.0</v>
      </c>
      <c r="M66" s="9">
        <v>1.2407</v>
      </c>
      <c r="N66" s="2" t="s">
        <v>1784</v>
      </c>
      <c r="O66" s="2" t="s">
        <v>1426</v>
      </c>
      <c r="P66" s="9">
        <v>76.55</v>
      </c>
      <c r="Q66" s="9">
        <v>56.0</v>
      </c>
      <c r="R66" s="9">
        <v>0.0</v>
      </c>
      <c r="S66" s="9">
        <v>0.5521</v>
      </c>
      <c r="T66" s="9">
        <v>0.9876</v>
      </c>
      <c r="U66" s="2" t="s">
        <v>249</v>
      </c>
      <c r="V66" s="9">
        <v>0.3</v>
      </c>
      <c r="W66" s="2" t="s">
        <v>1875</v>
      </c>
      <c r="X66" s="2" t="s">
        <v>517</v>
      </c>
      <c r="Y66" s="2" t="s">
        <v>1375</v>
      </c>
      <c r="Z66" s="9">
        <v>0.4262</v>
      </c>
      <c r="AA66" s="9">
        <v>0.5521</v>
      </c>
      <c r="AB66" s="9">
        <v>0.3</v>
      </c>
      <c r="AC66" s="9">
        <v>0.7655</v>
      </c>
      <c r="AD66" s="9" t="str">
        <f t="shared" si="1"/>
        <v>#REF!</v>
      </c>
    </row>
    <row r="67" hidden="1">
      <c r="A67" s="2" t="s">
        <v>1839</v>
      </c>
      <c r="B67" s="2" t="s">
        <v>982</v>
      </c>
      <c r="C67" s="15"/>
      <c r="D67" s="2" t="s">
        <v>64</v>
      </c>
      <c r="E67" s="7" t="b">
        <v>1</v>
      </c>
      <c r="F67" s="9">
        <v>94.0</v>
      </c>
      <c r="G67" s="9">
        <v>21.5026625785985</v>
      </c>
      <c r="H67" s="9">
        <v>0.0207899531914893</v>
      </c>
      <c r="I67" s="7" t="b">
        <v>1</v>
      </c>
      <c r="J67" s="9">
        <v>0.0</v>
      </c>
      <c r="K67" s="7" t="b">
        <v>0</v>
      </c>
      <c r="L67" s="9">
        <v>127.0</v>
      </c>
      <c r="M67" s="9">
        <v>1.3511</v>
      </c>
      <c r="N67" s="2" t="s">
        <v>1879</v>
      </c>
      <c r="O67" s="2" t="s">
        <v>1880</v>
      </c>
      <c r="P67" s="9">
        <v>71.36</v>
      </c>
      <c r="Q67" s="9">
        <v>57.0</v>
      </c>
      <c r="R67" s="9">
        <v>0.0</v>
      </c>
      <c r="S67" s="9">
        <v>0.6228</v>
      </c>
      <c r="T67" s="9">
        <v>0.9844</v>
      </c>
      <c r="U67" s="2" t="s">
        <v>825</v>
      </c>
      <c r="V67" s="9">
        <v>0.3</v>
      </c>
      <c r="W67" s="2" t="s">
        <v>1884</v>
      </c>
      <c r="X67" s="2" t="s">
        <v>517</v>
      </c>
      <c r="Y67" s="2" t="s">
        <v>1375</v>
      </c>
      <c r="Z67" s="9">
        <v>0.4876</v>
      </c>
      <c r="AA67" s="9">
        <v>0.6228</v>
      </c>
      <c r="AB67" s="9">
        <v>0.3</v>
      </c>
      <c r="AC67" s="9">
        <v>0.6682</v>
      </c>
      <c r="AD67" s="9" t="str">
        <f t="shared" si="1"/>
        <v>#REF!</v>
      </c>
    </row>
    <row r="68" hidden="1">
      <c r="A68" s="2" t="s">
        <v>1839</v>
      </c>
      <c r="B68" s="2" t="s">
        <v>997</v>
      </c>
      <c r="C68" s="15"/>
      <c r="D68" s="2" t="s">
        <v>64</v>
      </c>
      <c r="E68" s="7" t="b">
        <v>1</v>
      </c>
      <c r="F68" s="9">
        <v>97.0</v>
      </c>
      <c r="G68" s="9">
        <v>37.49709209790689</v>
      </c>
      <c r="H68" s="9">
        <v>0.0092023515463917</v>
      </c>
      <c r="I68" s="7" t="b">
        <v>1</v>
      </c>
      <c r="J68" s="9">
        <v>0.0</v>
      </c>
      <c r="K68" s="7" t="b">
        <v>0</v>
      </c>
      <c r="L68" s="9">
        <v>62.0</v>
      </c>
      <c r="M68" s="9">
        <v>0.6392</v>
      </c>
      <c r="N68" s="2" t="s">
        <v>1551</v>
      </c>
      <c r="O68" s="2" t="s">
        <v>1890</v>
      </c>
      <c r="P68" s="9">
        <v>87.29</v>
      </c>
      <c r="Q68" s="9">
        <v>64.0</v>
      </c>
      <c r="R68" s="9">
        <v>0.0</v>
      </c>
      <c r="S68" s="9">
        <v>0.5066</v>
      </c>
      <c r="T68" s="9">
        <v>0.9914</v>
      </c>
      <c r="U68" s="2" t="s">
        <v>1891</v>
      </c>
      <c r="V68" s="15"/>
      <c r="W68" s="2" t="s">
        <v>157</v>
      </c>
      <c r="X68" s="2" t="s">
        <v>1455</v>
      </c>
      <c r="Y68" s="2" t="s">
        <v>1456</v>
      </c>
      <c r="Z68" s="9">
        <v>0.3967</v>
      </c>
      <c r="AA68" s="9">
        <v>0.5066</v>
      </c>
      <c r="AB68" s="15"/>
      <c r="AC68" s="9">
        <v>0.3618</v>
      </c>
      <c r="AD68" s="9" t="str">
        <f t="shared" si="1"/>
        <v>#REF!</v>
      </c>
    </row>
    <row r="69" hidden="1">
      <c r="A69" s="2" t="s">
        <v>1839</v>
      </c>
      <c r="B69" s="2" t="s">
        <v>1027</v>
      </c>
      <c r="C69" s="15"/>
      <c r="D69" s="2" t="s">
        <v>64</v>
      </c>
      <c r="E69" s="7" t="b">
        <v>1</v>
      </c>
      <c r="F69" s="9">
        <v>150.0</v>
      </c>
      <c r="G69" s="9">
        <v>21.66128684888227</v>
      </c>
      <c r="H69" s="9">
        <v>0.0073249519999999</v>
      </c>
      <c r="I69" s="7" t="b">
        <v>1</v>
      </c>
      <c r="J69" s="9">
        <v>0.0</v>
      </c>
      <c r="K69" s="7" t="b">
        <v>0</v>
      </c>
      <c r="L69" s="9">
        <v>43.0</v>
      </c>
      <c r="M69" s="9">
        <v>0.2867</v>
      </c>
      <c r="N69" s="2" t="s">
        <v>400</v>
      </c>
      <c r="O69" s="2" t="s">
        <v>402</v>
      </c>
      <c r="P69" s="9">
        <v>61.79</v>
      </c>
      <c r="Q69" s="9">
        <v>57.0</v>
      </c>
      <c r="R69" s="9">
        <v>0.0</v>
      </c>
      <c r="S69" s="9">
        <v>0.4893</v>
      </c>
      <c r="T69" s="9">
        <v>1.0006</v>
      </c>
      <c r="U69" s="2" t="s">
        <v>1245</v>
      </c>
      <c r="V69" s="9">
        <v>0.0</v>
      </c>
      <c r="W69" s="2" t="s">
        <v>82</v>
      </c>
      <c r="X69" s="2" t="s">
        <v>1466</v>
      </c>
      <c r="Y69" s="2" t="s">
        <v>1542</v>
      </c>
      <c r="Z69" s="9">
        <v>0.3765</v>
      </c>
      <c r="AA69" s="9">
        <v>0.4893</v>
      </c>
      <c r="AB69" s="9">
        <v>0.0</v>
      </c>
      <c r="AC69" s="9">
        <v>0.2197</v>
      </c>
      <c r="AD69" s="9" t="str">
        <f t="shared" si="1"/>
        <v>#REF!</v>
      </c>
    </row>
    <row r="70" hidden="1">
      <c r="A70" s="2" t="s">
        <v>1898</v>
      </c>
      <c r="B70" s="2" t="s">
        <v>163</v>
      </c>
      <c r="C70" s="15"/>
      <c r="D70" s="2" t="s">
        <v>64</v>
      </c>
      <c r="E70" s="7" t="b">
        <v>1</v>
      </c>
      <c r="F70" s="9">
        <v>4.0</v>
      </c>
      <c r="G70" s="9">
        <v>14.56171926197119</v>
      </c>
      <c r="H70" s="9">
        <v>0.0130412999999999</v>
      </c>
      <c r="I70" s="7" t="b">
        <v>1</v>
      </c>
      <c r="J70" s="9">
        <v>0.0</v>
      </c>
      <c r="K70" s="7" t="b">
        <v>0</v>
      </c>
      <c r="L70" s="9">
        <v>8.0</v>
      </c>
      <c r="M70" s="9">
        <v>2.0</v>
      </c>
      <c r="N70" s="2" t="s">
        <v>1903</v>
      </c>
      <c r="O70" s="2" t="s">
        <v>1690</v>
      </c>
      <c r="P70" s="9">
        <v>70.75</v>
      </c>
      <c r="Q70" s="9">
        <v>70.5</v>
      </c>
      <c r="R70" s="9">
        <v>0.0</v>
      </c>
      <c r="S70" s="9">
        <v>0.415</v>
      </c>
      <c r="T70" s="9">
        <v>1.0019</v>
      </c>
      <c r="U70" s="2" t="s">
        <v>1693</v>
      </c>
      <c r="V70" s="15"/>
      <c r="W70" s="2" t="s">
        <v>82</v>
      </c>
      <c r="X70" s="2" t="s">
        <v>1621</v>
      </c>
      <c r="Y70" s="2" t="s">
        <v>1622</v>
      </c>
      <c r="Z70" s="9">
        <v>0.2843</v>
      </c>
      <c r="AA70" s="9">
        <v>0.415</v>
      </c>
      <c r="AB70" s="15"/>
      <c r="AC70" s="9">
        <v>0.7472</v>
      </c>
      <c r="AD70" s="9" t="str">
        <f t="shared" si="1"/>
        <v>#REF!</v>
      </c>
    </row>
    <row r="71" hidden="1">
      <c r="A71" s="2" t="s">
        <v>1898</v>
      </c>
      <c r="B71" s="2" t="s">
        <v>203</v>
      </c>
      <c r="C71" s="15"/>
      <c r="D71" s="2" t="s">
        <v>64</v>
      </c>
      <c r="E71" s="7" t="b">
        <v>1</v>
      </c>
      <c r="F71" s="9">
        <v>8.0</v>
      </c>
      <c r="G71" s="9">
        <v>31.86840386760779</v>
      </c>
      <c r="H71" s="9">
        <v>0.02502535</v>
      </c>
      <c r="I71" s="7" t="b">
        <v>1</v>
      </c>
      <c r="J71" s="9">
        <v>0.0</v>
      </c>
      <c r="K71" s="7" t="b">
        <v>0</v>
      </c>
      <c r="L71" s="9">
        <v>5.0</v>
      </c>
      <c r="M71" s="9">
        <v>0.625</v>
      </c>
      <c r="N71" s="2" t="s">
        <v>1460</v>
      </c>
      <c r="O71" s="2" t="s">
        <v>1912</v>
      </c>
      <c r="P71" s="9">
        <v>58.8</v>
      </c>
      <c r="Q71" s="9">
        <v>64.0</v>
      </c>
      <c r="R71" s="9">
        <v>0.5</v>
      </c>
      <c r="S71" s="9">
        <v>0.3064</v>
      </c>
      <c r="T71" s="9">
        <v>1.0008</v>
      </c>
      <c r="U71" s="2" t="s">
        <v>1861</v>
      </c>
      <c r="V71" s="9">
        <v>0.0</v>
      </c>
      <c r="W71" s="15"/>
      <c r="X71" s="2" t="s">
        <v>495</v>
      </c>
      <c r="Y71" s="2" t="s">
        <v>1913</v>
      </c>
      <c r="Z71" s="9">
        <v>0.2131</v>
      </c>
      <c r="AA71" s="9">
        <v>0.3064</v>
      </c>
      <c r="AB71" s="9">
        <v>0.0</v>
      </c>
      <c r="AC71" s="9">
        <v>0.8193</v>
      </c>
      <c r="AD71" s="9" t="str">
        <f t="shared" si="1"/>
        <v>#REF!</v>
      </c>
    </row>
    <row r="72" hidden="1">
      <c r="A72" s="2" t="s">
        <v>1898</v>
      </c>
      <c r="B72" s="2" t="s">
        <v>534</v>
      </c>
      <c r="C72" s="15"/>
      <c r="D72" s="2" t="s">
        <v>64</v>
      </c>
      <c r="E72" s="7" t="b">
        <v>1</v>
      </c>
      <c r="F72" s="9">
        <v>459.0</v>
      </c>
      <c r="G72" s="9">
        <v>22.22268575375745</v>
      </c>
      <c r="H72" s="9">
        <v>0.0152970156862745</v>
      </c>
      <c r="I72" s="7" t="b">
        <v>1</v>
      </c>
      <c r="J72" s="9">
        <v>0.0</v>
      </c>
      <c r="K72" s="7" t="b">
        <v>0</v>
      </c>
      <c r="L72" s="9">
        <v>278.0</v>
      </c>
      <c r="M72" s="9">
        <v>0.6057</v>
      </c>
      <c r="N72" s="2" t="s">
        <v>75</v>
      </c>
      <c r="O72" s="2" t="s">
        <v>1920</v>
      </c>
      <c r="P72" s="9">
        <v>64.74</v>
      </c>
      <c r="Q72" s="9">
        <v>54.0</v>
      </c>
      <c r="R72" s="9">
        <v>0.018182</v>
      </c>
      <c r="S72" s="9">
        <v>0.6804</v>
      </c>
      <c r="T72" s="9">
        <v>0.9892</v>
      </c>
      <c r="U72" s="2" t="s">
        <v>1861</v>
      </c>
      <c r="V72" s="9">
        <v>0.3824</v>
      </c>
      <c r="W72" s="2" t="s">
        <v>181</v>
      </c>
      <c r="X72" s="2" t="s">
        <v>495</v>
      </c>
      <c r="Y72" s="2" t="s">
        <v>1922</v>
      </c>
      <c r="Z72" s="9">
        <v>0.5451</v>
      </c>
      <c r="AA72" s="9">
        <v>0.6804</v>
      </c>
      <c r="AB72" s="9">
        <v>0.3824</v>
      </c>
      <c r="AC72" s="9">
        <v>0.7339</v>
      </c>
      <c r="AD72" s="9" t="str">
        <f t="shared" si="1"/>
        <v>#REF!</v>
      </c>
    </row>
    <row r="73" hidden="1">
      <c r="A73" s="2" t="s">
        <v>1898</v>
      </c>
      <c r="B73" s="2" t="s">
        <v>542</v>
      </c>
      <c r="C73" s="15"/>
      <c r="D73" s="2" t="s">
        <v>64</v>
      </c>
      <c r="E73" s="7" t="b">
        <v>1</v>
      </c>
      <c r="F73" s="9">
        <v>456.0</v>
      </c>
      <c r="G73" s="9">
        <v>16.25679927499316</v>
      </c>
      <c r="H73" s="9">
        <v>0.0162607236842105</v>
      </c>
      <c r="I73" s="7" t="b">
        <v>1</v>
      </c>
      <c r="J73" s="9">
        <v>0.0</v>
      </c>
      <c r="K73" s="7" t="b">
        <v>0</v>
      </c>
      <c r="L73" s="9">
        <v>663.0</v>
      </c>
      <c r="M73" s="9">
        <v>1.4539</v>
      </c>
      <c r="N73" s="2" t="s">
        <v>1926</v>
      </c>
      <c r="O73" s="2" t="s">
        <v>1928</v>
      </c>
      <c r="P73" s="9">
        <v>61.45</v>
      </c>
      <c r="Q73" s="9">
        <v>52.0</v>
      </c>
      <c r="R73" s="9">
        <v>0.05036</v>
      </c>
      <c r="S73" s="9">
        <v>0.8091</v>
      </c>
      <c r="T73" s="9">
        <v>0.9886</v>
      </c>
      <c r="U73" s="2" t="s">
        <v>788</v>
      </c>
      <c r="V73" s="9">
        <v>0.8185</v>
      </c>
      <c r="W73" s="2" t="s">
        <v>157</v>
      </c>
      <c r="X73" s="2" t="s">
        <v>237</v>
      </c>
      <c r="Y73" s="2" t="s">
        <v>1752</v>
      </c>
      <c r="Z73" s="9">
        <v>0.6488</v>
      </c>
      <c r="AA73" s="9">
        <v>0.8091</v>
      </c>
      <c r="AB73" s="9">
        <v>0.8185</v>
      </c>
      <c r="AC73" s="9">
        <v>0.265</v>
      </c>
      <c r="AD73" s="9" t="str">
        <f t="shared" si="1"/>
        <v>#REF!</v>
      </c>
    </row>
    <row r="74">
      <c r="A74" s="2" t="s">
        <v>1898</v>
      </c>
      <c r="B74" s="2" t="s">
        <v>306</v>
      </c>
      <c r="C74" s="2" t="s">
        <v>1675</v>
      </c>
      <c r="D74" s="2" t="s">
        <v>64</v>
      </c>
      <c r="E74" s="7" t="b">
        <v>1</v>
      </c>
      <c r="F74" s="9">
        <v>92.0</v>
      </c>
      <c r="G74" s="9">
        <v>24.75064125470497</v>
      </c>
      <c r="H74" s="9">
        <v>0.0208088999999999</v>
      </c>
      <c r="I74" s="7" t="b">
        <v>1</v>
      </c>
      <c r="J74" s="9">
        <v>0.0</v>
      </c>
      <c r="K74" s="7" t="b">
        <v>0</v>
      </c>
      <c r="L74" s="9">
        <v>92.0</v>
      </c>
      <c r="M74" s="9">
        <v>1.0</v>
      </c>
      <c r="N74" s="2" t="s">
        <v>1934</v>
      </c>
      <c r="O74" s="2" t="s">
        <v>532</v>
      </c>
      <c r="P74" s="9">
        <v>60.22</v>
      </c>
      <c r="Q74" s="9">
        <v>49.0</v>
      </c>
      <c r="R74" s="9">
        <v>0.0</v>
      </c>
      <c r="S74" s="9">
        <v>0.6046</v>
      </c>
      <c r="T74" s="9">
        <v>1.0016</v>
      </c>
      <c r="U74" s="2" t="s">
        <v>1936</v>
      </c>
      <c r="V74" s="9">
        <v>0.8193</v>
      </c>
      <c r="W74" s="2" t="s">
        <v>82</v>
      </c>
      <c r="X74" s="2" t="s">
        <v>237</v>
      </c>
      <c r="Y74" s="2" t="s">
        <v>1428</v>
      </c>
      <c r="Z74" s="9">
        <v>0.4623</v>
      </c>
      <c r="AA74" s="9">
        <v>0.6046</v>
      </c>
      <c r="AB74" s="9">
        <v>0.8193</v>
      </c>
      <c r="AC74" s="9">
        <v>0.8502</v>
      </c>
      <c r="AD74" s="9" t="str">
        <f t="shared" si="1"/>
        <v>#REF!</v>
      </c>
    </row>
    <row r="75" hidden="1">
      <c r="A75" s="2" t="s">
        <v>1898</v>
      </c>
      <c r="B75" s="2" t="s">
        <v>969</v>
      </c>
      <c r="C75" s="15"/>
      <c r="D75" s="2" t="s">
        <v>64</v>
      </c>
      <c r="E75" s="7" t="b">
        <v>1</v>
      </c>
      <c r="F75" s="9">
        <v>67.0</v>
      </c>
      <c r="G75" s="9">
        <v>30.58616897765864</v>
      </c>
      <c r="H75" s="9">
        <v>0.0103368805970149</v>
      </c>
      <c r="I75" s="7" t="b">
        <v>1</v>
      </c>
      <c r="J75" s="9">
        <v>0.0</v>
      </c>
      <c r="K75" s="7" t="b">
        <v>0</v>
      </c>
      <c r="L75" s="9">
        <v>77.0</v>
      </c>
      <c r="M75" s="9">
        <v>1.1493</v>
      </c>
      <c r="N75" s="2" t="s">
        <v>1433</v>
      </c>
      <c r="O75" s="2" t="s">
        <v>1943</v>
      </c>
      <c r="P75" s="9">
        <v>69.1</v>
      </c>
      <c r="Q75" s="9">
        <v>57.0</v>
      </c>
      <c r="R75" s="9">
        <v>0.0</v>
      </c>
      <c r="S75" s="9">
        <v>0.5722</v>
      </c>
      <c r="T75" s="9">
        <v>1.0015</v>
      </c>
      <c r="U75" s="2" t="s">
        <v>1717</v>
      </c>
      <c r="V75" s="9">
        <v>0.0</v>
      </c>
      <c r="W75" s="2" t="s">
        <v>1821</v>
      </c>
      <c r="X75" s="2" t="s">
        <v>1466</v>
      </c>
      <c r="Y75" s="2" t="s">
        <v>1456</v>
      </c>
      <c r="Z75" s="9">
        <v>0.4447</v>
      </c>
      <c r="AA75" s="9">
        <v>0.5722</v>
      </c>
      <c r="AB75" s="9">
        <v>0.0</v>
      </c>
      <c r="AC75" s="9">
        <v>0.3736</v>
      </c>
      <c r="AD75" s="9" t="str">
        <f t="shared" si="1"/>
        <v>#REF!</v>
      </c>
    </row>
    <row r="76" hidden="1">
      <c r="A76" s="2" t="s">
        <v>1898</v>
      </c>
      <c r="B76" s="2" t="s">
        <v>982</v>
      </c>
      <c r="C76" s="15"/>
      <c r="D76" s="2" t="s">
        <v>64</v>
      </c>
      <c r="E76" s="7" t="b">
        <v>1</v>
      </c>
      <c r="F76" s="9">
        <v>90.0</v>
      </c>
      <c r="G76" s="9">
        <v>22.44712127195082</v>
      </c>
      <c r="H76" s="9">
        <v>0.0216919866666666</v>
      </c>
      <c r="I76" s="7" t="b">
        <v>1</v>
      </c>
      <c r="J76" s="9">
        <v>0.0</v>
      </c>
      <c r="K76" s="7" t="b">
        <v>0</v>
      </c>
      <c r="L76" s="9">
        <v>132.0</v>
      </c>
      <c r="M76" s="9">
        <v>1.4667</v>
      </c>
      <c r="N76" s="2" t="s">
        <v>1948</v>
      </c>
      <c r="O76" s="2" t="s">
        <v>1587</v>
      </c>
      <c r="P76" s="9">
        <v>66.02</v>
      </c>
      <c r="Q76" s="9">
        <v>55.0</v>
      </c>
      <c r="R76" s="9">
        <v>0.0</v>
      </c>
      <c r="S76" s="9">
        <v>0.644</v>
      </c>
      <c r="T76" s="9">
        <v>1.0003</v>
      </c>
      <c r="U76" s="2" t="s">
        <v>825</v>
      </c>
      <c r="V76" s="9">
        <v>0.0</v>
      </c>
      <c r="W76" s="2" t="s">
        <v>1884</v>
      </c>
      <c r="X76" s="2" t="s">
        <v>517</v>
      </c>
      <c r="Y76" s="2" t="s">
        <v>1375</v>
      </c>
      <c r="Z76" s="9">
        <v>0.4948</v>
      </c>
      <c r="AA76" s="9">
        <v>0.644</v>
      </c>
      <c r="AB76" s="9">
        <v>0.0</v>
      </c>
      <c r="AC76" s="9">
        <v>0.6871</v>
      </c>
      <c r="AD76" s="9" t="str">
        <f t="shared" si="1"/>
        <v>#REF!</v>
      </c>
    </row>
    <row r="77" hidden="1">
      <c r="A77" s="2" t="s">
        <v>1898</v>
      </c>
      <c r="B77" s="2" t="s">
        <v>997</v>
      </c>
      <c r="C77" s="15"/>
      <c r="D77" s="2" t="s">
        <v>64</v>
      </c>
      <c r="E77" s="7" t="b">
        <v>1</v>
      </c>
      <c r="F77" s="9">
        <v>67.0</v>
      </c>
      <c r="G77" s="9">
        <v>32.88879053828165</v>
      </c>
      <c r="H77" s="9">
        <v>0.0048936985074626</v>
      </c>
      <c r="I77" s="7" t="b">
        <v>1</v>
      </c>
      <c r="J77" s="9">
        <v>0.0</v>
      </c>
      <c r="K77" s="7" t="b">
        <v>0</v>
      </c>
      <c r="L77" s="9">
        <v>44.0</v>
      </c>
      <c r="M77" s="9">
        <v>0.6567</v>
      </c>
      <c r="N77" s="2" t="s">
        <v>1952</v>
      </c>
      <c r="O77" s="2" t="s">
        <v>1953</v>
      </c>
      <c r="P77" s="9">
        <v>74.36</v>
      </c>
      <c r="Q77" s="9">
        <v>60.5</v>
      </c>
      <c r="R77" s="9">
        <v>0.2</v>
      </c>
      <c r="S77" s="9">
        <v>0.4671</v>
      </c>
      <c r="T77" s="9">
        <v>1.0005</v>
      </c>
      <c r="U77" s="2" t="s">
        <v>1957</v>
      </c>
      <c r="V77" s="9">
        <v>0.8625</v>
      </c>
      <c r="W77" s="2" t="s">
        <v>157</v>
      </c>
      <c r="X77" s="2" t="s">
        <v>237</v>
      </c>
      <c r="Y77" s="2" t="s">
        <v>1703</v>
      </c>
      <c r="Z77" s="9">
        <v>0.3637</v>
      </c>
      <c r="AA77" s="9">
        <v>0.4671</v>
      </c>
      <c r="AB77" s="9">
        <v>0.8625</v>
      </c>
      <c r="AC77" s="9">
        <v>0.6724</v>
      </c>
      <c r="AD77" s="9" t="str">
        <f t="shared" si="1"/>
        <v>#REF!</v>
      </c>
    </row>
    <row r="78" hidden="1">
      <c r="A78" s="2" t="s">
        <v>1898</v>
      </c>
      <c r="B78" s="2" t="s">
        <v>1027</v>
      </c>
      <c r="C78" s="15"/>
      <c r="D78" s="2" t="s">
        <v>64</v>
      </c>
      <c r="E78" s="7" t="b">
        <v>1</v>
      </c>
      <c r="F78" s="9">
        <v>116.0</v>
      </c>
      <c r="G78" s="9">
        <v>17.59526816794591</v>
      </c>
      <c r="H78" s="9">
        <v>0.0037422681034482</v>
      </c>
      <c r="I78" s="7" t="b">
        <v>1</v>
      </c>
      <c r="J78" s="9">
        <v>0.0</v>
      </c>
      <c r="K78" s="7" t="b">
        <v>0</v>
      </c>
      <c r="L78" s="9">
        <v>37.0</v>
      </c>
      <c r="M78" s="9">
        <v>0.319</v>
      </c>
      <c r="N78" s="2" t="s">
        <v>1952</v>
      </c>
      <c r="O78" s="2" t="s">
        <v>1953</v>
      </c>
      <c r="P78" s="9">
        <v>59.81</v>
      </c>
      <c r="Q78" s="9">
        <v>54.0</v>
      </c>
      <c r="R78" s="9">
        <v>0.0</v>
      </c>
      <c r="S78" s="9">
        <v>0.4648</v>
      </c>
      <c r="T78" s="9">
        <v>0.9824</v>
      </c>
      <c r="U78" s="2" t="s">
        <v>1964</v>
      </c>
      <c r="V78" s="15"/>
      <c r="W78" s="2" t="s">
        <v>82</v>
      </c>
      <c r="X78" s="2" t="s">
        <v>1455</v>
      </c>
      <c r="Y78" s="2" t="s">
        <v>1542</v>
      </c>
      <c r="Z78" s="9">
        <v>0.3577</v>
      </c>
      <c r="AA78" s="9">
        <v>0.4648</v>
      </c>
      <c r="AB78" s="15"/>
      <c r="AC78" s="9">
        <v>0.0945</v>
      </c>
      <c r="AD78" s="9" t="str">
        <f t="shared" si="1"/>
        <v>#REF!</v>
      </c>
    </row>
    <row r="79" hidden="1">
      <c r="A79" s="2" t="s">
        <v>1967</v>
      </c>
      <c r="B79" s="2" t="s">
        <v>534</v>
      </c>
      <c r="C79" s="15"/>
      <c r="D79" s="2" t="s">
        <v>64</v>
      </c>
      <c r="E79" s="7" t="b">
        <v>1</v>
      </c>
      <c r="F79" s="9">
        <v>219.0</v>
      </c>
      <c r="G79" s="9">
        <v>25.07602542136173</v>
      </c>
      <c r="H79" s="9">
        <v>0.009321903196347</v>
      </c>
      <c r="I79" s="7" t="b">
        <v>1</v>
      </c>
      <c r="J79" s="9">
        <v>0.0</v>
      </c>
      <c r="K79" s="7" t="b">
        <v>0</v>
      </c>
      <c r="L79" s="9">
        <v>129.0</v>
      </c>
      <c r="M79" s="9">
        <v>0.589</v>
      </c>
      <c r="N79" s="2" t="s">
        <v>1433</v>
      </c>
      <c r="O79" s="2" t="s">
        <v>1426</v>
      </c>
      <c r="P79" s="9">
        <v>65.18</v>
      </c>
      <c r="Q79" s="9">
        <v>56.0</v>
      </c>
      <c r="R79" s="9">
        <v>0.035714</v>
      </c>
      <c r="S79" s="9">
        <v>0.5998</v>
      </c>
      <c r="T79" s="9">
        <v>0.9887</v>
      </c>
      <c r="U79" s="2" t="s">
        <v>1971</v>
      </c>
      <c r="V79" s="9">
        <v>0.525</v>
      </c>
      <c r="W79" s="2" t="s">
        <v>198</v>
      </c>
      <c r="X79" s="2" t="s">
        <v>237</v>
      </c>
      <c r="Y79" s="2" t="s">
        <v>1798</v>
      </c>
      <c r="Z79" s="9">
        <v>0.4717</v>
      </c>
      <c r="AA79" s="9">
        <v>0.5998</v>
      </c>
      <c r="AB79" s="9">
        <v>0.525</v>
      </c>
      <c r="AC79" s="9">
        <v>0.7392</v>
      </c>
      <c r="AD79" s="9" t="str">
        <f t="shared" si="1"/>
        <v>#REF!</v>
      </c>
    </row>
    <row r="80" hidden="1">
      <c r="A80" s="2" t="s">
        <v>1967</v>
      </c>
      <c r="B80" s="2" t="s">
        <v>542</v>
      </c>
      <c r="C80" s="15"/>
      <c r="D80" s="2" t="s">
        <v>64</v>
      </c>
      <c r="E80" s="7" t="b">
        <v>1</v>
      </c>
      <c r="F80" s="9">
        <v>201.0</v>
      </c>
      <c r="G80" s="9">
        <v>19.89174002302718</v>
      </c>
      <c r="H80" s="9">
        <v>0.0107735522388059</v>
      </c>
      <c r="I80" s="7" t="b">
        <v>1</v>
      </c>
      <c r="J80" s="9">
        <v>0.0</v>
      </c>
      <c r="K80" s="7" t="b">
        <v>0</v>
      </c>
      <c r="L80" s="9">
        <v>316.0</v>
      </c>
      <c r="M80" s="9">
        <v>1.5721</v>
      </c>
      <c r="N80" s="2" t="s">
        <v>1977</v>
      </c>
      <c r="O80" s="2" t="s">
        <v>1978</v>
      </c>
      <c r="P80" s="9">
        <v>67.08</v>
      </c>
      <c r="Q80" s="9">
        <v>57.0</v>
      </c>
      <c r="R80" s="9">
        <v>0.016129</v>
      </c>
      <c r="S80" s="9">
        <v>0.7298</v>
      </c>
      <c r="T80" s="9">
        <v>1.0009</v>
      </c>
      <c r="U80" s="2" t="s">
        <v>1979</v>
      </c>
      <c r="V80" s="9">
        <v>0.8387</v>
      </c>
      <c r="W80" s="2" t="s">
        <v>157</v>
      </c>
      <c r="X80" s="2" t="s">
        <v>495</v>
      </c>
      <c r="Y80" s="2" t="s">
        <v>1980</v>
      </c>
      <c r="Z80" s="9">
        <v>0.5763</v>
      </c>
      <c r="AA80" s="9">
        <v>0.7298</v>
      </c>
      <c r="AB80" s="9">
        <v>0.8387</v>
      </c>
      <c r="AC80" s="9">
        <v>0.2488</v>
      </c>
      <c r="AD80" s="9" t="str">
        <f t="shared" si="1"/>
        <v>#REF!</v>
      </c>
    </row>
    <row r="81" hidden="1">
      <c r="A81" s="2" t="s">
        <v>1967</v>
      </c>
      <c r="B81" s="2" t="s">
        <v>1027</v>
      </c>
      <c r="C81" s="15"/>
      <c r="D81" s="2" t="s">
        <v>64</v>
      </c>
      <c r="E81" s="7" t="b">
        <v>1</v>
      </c>
      <c r="F81" s="9">
        <v>68.0</v>
      </c>
      <c r="G81" s="9">
        <v>24.9620451184002</v>
      </c>
      <c r="H81" s="9">
        <v>0.0044170823529411</v>
      </c>
      <c r="I81" s="7" t="b">
        <v>1</v>
      </c>
      <c r="J81" s="9">
        <v>0.0</v>
      </c>
      <c r="K81" s="7" t="b">
        <v>0</v>
      </c>
      <c r="L81" s="9">
        <v>28.0</v>
      </c>
      <c r="M81" s="9">
        <v>0.4118</v>
      </c>
      <c r="N81" s="2" t="s">
        <v>1984</v>
      </c>
      <c r="O81" s="2" t="s">
        <v>1985</v>
      </c>
      <c r="P81" s="9">
        <v>88.96</v>
      </c>
      <c r="Q81" s="9">
        <v>70.0</v>
      </c>
      <c r="R81" s="9">
        <v>0.0</v>
      </c>
      <c r="S81" s="9">
        <v>0.4335</v>
      </c>
      <c r="T81" s="9">
        <v>1.0006</v>
      </c>
      <c r="U81" s="2" t="s">
        <v>1016</v>
      </c>
      <c r="V81" s="9">
        <v>0.0</v>
      </c>
      <c r="W81" s="2" t="s">
        <v>82</v>
      </c>
      <c r="X81" s="2" t="s">
        <v>1466</v>
      </c>
      <c r="Y81" s="2" t="s">
        <v>1542</v>
      </c>
      <c r="Z81" s="9">
        <v>0.3336</v>
      </c>
      <c r="AA81" s="9">
        <v>0.4335</v>
      </c>
      <c r="AB81" s="9">
        <v>0.0</v>
      </c>
      <c r="AC81" s="9">
        <v>0.3739</v>
      </c>
      <c r="AD81" s="9" t="str">
        <f t="shared" si="1"/>
        <v>#REF!</v>
      </c>
    </row>
    <row r="82" hidden="1">
      <c r="A82" s="2" t="s">
        <v>1990</v>
      </c>
      <c r="B82" s="2" t="s">
        <v>534</v>
      </c>
      <c r="C82" s="15"/>
      <c r="D82" s="2" t="s">
        <v>64</v>
      </c>
      <c r="E82" s="7" t="b">
        <v>1</v>
      </c>
      <c r="F82" s="9">
        <v>307.0</v>
      </c>
      <c r="G82" s="9">
        <v>26.06666013472115</v>
      </c>
      <c r="H82" s="9">
        <v>0.0140971999999999</v>
      </c>
      <c r="I82" s="7" t="b">
        <v>1</v>
      </c>
      <c r="J82" s="9">
        <v>0.0</v>
      </c>
      <c r="K82" s="7" t="b">
        <v>0</v>
      </c>
      <c r="L82" s="9">
        <v>165.0</v>
      </c>
      <c r="M82" s="9">
        <v>0.5375</v>
      </c>
      <c r="N82" s="2" t="s">
        <v>509</v>
      </c>
      <c r="O82" s="2" t="s">
        <v>1598</v>
      </c>
      <c r="P82" s="9">
        <v>72.15</v>
      </c>
      <c r="Q82" s="9">
        <v>63.0</v>
      </c>
      <c r="R82" s="9">
        <v>0.0</v>
      </c>
      <c r="S82" s="9">
        <v>0.6241</v>
      </c>
      <c r="T82" s="9">
        <v>0.9885</v>
      </c>
      <c r="U82" s="2" t="s">
        <v>1995</v>
      </c>
      <c r="V82" s="9">
        <v>0.8625</v>
      </c>
      <c r="W82" s="2" t="s">
        <v>181</v>
      </c>
      <c r="X82" s="2" t="s">
        <v>495</v>
      </c>
      <c r="Y82" s="2" t="s">
        <v>1851</v>
      </c>
      <c r="Z82" s="9">
        <v>0.4942</v>
      </c>
      <c r="AA82" s="9">
        <v>0.6241</v>
      </c>
      <c r="AB82" s="9">
        <v>0.8625</v>
      </c>
      <c r="AC82" s="9">
        <v>0.7454</v>
      </c>
      <c r="AD82" s="9" t="str">
        <f t="shared" si="1"/>
        <v>#REF!</v>
      </c>
    </row>
    <row r="83" hidden="1">
      <c r="A83" s="2" t="s">
        <v>1990</v>
      </c>
      <c r="B83" s="2" t="s">
        <v>542</v>
      </c>
      <c r="C83" s="15"/>
      <c r="D83" s="2" t="s">
        <v>64</v>
      </c>
      <c r="E83" s="7" t="b">
        <v>1</v>
      </c>
      <c r="F83" s="9">
        <v>262.0</v>
      </c>
      <c r="G83" s="9">
        <v>19.6217979212456</v>
      </c>
      <c r="H83" s="9">
        <v>0.0136450946564885</v>
      </c>
      <c r="I83" s="7" t="b">
        <v>1</v>
      </c>
      <c r="J83" s="9">
        <v>0.0</v>
      </c>
      <c r="K83" s="7" t="b">
        <v>0</v>
      </c>
      <c r="L83" s="9">
        <v>399.0</v>
      </c>
      <c r="M83" s="9">
        <v>1.5229</v>
      </c>
      <c r="N83" s="2" t="s">
        <v>1997</v>
      </c>
      <c r="O83" s="2" t="s">
        <v>1998</v>
      </c>
      <c r="P83" s="9">
        <v>67.53</v>
      </c>
      <c r="Q83" s="9">
        <v>57.0</v>
      </c>
      <c r="R83" s="9">
        <v>0.012346</v>
      </c>
      <c r="S83" s="9">
        <v>0.7517</v>
      </c>
      <c r="T83" s="9">
        <v>0.988</v>
      </c>
      <c r="U83" s="2" t="s">
        <v>1701</v>
      </c>
      <c r="V83" s="9">
        <v>0.8629</v>
      </c>
      <c r="W83" s="2" t="s">
        <v>157</v>
      </c>
      <c r="X83" s="2" t="s">
        <v>495</v>
      </c>
      <c r="Y83" s="2" t="s">
        <v>1980</v>
      </c>
      <c r="Z83" s="9">
        <v>0.5983</v>
      </c>
      <c r="AA83" s="9">
        <v>0.7517</v>
      </c>
      <c r="AB83" s="9">
        <v>0.8629</v>
      </c>
      <c r="AC83" s="9">
        <v>0.2705</v>
      </c>
      <c r="AD83" s="9" t="str">
        <f t="shared" si="1"/>
        <v>#REF!</v>
      </c>
    </row>
    <row r="84" hidden="1">
      <c r="A84" s="2" t="s">
        <v>1990</v>
      </c>
      <c r="B84" s="2" t="s">
        <v>306</v>
      </c>
      <c r="C84" s="15"/>
      <c r="D84" s="2" t="s">
        <v>64</v>
      </c>
      <c r="E84" s="7" t="b">
        <v>1</v>
      </c>
      <c r="F84" s="9">
        <v>112.0</v>
      </c>
      <c r="G84" s="9">
        <v>31.80433947920116</v>
      </c>
      <c r="H84" s="9">
        <v>0.0416266071428571</v>
      </c>
      <c r="I84" s="7" t="b">
        <v>1</v>
      </c>
      <c r="J84" s="9">
        <v>0.0</v>
      </c>
      <c r="K84" s="7" t="b">
        <v>0</v>
      </c>
      <c r="L84" s="9">
        <v>116.0</v>
      </c>
      <c r="M84" s="9">
        <v>1.0357</v>
      </c>
      <c r="N84" s="2" t="s">
        <v>2002</v>
      </c>
      <c r="O84" s="2" t="s">
        <v>1880</v>
      </c>
      <c r="P84" s="9">
        <v>70.14</v>
      </c>
      <c r="Q84" s="9">
        <v>62.5</v>
      </c>
      <c r="R84" s="9">
        <v>0.034483</v>
      </c>
      <c r="S84" s="9">
        <v>0.6324</v>
      </c>
      <c r="T84" s="9">
        <v>1.0023</v>
      </c>
      <c r="U84" s="2" t="s">
        <v>194</v>
      </c>
      <c r="V84" s="9">
        <v>0.8625</v>
      </c>
      <c r="W84" s="2" t="s">
        <v>82</v>
      </c>
      <c r="X84" s="2" t="s">
        <v>237</v>
      </c>
      <c r="Y84" s="2" t="s">
        <v>2003</v>
      </c>
      <c r="Z84" s="9">
        <v>0.486</v>
      </c>
      <c r="AA84" s="9">
        <v>0.6324</v>
      </c>
      <c r="AB84" s="9">
        <v>0.8625</v>
      </c>
      <c r="AC84" s="9">
        <v>0.4581</v>
      </c>
      <c r="AD84" s="9" t="str">
        <f t="shared" si="1"/>
        <v>#REF!</v>
      </c>
    </row>
    <row r="85" hidden="1">
      <c r="A85" s="2" t="s">
        <v>1990</v>
      </c>
      <c r="B85" s="2" t="s">
        <v>982</v>
      </c>
      <c r="C85" s="15"/>
      <c r="D85" s="2" t="s">
        <v>64</v>
      </c>
      <c r="E85" s="7" t="b">
        <v>1</v>
      </c>
      <c r="F85" s="9">
        <v>83.0</v>
      </c>
      <c r="G85" s="9">
        <v>27.74695827391752</v>
      </c>
      <c r="H85" s="9">
        <v>0.0305282650602409</v>
      </c>
      <c r="I85" s="7" t="b">
        <v>1</v>
      </c>
      <c r="J85" s="9">
        <v>0.0</v>
      </c>
      <c r="K85" s="7" t="b">
        <v>0</v>
      </c>
      <c r="L85" s="9">
        <v>66.0</v>
      </c>
      <c r="M85" s="9">
        <v>0.7952</v>
      </c>
      <c r="N85" s="2" t="s">
        <v>2007</v>
      </c>
      <c r="O85" s="2" t="s">
        <v>2008</v>
      </c>
      <c r="P85" s="9">
        <v>73.68</v>
      </c>
      <c r="Q85" s="9">
        <v>65.0</v>
      </c>
      <c r="R85" s="9">
        <v>0.1</v>
      </c>
      <c r="S85" s="9">
        <v>0.551</v>
      </c>
      <c r="T85" s="9">
        <v>1.0013</v>
      </c>
      <c r="U85" s="2" t="s">
        <v>688</v>
      </c>
      <c r="V85" s="9">
        <v>0.3</v>
      </c>
      <c r="W85" s="2" t="s">
        <v>1094</v>
      </c>
      <c r="X85" s="2" t="s">
        <v>517</v>
      </c>
      <c r="Y85" s="2" t="s">
        <v>1399</v>
      </c>
      <c r="Z85" s="9">
        <v>0.4246</v>
      </c>
      <c r="AA85" s="9">
        <v>0.551</v>
      </c>
      <c r="AB85" s="9">
        <v>0.3</v>
      </c>
      <c r="AC85" s="9">
        <v>0.2235</v>
      </c>
      <c r="AD85" s="9" t="str">
        <f t="shared" si="1"/>
        <v>#REF!</v>
      </c>
    </row>
    <row r="86" hidden="1">
      <c r="A86" s="2" t="s">
        <v>1990</v>
      </c>
      <c r="B86" s="2" t="s">
        <v>997</v>
      </c>
      <c r="C86" s="15"/>
      <c r="D86" s="2" t="s">
        <v>64</v>
      </c>
      <c r="E86" s="7" t="b">
        <v>1</v>
      </c>
      <c r="F86" s="9">
        <v>53.0</v>
      </c>
      <c r="G86" s="9">
        <v>36.32419769319886</v>
      </c>
      <c r="H86" s="9">
        <v>0.0047228754716981</v>
      </c>
      <c r="I86" s="7" t="b">
        <v>1</v>
      </c>
      <c r="J86" s="9">
        <v>0.0</v>
      </c>
      <c r="K86" s="7" t="b">
        <v>0</v>
      </c>
      <c r="L86" s="9">
        <v>23.0</v>
      </c>
      <c r="M86" s="9">
        <v>0.434</v>
      </c>
      <c r="N86" s="2" t="s">
        <v>2016</v>
      </c>
      <c r="O86" s="2" t="s">
        <v>1462</v>
      </c>
      <c r="P86" s="9">
        <v>77.26</v>
      </c>
      <c r="Q86" s="9">
        <v>60.0</v>
      </c>
      <c r="R86" s="9">
        <v>0.0</v>
      </c>
      <c r="S86" s="9">
        <v>0.387</v>
      </c>
      <c r="T86" s="9">
        <v>1.0003</v>
      </c>
      <c r="U86" s="2" t="s">
        <v>1891</v>
      </c>
      <c r="V86" s="15"/>
      <c r="W86" s="2" t="s">
        <v>157</v>
      </c>
      <c r="X86" s="2" t="s">
        <v>182</v>
      </c>
      <c r="Y86" s="2" t="s">
        <v>1491</v>
      </c>
      <c r="Z86" s="9">
        <v>0.3014</v>
      </c>
      <c r="AA86" s="9">
        <v>0.387</v>
      </c>
      <c r="AB86" s="15"/>
      <c r="AC86" s="9">
        <v>0.7372</v>
      </c>
      <c r="AD86" s="9" t="str">
        <f t="shared" si="1"/>
        <v>#REF!</v>
      </c>
    </row>
    <row r="87" hidden="1">
      <c r="A87" s="2" t="s">
        <v>1990</v>
      </c>
      <c r="B87" s="2" t="s">
        <v>1027</v>
      </c>
      <c r="C87" s="15"/>
      <c r="D87" s="2" t="s">
        <v>64</v>
      </c>
      <c r="E87" s="7" t="b">
        <v>1</v>
      </c>
      <c r="F87" s="9">
        <v>102.0</v>
      </c>
      <c r="G87" s="9">
        <v>22.58442783385241</v>
      </c>
      <c r="H87" s="9">
        <v>0.0054186294117647</v>
      </c>
      <c r="I87" s="7" t="b">
        <v>1</v>
      </c>
      <c r="J87" s="9">
        <v>0.0</v>
      </c>
      <c r="K87" s="7" t="b">
        <v>0</v>
      </c>
      <c r="L87" s="9">
        <v>31.0</v>
      </c>
      <c r="M87" s="9">
        <v>0.3039</v>
      </c>
      <c r="N87" s="2" t="s">
        <v>2024</v>
      </c>
      <c r="O87" s="2" t="s">
        <v>2025</v>
      </c>
      <c r="P87" s="9">
        <v>62.61</v>
      </c>
      <c r="Q87" s="9">
        <v>55.0</v>
      </c>
      <c r="R87" s="9">
        <v>0.0</v>
      </c>
      <c r="S87" s="9">
        <v>0.4409</v>
      </c>
      <c r="T87" s="9">
        <v>1.0004</v>
      </c>
      <c r="U87" s="2" t="s">
        <v>825</v>
      </c>
      <c r="V87" s="9">
        <v>0.0432</v>
      </c>
      <c r="W87" s="2" t="s">
        <v>82</v>
      </c>
      <c r="X87" s="2" t="s">
        <v>1466</v>
      </c>
      <c r="Y87" s="2" t="s">
        <v>1542</v>
      </c>
      <c r="Z87" s="9">
        <v>0.3438</v>
      </c>
      <c r="AA87" s="9">
        <v>0.4409</v>
      </c>
      <c r="AB87" s="9">
        <v>0.0432</v>
      </c>
      <c r="AC87" s="9">
        <v>0.2343</v>
      </c>
      <c r="AD87" s="9" t="str">
        <f t="shared" si="1"/>
        <v>#REF!</v>
      </c>
    </row>
    <row r="88" hidden="1">
      <c r="A88" s="2" t="s">
        <v>2028</v>
      </c>
      <c r="B88" s="2" t="s">
        <v>534</v>
      </c>
      <c r="C88" s="15"/>
      <c r="D88" s="2" t="s">
        <v>64</v>
      </c>
      <c r="E88" s="7" t="b">
        <v>1</v>
      </c>
      <c r="F88" s="9">
        <v>313.0</v>
      </c>
      <c r="G88" s="9">
        <v>29.72088233585023</v>
      </c>
      <c r="H88" s="9">
        <v>0.0186685303514377</v>
      </c>
      <c r="I88" s="7" t="b">
        <v>1</v>
      </c>
      <c r="J88" s="9">
        <v>0.0</v>
      </c>
      <c r="K88" s="7" t="b">
        <v>0</v>
      </c>
      <c r="L88" s="9">
        <v>229.0</v>
      </c>
      <c r="M88" s="9">
        <v>0.7316</v>
      </c>
      <c r="N88" s="2" t="s">
        <v>2032</v>
      </c>
      <c r="O88" s="2" t="s">
        <v>2034</v>
      </c>
      <c r="P88" s="9">
        <v>74.16</v>
      </c>
      <c r="Q88" s="9">
        <v>65.0</v>
      </c>
      <c r="R88" s="9">
        <v>0.0</v>
      </c>
      <c r="S88" s="9">
        <v>0.6678</v>
      </c>
      <c r="T88" s="9">
        <v>0.9933</v>
      </c>
      <c r="U88" s="2" t="s">
        <v>2037</v>
      </c>
      <c r="V88" s="9">
        <v>0.0</v>
      </c>
      <c r="W88" s="2" t="s">
        <v>1094</v>
      </c>
      <c r="X88" s="2" t="s">
        <v>517</v>
      </c>
      <c r="Y88" s="2" t="s">
        <v>1744</v>
      </c>
      <c r="Z88" s="9">
        <v>0.5285</v>
      </c>
      <c r="AA88" s="9">
        <v>0.6678</v>
      </c>
      <c r="AB88" s="9">
        <v>0.0</v>
      </c>
      <c r="AC88" s="9">
        <v>0.7607</v>
      </c>
      <c r="AD88" s="9" t="str">
        <f t="shared" si="1"/>
        <v>#REF!</v>
      </c>
    </row>
    <row r="89" hidden="1">
      <c r="A89" s="2" t="s">
        <v>2028</v>
      </c>
      <c r="B89" s="2" t="s">
        <v>542</v>
      </c>
      <c r="C89" s="15"/>
      <c r="D89" s="2" t="s">
        <v>64</v>
      </c>
      <c r="E89" s="7" t="b">
        <v>1</v>
      </c>
      <c r="F89" s="9">
        <v>484.0</v>
      </c>
      <c r="G89" s="9">
        <v>16.72269539087899</v>
      </c>
      <c r="H89" s="9">
        <v>0.0182334545454545</v>
      </c>
      <c r="I89" s="7" t="b">
        <v>1</v>
      </c>
      <c r="J89" s="9">
        <v>0.0</v>
      </c>
      <c r="K89" s="7" t="b">
        <v>0</v>
      </c>
      <c r="L89" s="9">
        <v>721.0</v>
      </c>
      <c r="M89" s="9">
        <v>1.4897</v>
      </c>
      <c r="N89" s="2" t="s">
        <v>2044</v>
      </c>
      <c r="O89" s="2" t="s">
        <v>2046</v>
      </c>
      <c r="P89" s="9">
        <v>67.74</v>
      </c>
      <c r="Q89" s="9">
        <v>57.0</v>
      </c>
      <c r="R89" s="9">
        <v>0.03681</v>
      </c>
      <c r="S89" s="9">
        <v>0.7987</v>
      </c>
      <c r="T89" s="9">
        <v>0.9674</v>
      </c>
      <c r="U89" s="2" t="s">
        <v>2048</v>
      </c>
      <c r="V89" s="9">
        <v>0.7015</v>
      </c>
      <c r="W89" s="2" t="s">
        <v>1657</v>
      </c>
      <c r="X89" s="2" t="s">
        <v>495</v>
      </c>
      <c r="Y89" s="2" t="s">
        <v>1980</v>
      </c>
      <c r="Z89" s="9">
        <v>0.6521</v>
      </c>
      <c r="AA89" s="9">
        <v>0.7987</v>
      </c>
      <c r="AB89" s="9">
        <v>0.7015</v>
      </c>
      <c r="AC89" s="9">
        <v>0.2204</v>
      </c>
      <c r="AD89" s="9" t="str">
        <f t="shared" si="1"/>
        <v>#REF!</v>
      </c>
    </row>
    <row r="90" hidden="1">
      <c r="A90" s="2" t="s">
        <v>2028</v>
      </c>
      <c r="B90" s="2" t="s">
        <v>306</v>
      </c>
      <c r="C90" s="15"/>
      <c r="D90" s="2" t="s">
        <v>64</v>
      </c>
      <c r="E90" s="7" t="b">
        <v>1</v>
      </c>
      <c r="F90" s="9">
        <v>58.0</v>
      </c>
      <c r="G90" s="9">
        <v>33.37156953126743</v>
      </c>
      <c r="H90" s="9">
        <v>0.0238763637931034</v>
      </c>
      <c r="I90" s="7" t="b">
        <v>1</v>
      </c>
      <c r="J90" s="9">
        <v>0.0</v>
      </c>
      <c r="K90" s="7" t="b">
        <v>0</v>
      </c>
      <c r="L90" s="9">
        <v>60.0</v>
      </c>
      <c r="M90" s="9">
        <v>1.0345</v>
      </c>
      <c r="N90" s="2" t="s">
        <v>1475</v>
      </c>
      <c r="O90" s="2" t="s">
        <v>511</v>
      </c>
      <c r="P90" s="9">
        <v>68.58</v>
      </c>
      <c r="Q90" s="9">
        <v>63.0</v>
      </c>
      <c r="R90" s="9">
        <v>0.0</v>
      </c>
      <c r="S90" s="9">
        <v>0.5443</v>
      </c>
      <c r="T90" s="9">
        <v>1.0012</v>
      </c>
      <c r="U90" s="2" t="s">
        <v>2056</v>
      </c>
      <c r="V90" s="9">
        <v>0.0</v>
      </c>
      <c r="W90" s="2" t="s">
        <v>82</v>
      </c>
      <c r="X90" s="2" t="s">
        <v>517</v>
      </c>
      <c r="Y90" s="2" t="s">
        <v>2057</v>
      </c>
      <c r="Z90" s="9">
        <v>0.4186</v>
      </c>
      <c r="AA90" s="9">
        <v>0.5443</v>
      </c>
      <c r="AB90" s="9">
        <v>0.0</v>
      </c>
      <c r="AC90" s="9">
        <v>0.4921</v>
      </c>
      <c r="AD90" s="9" t="str">
        <f t="shared" si="1"/>
        <v>#REF!</v>
      </c>
    </row>
    <row r="91" hidden="1">
      <c r="A91" s="2" t="s">
        <v>2028</v>
      </c>
      <c r="B91" s="2" t="s">
        <v>1027</v>
      </c>
      <c r="C91" s="15"/>
      <c r="D91" s="2" t="s">
        <v>64</v>
      </c>
      <c r="E91" s="7" t="b">
        <v>1</v>
      </c>
      <c r="F91" s="9">
        <v>163.0</v>
      </c>
      <c r="G91" s="9">
        <v>24.83469691627092</v>
      </c>
      <c r="H91" s="9">
        <v>0.0104544294478527</v>
      </c>
      <c r="I91" s="7" t="b">
        <v>1</v>
      </c>
      <c r="J91" s="9">
        <v>0.0</v>
      </c>
      <c r="K91" s="7" t="b">
        <v>0</v>
      </c>
      <c r="L91" s="9">
        <v>45.0</v>
      </c>
      <c r="M91" s="9">
        <v>0.2761</v>
      </c>
      <c r="N91" s="2" t="s">
        <v>1551</v>
      </c>
      <c r="O91" s="2" t="s">
        <v>1912</v>
      </c>
      <c r="P91" s="9">
        <v>76.67</v>
      </c>
      <c r="Q91" s="9">
        <v>72.0</v>
      </c>
      <c r="R91" s="9">
        <v>0.0</v>
      </c>
      <c r="S91" s="9">
        <v>0.4872</v>
      </c>
      <c r="T91" s="9">
        <v>0.9515</v>
      </c>
      <c r="U91" s="2" t="s">
        <v>2063</v>
      </c>
      <c r="V91" s="15"/>
      <c r="W91" s="2" t="s">
        <v>82</v>
      </c>
      <c r="X91" s="2" t="s">
        <v>1455</v>
      </c>
      <c r="Y91" s="2" t="s">
        <v>1542</v>
      </c>
      <c r="Z91" s="9">
        <v>0.378</v>
      </c>
      <c r="AA91" s="9">
        <v>0.4872</v>
      </c>
      <c r="AB91" s="15"/>
      <c r="AC91" s="9">
        <v>0.1849</v>
      </c>
      <c r="AD91" s="9" t="str">
        <f t="shared" si="1"/>
        <v>#REF!</v>
      </c>
    </row>
    <row r="92" hidden="1">
      <c r="A92" s="2" t="s">
        <v>53</v>
      </c>
      <c r="B92" s="2" t="s">
        <v>48</v>
      </c>
      <c r="C92" s="15"/>
      <c r="D92" s="2" t="s">
        <v>64</v>
      </c>
      <c r="E92" s="7" t="b">
        <v>1</v>
      </c>
      <c r="F92" s="9">
        <v>797.0</v>
      </c>
      <c r="G92" s="9">
        <v>4.890741621146729</v>
      </c>
      <c r="H92" s="9">
        <v>0.0013066217063989</v>
      </c>
      <c r="I92" s="7" t="b">
        <v>1</v>
      </c>
      <c r="J92" s="9">
        <v>0.0</v>
      </c>
      <c r="K92" s="7" t="b">
        <v>0</v>
      </c>
      <c r="L92" s="9">
        <v>452.0</v>
      </c>
      <c r="M92" s="9">
        <v>0.5671</v>
      </c>
      <c r="N92" s="2" t="s">
        <v>1879</v>
      </c>
      <c r="O92" s="2" t="s">
        <v>1426</v>
      </c>
      <c r="P92" s="9">
        <v>42.71</v>
      </c>
      <c r="Q92" s="9">
        <v>38.0</v>
      </c>
      <c r="R92" s="9">
        <v>0.015152</v>
      </c>
      <c r="S92" s="9">
        <v>0.5441</v>
      </c>
      <c r="T92" s="9">
        <v>0.6131</v>
      </c>
      <c r="U92" s="2" t="s">
        <v>2069</v>
      </c>
      <c r="V92" s="9">
        <v>0.8769</v>
      </c>
      <c r="W92" s="2" t="s">
        <v>1193</v>
      </c>
      <c r="X92" s="2" t="s">
        <v>517</v>
      </c>
      <c r="Y92" s="2" t="s">
        <v>1593</v>
      </c>
      <c r="Z92" s="9">
        <v>0.4292</v>
      </c>
      <c r="AA92" s="9">
        <v>0.5441</v>
      </c>
      <c r="AB92" s="9">
        <v>0.8769</v>
      </c>
      <c r="AC92" s="9">
        <v>0.2083</v>
      </c>
      <c r="AD92" s="9" t="str">
        <f t="shared" si="1"/>
        <v>#REF!</v>
      </c>
    </row>
    <row r="93" hidden="1">
      <c r="A93" s="2" t="s">
        <v>53</v>
      </c>
      <c r="B93" s="2" t="s">
        <v>163</v>
      </c>
      <c r="C93" s="15"/>
      <c r="D93" s="2" t="s">
        <v>64</v>
      </c>
      <c r="E93" s="7" t="b">
        <v>1</v>
      </c>
      <c r="F93" s="9">
        <v>2.0</v>
      </c>
      <c r="G93" s="9">
        <v>15.03299022647047</v>
      </c>
      <c r="H93" s="9">
        <v>0.006978</v>
      </c>
      <c r="I93" s="7" t="b">
        <v>1</v>
      </c>
      <c r="J93" s="9">
        <v>0.0</v>
      </c>
      <c r="K93" s="7" t="b">
        <v>0</v>
      </c>
      <c r="L93" s="9">
        <v>9.0</v>
      </c>
      <c r="M93" s="9">
        <v>4.5</v>
      </c>
      <c r="N93" s="2" t="s">
        <v>2074</v>
      </c>
      <c r="O93" s="2" t="s">
        <v>1579</v>
      </c>
      <c r="P93" s="9">
        <v>72.44</v>
      </c>
      <c r="Q93" s="9">
        <v>59.0</v>
      </c>
      <c r="R93" s="9">
        <v>0.0</v>
      </c>
      <c r="S93" s="9">
        <v>0.4385</v>
      </c>
      <c r="T93" s="9">
        <v>1.0022</v>
      </c>
      <c r="U93" s="2" t="s">
        <v>1979</v>
      </c>
      <c r="V93" s="15"/>
      <c r="W93" s="2" t="s">
        <v>82</v>
      </c>
      <c r="X93" s="2" t="s">
        <v>1621</v>
      </c>
      <c r="Y93" s="2" t="s">
        <v>1622</v>
      </c>
      <c r="Z93" s="9">
        <v>0.3004</v>
      </c>
      <c r="AA93" s="9">
        <v>0.4385</v>
      </c>
      <c r="AB93" s="15"/>
      <c r="AC93" s="9">
        <v>0.3716</v>
      </c>
      <c r="AD93" s="9" t="str">
        <f t="shared" si="1"/>
        <v>#REF!</v>
      </c>
    </row>
    <row r="94" hidden="1">
      <c r="A94" s="2" t="s">
        <v>53</v>
      </c>
      <c r="B94" s="2" t="s">
        <v>170</v>
      </c>
      <c r="C94" s="15"/>
      <c r="D94" s="2" t="s">
        <v>64</v>
      </c>
      <c r="E94" s="7" t="b">
        <v>1</v>
      </c>
      <c r="F94" s="9">
        <v>1.0</v>
      </c>
      <c r="G94" s="9">
        <v>11.00648503679253</v>
      </c>
      <c r="H94" s="9">
        <v>0.0013728</v>
      </c>
      <c r="I94" s="7" t="b">
        <v>1</v>
      </c>
      <c r="J94" s="9">
        <v>0.0</v>
      </c>
      <c r="K94" s="7" t="b">
        <v>0</v>
      </c>
      <c r="L94" s="9">
        <v>3.0</v>
      </c>
      <c r="M94" s="9">
        <v>3.0</v>
      </c>
      <c r="N94" s="2" t="s">
        <v>1450</v>
      </c>
      <c r="O94" s="2" t="s">
        <v>1451</v>
      </c>
      <c r="P94" s="9">
        <v>91.67</v>
      </c>
      <c r="Q94" s="9">
        <v>77.0</v>
      </c>
      <c r="R94" s="9">
        <v>0.0</v>
      </c>
      <c r="S94" s="9">
        <v>0.2193</v>
      </c>
      <c r="T94" s="9">
        <v>1.0009</v>
      </c>
      <c r="U94" s="2" t="s">
        <v>2081</v>
      </c>
      <c r="V94" s="15"/>
      <c r="W94" s="2" t="s">
        <v>134</v>
      </c>
      <c r="X94" s="2" t="s">
        <v>1455</v>
      </c>
      <c r="Y94" s="2" t="s">
        <v>2086</v>
      </c>
      <c r="Z94" s="9">
        <v>0.1503</v>
      </c>
      <c r="AA94" s="9">
        <v>0.2193</v>
      </c>
      <c r="AB94" s="15"/>
      <c r="AC94" s="9">
        <v>0.525</v>
      </c>
      <c r="AD94" s="9" t="str">
        <f t="shared" si="1"/>
        <v>#REF!</v>
      </c>
    </row>
    <row r="95" hidden="1">
      <c r="A95" s="2" t="s">
        <v>53</v>
      </c>
      <c r="B95" s="2" t="s">
        <v>176</v>
      </c>
      <c r="C95" s="15"/>
      <c r="D95" s="2" t="s">
        <v>64</v>
      </c>
      <c r="E95" s="7" t="b">
        <v>1</v>
      </c>
      <c r="F95" s="9">
        <v>1.0</v>
      </c>
      <c r="G95" s="9">
        <v>20.02769333795974</v>
      </c>
      <c r="H95" s="9">
        <v>0.00586</v>
      </c>
      <c r="I95" s="7" t="b">
        <v>1</v>
      </c>
      <c r="J95" s="9">
        <v>0.0</v>
      </c>
      <c r="K95" s="7" t="b">
        <v>0</v>
      </c>
      <c r="L95" s="9">
        <v>6.0</v>
      </c>
      <c r="M95" s="9">
        <v>6.0</v>
      </c>
      <c r="N95" s="2" t="s">
        <v>1425</v>
      </c>
      <c r="O95" s="2" t="s">
        <v>2090</v>
      </c>
      <c r="P95" s="9">
        <v>84.83</v>
      </c>
      <c r="Q95" s="9">
        <v>68.0</v>
      </c>
      <c r="R95" s="9">
        <v>0.0</v>
      </c>
      <c r="S95" s="9">
        <v>0.3571</v>
      </c>
      <c r="T95" s="9">
        <v>1.0017</v>
      </c>
      <c r="U95" s="2" t="s">
        <v>2092</v>
      </c>
      <c r="V95" s="15"/>
      <c r="W95" s="2" t="s">
        <v>157</v>
      </c>
      <c r="X95" s="2" t="s">
        <v>1455</v>
      </c>
      <c r="Y95" s="2" t="s">
        <v>2086</v>
      </c>
      <c r="Z95" s="9">
        <v>0.2448</v>
      </c>
      <c r="AA95" s="9">
        <v>0.3571</v>
      </c>
      <c r="AB95" s="15"/>
      <c r="AC95" s="9">
        <v>0.6881</v>
      </c>
      <c r="AD95" s="9" t="str">
        <f t="shared" si="1"/>
        <v>#REF!</v>
      </c>
    </row>
    <row r="96" hidden="1">
      <c r="A96" s="2" t="s">
        <v>53</v>
      </c>
      <c r="B96" s="2" t="s">
        <v>441</v>
      </c>
      <c r="C96" s="15"/>
      <c r="D96" s="2" t="s">
        <v>64</v>
      </c>
      <c r="E96" s="7" t="b">
        <v>1</v>
      </c>
      <c r="F96" s="9">
        <v>178852.0</v>
      </c>
      <c r="G96" s="9">
        <v>505.0000811411088</v>
      </c>
      <c r="H96" s="9">
        <v>9.754157886408874</v>
      </c>
      <c r="I96" s="7" t="b">
        <v>1</v>
      </c>
      <c r="J96" s="9">
        <v>0.0</v>
      </c>
      <c r="K96" s="7" t="b">
        <v>0</v>
      </c>
      <c r="L96" s="9">
        <v>147534.0</v>
      </c>
      <c r="M96" s="9">
        <v>0.8249</v>
      </c>
      <c r="N96" s="2" t="s">
        <v>2098</v>
      </c>
      <c r="O96" s="2" t="s">
        <v>2099</v>
      </c>
      <c r="P96" s="9">
        <v>82.86</v>
      </c>
      <c r="Q96" s="9">
        <v>76.0</v>
      </c>
      <c r="R96" s="9">
        <v>0.016464</v>
      </c>
      <c r="S96" s="9">
        <v>0.9859</v>
      </c>
      <c r="T96" s="9">
        <v>0.8917</v>
      </c>
      <c r="U96" s="2" t="s">
        <v>2102</v>
      </c>
      <c r="V96" s="9">
        <v>0.8498</v>
      </c>
      <c r="W96" s="2" t="s">
        <v>82</v>
      </c>
      <c r="X96" s="2" t="s">
        <v>99</v>
      </c>
      <c r="Y96" s="2" t="s">
        <v>1515</v>
      </c>
      <c r="Z96" s="9">
        <v>0.9754</v>
      </c>
      <c r="AA96" s="9">
        <v>0.9859</v>
      </c>
      <c r="AB96" s="9">
        <v>0.8498</v>
      </c>
      <c r="AC96" s="9">
        <v>0.8593</v>
      </c>
      <c r="AD96" s="9" t="str">
        <f t="shared" si="1"/>
        <v>#REF!</v>
      </c>
    </row>
    <row r="97" hidden="1">
      <c r="A97" s="2" t="s">
        <v>53</v>
      </c>
      <c r="B97" s="2" t="s">
        <v>474</v>
      </c>
      <c r="C97" s="15"/>
      <c r="D97" s="2" t="s">
        <v>64</v>
      </c>
      <c r="E97" s="7" t="b">
        <v>1</v>
      </c>
      <c r="F97" s="9">
        <v>48.0</v>
      </c>
      <c r="G97" s="9">
        <v>5.133434453485759</v>
      </c>
      <c r="H97" s="9">
        <v>0.001784525</v>
      </c>
      <c r="I97" s="7" t="b">
        <v>1</v>
      </c>
      <c r="J97" s="9">
        <v>0.0</v>
      </c>
      <c r="K97" s="7" t="b">
        <v>0</v>
      </c>
      <c r="L97" s="9">
        <v>314.0</v>
      </c>
      <c r="M97" s="9">
        <v>6.5417</v>
      </c>
      <c r="N97" s="2" t="s">
        <v>2105</v>
      </c>
      <c r="O97" s="2" t="s">
        <v>1629</v>
      </c>
      <c r="P97" s="9">
        <v>39.27</v>
      </c>
      <c r="Q97" s="9">
        <v>36.0</v>
      </c>
      <c r="R97" s="9">
        <v>0.032967</v>
      </c>
      <c r="S97" s="9">
        <v>0.3657</v>
      </c>
      <c r="T97" s="9">
        <v>0.275</v>
      </c>
      <c r="U97" s="2" t="s">
        <v>2106</v>
      </c>
      <c r="V97" s="9">
        <v>0.0</v>
      </c>
      <c r="W97" s="2" t="s">
        <v>198</v>
      </c>
      <c r="X97" s="2" t="s">
        <v>1466</v>
      </c>
      <c r="Y97" s="2" t="s">
        <v>2109</v>
      </c>
      <c r="Z97" s="9">
        <v>0.3037</v>
      </c>
      <c r="AA97" s="9">
        <v>0.3657</v>
      </c>
      <c r="AB97" s="9">
        <v>0.0</v>
      </c>
      <c r="AC97" s="9">
        <v>0.1176</v>
      </c>
      <c r="AD97" s="9" t="str">
        <f t="shared" si="1"/>
        <v>#REF!</v>
      </c>
    </row>
    <row r="98" hidden="1">
      <c r="A98" s="2" t="s">
        <v>53</v>
      </c>
      <c r="B98" s="2" t="s">
        <v>534</v>
      </c>
      <c r="C98" s="15"/>
      <c r="D98" s="2" t="s">
        <v>64</v>
      </c>
      <c r="E98" s="7" t="b">
        <v>1</v>
      </c>
      <c r="F98" s="9">
        <v>1282.0</v>
      </c>
      <c r="G98" s="9">
        <v>10.1473877259803</v>
      </c>
      <c r="H98" s="9">
        <v>0.0088926677067082</v>
      </c>
      <c r="I98" s="7" t="b">
        <v>1</v>
      </c>
      <c r="J98" s="9">
        <v>0.0</v>
      </c>
      <c r="K98" s="7" t="b">
        <v>0</v>
      </c>
      <c r="L98" s="9">
        <v>325.0</v>
      </c>
      <c r="M98" s="9">
        <v>0.2535</v>
      </c>
      <c r="N98" s="2" t="s">
        <v>2113</v>
      </c>
      <c r="O98" s="2" t="s">
        <v>2034</v>
      </c>
      <c r="P98" s="9">
        <v>63.19</v>
      </c>
      <c r="Q98" s="9">
        <v>47.0</v>
      </c>
      <c r="R98" s="9">
        <v>0.020408</v>
      </c>
      <c r="S98" s="9">
        <v>0.601</v>
      </c>
      <c r="T98" s="9">
        <v>0.8239</v>
      </c>
      <c r="U98" s="2" t="s">
        <v>2116</v>
      </c>
      <c r="V98" s="9">
        <v>0.875</v>
      </c>
      <c r="W98" s="2" t="s">
        <v>1780</v>
      </c>
      <c r="X98" s="2" t="s">
        <v>517</v>
      </c>
      <c r="Y98" s="2" t="s">
        <v>1648</v>
      </c>
      <c r="Z98" s="9">
        <v>0.5138</v>
      </c>
      <c r="AA98" s="9">
        <v>0.601</v>
      </c>
      <c r="AB98" s="9">
        <v>0.875</v>
      </c>
      <c r="AC98" s="9">
        <v>0.2639</v>
      </c>
      <c r="AD98" s="9" t="str">
        <f t="shared" si="1"/>
        <v>#REF!</v>
      </c>
    </row>
    <row r="99" hidden="1">
      <c r="A99" s="2" t="s">
        <v>53</v>
      </c>
      <c r="B99" s="2" t="s">
        <v>542</v>
      </c>
      <c r="C99" s="15"/>
      <c r="D99" s="2" t="s">
        <v>64</v>
      </c>
      <c r="E99" s="7" t="b">
        <v>1</v>
      </c>
      <c r="F99" s="9">
        <v>6030.0</v>
      </c>
      <c r="G99" s="9">
        <v>11.64958522800992</v>
      </c>
      <c r="H99" s="9">
        <v>0.1021924842454394</v>
      </c>
      <c r="I99" s="7" t="b">
        <v>1</v>
      </c>
      <c r="J99" s="9">
        <v>0.0</v>
      </c>
      <c r="K99" s="7" t="b">
        <v>0</v>
      </c>
      <c r="L99" s="9">
        <v>10770.0</v>
      </c>
      <c r="M99" s="9">
        <v>1.7861</v>
      </c>
      <c r="N99" s="2" t="s">
        <v>2121</v>
      </c>
      <c r="O99" s="2" t="s">
        <v>2122</v>
      </c>
      <c r="P99" s="9">
        <v>58.04</v>
      </c>
      <c r="Q99" s="9">
        <v>48.0</v>
      </c>
      <c r="R99" s="9">
        <v>0.007491</v>
      </c>
      <c r="S99" s="9">
        <v>0.9198</v>
      </c>
      <c r="T99" s="9">
        <v>0.7333</v>
      </c>
      <c r="U99" s="2" t="s">
        <v>2048</v>
      </c>
      <c r="V99" s="9">
        <v>0.8452</v>
      </c>
      <c r="W99" s="2" t="s">
        <v>1657</v>
      </c>
      <c r="X99" s="2" t="s">
        <v>517</v>
      </c>
      <c r="Y99" s="2" t="s">
        <v>2125</v>
      </c>
      <c r="Z99" s="9">
        <v>0.8546</v>
      </c>
      <c r="AA99" s="9">
        <v>0.9198</v>
      </c>
      <c r="AB99" s="9">
        <v>0.8452</v>
      </c>
      <c r="AC99" s="9">
        <v>0.2231</v>
      </c>
      <c r="AD99" s="9" t="str">
        <f t="shared" si="1"/>
        <v>#REF!</v>
      </c>
    </row>
    <row r="100" hidden="1">
      <c r="A100" s="2" t="s">
        <v>53</v>
      </c>
      <c r="B100" s="2" t="s">
        <v>856</v>
      </c>
      <c r="C100" s="15"/>
      <c r="D100" s="2" t="s">
        <v>64</v>
      </c>
      <c r="E100" s="7" t="b">
        <v>1</v>
      </c>
      <c r="F100" s="9">
        <v>7214.0</v>
      </c>
      <c r="G100" s="9">
        <v>1.569901677545645</v>
      </c>
      <c r="H100" s="9">
        <v>0.0013553874549487</v>
      </c>
      <c r="I100" s="7" t="b">
        <v>1</v>
      </c>
      <c r="J100" s="9">
        <v>0.0</v>
      </c>
      <c r="K100" s="7" t="b">
        <v>0</v>
      </c>
      <c r="L100" s="9">
        <v>7.0</v>
      </c>
      <c r="M100" s="9">
        <v>0.001</v>
      </c>
      <c r="N100" s="2" t="s">
        <v>175</v>
      </c>
      <c r="O100" s="2" t="s">
        <v>177</v>
      </c>
      <c r="P100" s="9">
        <v>49.14</v>
      </c>
      <c r="Q100" s="9">
        <v>41.0</v>
      </c>
      <c r="R100" s="9">
        <v>0.0</v>
      </c>
      <c r="S100" s="9">
        <v>0.0608</v>
      </c>
      <c r="T100" s="9">
        <v>0.7326</v>
      </c>
      <c r="U100" s="2" t="s">
        <v>2129</v>
      </c>
      <c r="V100" s="15"/>
      <c r="W100" s="2" t="s">
        <v>82</v>
      </c>
      <c r="X100" s="2" t="s">
        <v>182</v>
      </c>
      <c r="Y100" s="2" t="s">
        <v>1498</v>
      </c>
      <c r="Z100" s="9">
        <v>0.0506</v>
      </c>
      <c r="AA100" s="9">
        <v>0.0608</v>
      </c>
      <c r="AB100" s="15"/>
      <c r="AC100" s="9">
        <v>0.8488</v>
      </c>
      <c r="AD100" s="9" t="str">
        <f t="shared" si="1"/>
        <v>#REF!</v>
      </c>
    </row>
    <row r="101" hidden="1">
      <c r="A101" s="2" t="s">
        <v>53</v>
      </c>
      <c r="B101" s="2" t="s">
        <v>963</v>
      </c>
      <c r="C101" s="15"/>
      <c r="D101" s="2" t="s">
        <v>64</v>
      </c>
      <c r="E101" s="7" t="b">
        <v>1</v>
      </c>
      <c r="F101" s="9">
        <v>79.0</v>
      </c>
      <c r="G101" s="9">
        <v>9.415831434354205</v>
      </c>
      <c r="H101" s="9">
        <v>0.002278846835443</v>
      </c>
      <c r="I101" s="7" t="b">
        <v>1</v>
      </c>
      <c r="J101" s="9">
        <v>0.0</v>
      </c>
      <c r="K101" s="7" t="b">
        <v>0</v>
      </c>
      <c r="L101" s="9">
        <v>274.0</v>
      </c>
      <c r="M101" s="9">
        <v>3.4684</v>
      </c>
      <c r="N101" s="2" t="s">
        <v>1948</v>
      </c>
      <c r="O101" s="2" t="s">
        <v>1396</v>
      </c>
      <c r="P101" s="9">
        <v>38.67</v>
      </c>
      <c r="Q101" s="9">
        <v>36.0</v>
      </c>
      <c r="R101" s="9">
        <v>0.0</v>
      </c>
      <c r="S101" s="9">
        <v>0.4199</v>
      </c>
      <c r="T101" s="9">
        <v>0.294</v>
      </c>
      <c r="U101" s="2" t="s">
        <v>2134</v>
      </c>
      <c r="V101" s="9">
        <v>0.0</v>
      </c>
      <c r="W101" s="2" t="s">
        <v>82</v>
      </c>
      <c r="X101" s="2" t="s">
        <v>1466</v>
      </c>
      <c r="Y101" s="2" t="s">
        <v>1564</v>
      </c>
      <c r="Z101" s="9">
        <v>0.3396</v>
      </c>
      <c r="AA101" s="9">
        <v>0.4199</v>
      </c>
      <c r="AB101" s="9">
        <v>0.0</v>
      </c>
      <c r="AC101" s="9">
        <v>0.1436</v>
      </c>
      <c r="AD101" s="9" t="str">
        <f t="shared" si="1"/>
        <v>#REF!</v>
      </c>
    </row>
    <row r="102" hidden="1">
      <c r="A102" s="2" t="s">
        <v>53</v>
      </c>
      <c r="B102" s="2" t="s">
        <v>969</v>
      </c>
      <c r="C102" s="15"/>
      <c r="D102" s="2" t="s">
        <v>64</v>
      </c>
      <c r="E102" s="7" t="b">
        <v>1</v>
      </c>
      <c r="F102" s="9">
        <v>67.0</v>
      </c>
      <c r="G102" s="9">
        <v>13.90563191236164</v>
      </c>
      <c r="H102" s="9">
        <v>0.0021399104477611</v>
      </c>
      <c r="I102" s="7" t="b">
        <v>1</v>
      </c>
      <c r="J102" s="9">
        <v>0.0</v>
      </c>
      <c r="K102" s="7" t="b">
        <v>0</v>
      </c>
      <c r="L102" s="9">
        <v>226.0</v>
      </c>
      <c r="M102" s="9">
        <v>3.3731</v>
      </c>
      <c r="N102" s="2" t="s">
        <v>1525</v>
      </c>
      <c r="O102" s="2" t="s">
        <v>1545</v>
      </c>
      <c r="P102" s="9">
        <v>48.36</v>
      </c>
      <c r="Q102" s="9">
        <v>42.5</v>
      </c>
      <c r="R102" s="9">
        <v>0.017857</v>
      </c>
      <c r="S102" s="9">
        <v>0.5147</v>
      </c>
      <c r="T102" s="9">
        <v>0.6426</v>
      </c>
      <c r="U102" s="2" t="s">
        <v>1434</v>
      </c>
      <c r="V102" s="9">
        <v>0.0</v>
      </c>
      <c r="W102" s="2" t="s">
        <v>2137</v>
      </c>
      <c r="X102" s="2" t="s">
        <v>1466</v>
      </c>
      <c r="Y102" s="2" t="s">
        <v>1582</v>
      </c>
      <c r="Z102" s="9">
        <v>0.4764</v>
      </c>
      <c r="AA102" s="9">
        <v>0.5147</v>
      </c>
      <c r="AB102" s="9">
        <v>0.0</v>
      </c>
      <c r="AC102" s="9">
        <v>0.2078</v>
      </c>
      <c r="AD102" s="9" t="str">
        <f t="shared" si="1"/>
        <v>#REF!</v>
      </c>
    </row>
    <row r="103" hidden="1">
      <c r="A103" s="2" t="s">
        <v>53</v>
      </c>
      <c r="B103" s="2" t="s">
        <v>973</v>
      </c>
      <c r="C103" s="15"/>
      <c r="D103" s="2" t="s">
        <v>64</v>
      </c>
      <c r="E103" s="7" t="b">
        <v>1</v>
      </c>
      <c r="F103" s="9">
        <v>266.0</v>
      </c>
      <c r="G103" s="9">
        <v>8.712004297508328</v>
      </c>
      <c r="H103" s="9">
        <v>0.0082548969924812</v>
      </c>
      <c r="I103" s="7" t="b">
        <v>1</v>
      </c>
      <c r="J103" s="9">
        <v>0.0</v>
      </c>
      <c r="K103" s="7" t="b">
        <v>0</v>
      </c>
      <c r="L103" s="9">
        <v>244.0</v>
      </c>
      <c r="M103" s="9">
        <v>0.9173</v>
      </c>
      <c r="N103" s="2" t="s">
        <v>1525</v>
      </c>
      <c r="O103" s="2" t="s">
        <v>1579</v>
      </c>
      <c r="P103" s="9">
        <v>53.41</v>
      </c>
      <c r="Q103" s="9">
        <v>45.0</v>
      </c>
      <c r="R103" s="9">
        <v>0.018182</v>
      </c>
      <c r="S103" s="9">
        <v>0.5096</v>
      </c>
      <c r="T103" s="9">
        <v>0.6809</v>
      </c>
      <c r="U103" s="2" t="s">
        <v>1416</v>
      </c>
      <c r="V103" s="9">
        <v>0.8555</v>
      </c>
      <c r="W103" s="2" t="s">
        <v>2144</v>
      </c>
      <c r="X103" s="2" t="s">
        <v>517</v>
      </c>
      <c r="Y103" s="2" t="s">
        <v>1593</v>
      </c>
      <c r="Z103" s="9">
        <v>0.4828</v>
      </c>
      <c r="AA103" s="9">
        <v>0.5096</v>
      </c>
      <c r="AB103" s="9">
        <v>0.8555</v>
      </c>
      <c r="AC103" s="9">
        <v>0.2518</v>
      </c>
      <c r="AD103" s="9" t="str">
        <f t="shared" si="1"/>
        <v>#REF!</v>
      </c>
    </row>
    <row r="104" hidden="1">
      <c r="A104" s="2" t="s">
        <v>53</v>
      </c>
      <c r="B104" s="2" t="s">
        <v>982</v>
      </c>
      <c r="C104" s="15"/>
      <c r="D104" s="2" t="s">
        <v>64</v>
      </c>
      <c r="E104" s="7" t="b">
        <v>1</v>
      </c>
      <c r="F104" s="9">
        <v>463.0</v>
      </c>
      <c r="G104" s="9">
        <v>13.17963858738346</v>
      </c>
      <c r="H104" s="9">
        <v>0.037778</v>
      </c>
      <c r="I104" s="7" t="b">
        <v>1</v>
      </c>
      <c r="J104" s="9">
        <v>0.0</v>
      </c>
      <c r="K104" s="7" t="b">
        <v>0</v>
      </c>
      <c r="L104" s="9">
        <v>1306.0</v>
      </c>
      <c r="M104" s="9">
        <v>2.8207</v>
      </c>
      <c r="N104" s="2" t="s">
        <v>2148</v>
      </c>
      <c r="O104" s="2" t="s">
        <v>2149</v>
      </c>
      <c r="P104" s="9">
        <v>59.02</v>
      </c>
      <c r="Q104" s="9">
        <v>49.0</v>
      </c>
      <c r="R104" s="9">
        <v>0.024691</v>
      </c>
      <c r="S104" s="9">
        <v>0.8018</v>
      </c>
      <c r="T104" s="9">
        <v>0.8348</v>
      </c>
      <c r="U104" s="2" t="s">
        <v>1817</v>
      </c>
      <c r="V104" s="9">
        <v>0.853</v>
      </c>
      <c r="W104" s="2" t="s">
        <v>2152</v>
      </c>
      <c r="X104" s="2" t="s">
        <v>237</v>
      </c>
      <c r="Y104" s="2" t="s">
        <v>1752</v>
      </c>
      <c r="Z104" s="9">
        <v>0.6919</v>
      </c>
      <c r="AA104" s="9">
        <v>0.8018</v>
      </c>
      <c r="AB104" s="9">
        <v>0.853</v>
      </c>
      <c r="AC104" s="9">
        <v>0.4105</v>
      </c>
      <c r="AD104" s="9" t="str">
        <f t="shared" si="1"/>
        <v>#REF!</v>
      </c>
    </row>
    <row r="105" hidden="1">
      <c r="A105" s="2" t="s">
        <v>53</v>
      </c>
      <c r="B105" s="2" t="s">
        <v>997</v>
      </c>
      <c r="C105" s="15"/>
      <c r="D105" s="2" t="s">
        <v>64</v>
      </c>
      <c r="E105" s="7" t="b">
        <v>1</v>
      </c>
      <c r="F105" s="9">
        <v>1035.0</v>
      </c>
      <c r="G105" s="9">
        <v>7.796827506627597</v>
      </c>
      <c r="H105" s="9">
        <v>0.0042329185507246</v>
      </c>
      <c r="I105" s="7" t="b">
        <v>1</v>
      </c>
      <c r="J105" s="9">
        <v>0.0</v>
      </c>
      <c r="K105" s="7" t="b">
        <v>0</v>
      </c>
      <c r="L105" s="9">
        <v>186.0</v>
      </c>
      <c r="M105" s="9">
        <v>0.1797</v>
      </c>
      <c r="N105" s="2" t="s">
        <v>309</v>
      </c>
      <c r="O105" s="2" t="s">
        <v>2008</v>
      </c>
      <c r="P105" s="9">
        <v>50.76</v>
      </c>
      <c r="Q105" s="9">
        <v>44.0</v>
      </c>
      <c r="R105" s="9">
        <v>0.030303</v>
      </c>
      <c r="S105" s="9">
        <v>0.6003</v>
      </c>
      <c r="T105" s="9">
        <v>0.8896</v>
      </c>
      <c r="U105" s="2" t="s">
        <v>688</v>
      </c>
      <c r="V105" s="9">
        <v>0.8488</v>
      </c>
      <c r="W105" s="2" t="s">
        <v>157</v>
      </c>
      <c r="X105" s="2" t="s">
        <v>517</v>
      </c>
      <c r="Y105" s="2" t="s">
        <v>2159</v>
      </c>
      <c r="Z105" s="9">
        <v>0.4776</v>
      </c>
      <c r="AA105" s="9">
        <v>0.6003</v>
      </c>
      <c r="AB105" s="9">
        <v>0.8488</v>
      </c>
      <c r="AC105" s="9">
        <v>0.22</v>
      </c>
      <c r="AD105" s="9" t="str">
        <f t="shared" si="1"/>
        <v>#REF!</v>
      </c>
    </row>
    <row r="106" hidden="1">
      <c r="A106" s="2" t="s">
        <v>53</v>
      </c>
      <c r="B106" s="2" t="s">
        <v>1004</v>
      </c>
      <c r="C106" s="15"/>
      <c r="D106" s="2" t="s">
        <v>64</v>
      </c>
      <c r="E106" s="7" t="b">
        <v>1</v>
      </c>
      <c r="F106" s="9">
        <v>215.0</v>
      </c>
      <c r="G106" s="9">
        <v>18.14093816251701</v>
      </c>
      <c r="H106" s="9">
        <v>0.0062014213953488</v>
      </c>
      <c r="I106" s="7" t="b">
        <v>1</v>
      </c>
      <c r="J106" s="9">
        <v>0.0</v>
      </c>
      <c r="K106" s="7" t="b">
        <v>0</v>
      </c>
      <c r="L106" s="9">
        <v>111.0</v>
      </c>
      <c r="M106" s="9">
        <v>0.5163</v>
      </c>
      <c r="N106" s="2" t="s">
        <v>2162</v>
      </c>
      <c r="O106" s="2" t="s">
        <v>1462</v>
      </c>
      <c r="P106" s="9">
        <v>47.43</v>
      </c>
      <c r="Q106" s="9">
        <v>43.0</v>
      </c>
      <c r="R106" s="9">
        <v>0.0</v>
      </c>
      <c r="S106" s="9">
        <v>0.2655</v>
      </c>
      <c r="T106" s="9">
        <v>0.3858</v>
      </c>
      <c r="U106" s="2" t="s">
        <v>2165</v>
      </c>
      <c r="V106" s="9">
        <v>0.0</v>
      </c>
      <c r="W106" s="2" t="s">
        <v>82</v>
      </c>
      <c r="X106" s="2" t="s">
        <v>1466</v>
      </c>
      <c r="Y106" s="2" t="s">
        <v>1564</v>
      </c>
      <c r="Z106" s="9">
        <v>0.2587</v>
      </c>
      <c r="AA106" s="9">
        <v>0.2655</v>
      </c>
      <c r="AB106" s="9">
        <v>0.0</v>
      </c>
      <c r="AC106" s="9">
        <v>0.1837</v>
      </c>
      <c r="AD106" s="9" t="str">
        <f t="shared" si="1"/>
        <v>#REF!</v>
      </c>
    </row>
    <row r="107" hidden="1">
      <c r="A107" s="2" t="s">
        <v>53</v>
      </c>
      <c r="B107" s="2" t="s">
        <v>1009</v>
      </c>
      <c r="C107" s="15"/>
      <c r="D107" s="2" t="s">
        <v>64</v>
      </c>
      <c r="E107" s="7" t="b">
        <v>1</v>
      </c>
      <c r="F107" s="9">
        <v>89.0</v>
      </c>
      <c r="G107" s="9">
        <v>24.68752919571788</v>
      </c>
      <c r="H107" s="9">
        <v>0.0147067797752808</v>
      </c>
      <c r="I107" s="7" t="b">
        <v>1</v>
      </c>
      <c r="J107" s="9">
        <v>0.0</v>
      </c>
      <c r="K107" s="7" t="b">
        <v>0</v>
      </c>
      <c r="L107" s="9">
        <v>121.0</v>
      </c>
      <c r="M107" s="9">
        <v>1.3596</v>
      </c>
      <c r="N107" s="2" t="s">
        <v>2007</v>
      </c>
      <c r="O107" s="2" t="s">
        <v>2172</v>
      </c>
      <c r="P107" s="9">
        <v>52.77</v>
      </c>
      <c r="Q107" s="9">
        <v>37.0</v>
      </c>
      <c r="R107" s="9">
        <v>0.037037</v>
      </c>
      <c r="S107" s="9">
        <v>0.396</v>
      </c>
      <c r="T107" s="9">
        <v>0.6729</v>
      </c>
      <c r="U107" s="2" t="s">
        <v>1636</v>
      </c>
      <c r="V107" s="9">
        <v>0.0</v>
      </c>
      <c r="W107" s="2" t="s">
        <v>1591</v>
      </c>
      <c r="X107" s="2" t="s">
        <v>517</v>
      </c>
      <c r="Y107" s="2" t="s">
        <v>2176</v>
      </c>
      <c r="Z107" s="9">
        <v>0.3184</v>
      </c>
      <c r="AA107" s="9">
        <v>0.396</v>
      </c>
      <c r="AB107" s="9">
        <v>0.0</v>
      </c>
      <c r="AC107" s="9">
        <v>0.696</v>
      </c>
      <c r="AD107" s="9" t="str">
        <f t="shared" si="1"/>
        <v>#REF!</v>
      </c>
    </row>
    <row r="108" hidden="1">
      <c r="A108" s="2" t="s">
        <v>53</v>
      </c>
      <c r="B108" s="2" t="s">
        <v>1015</v>
      </c>
      <c r="C108" s="15"/>
      <c r="D108" s="2" t="s">
        <v>64</v>
      </c>
      <c r="E108" s="7" t="b">
        <v>1</v>
      </c>
      <c r="F108" s="9">
        <v>854.0</v>
      </c>
      <c r="G108" s="9">
        <v>30.75154217010478</v>
      </c>
      <c r="H108" s="9">
        <v>0.1897349297423887</v>
      </c>
      <c r="I108" s="7" t="b">
        <v>1</v>
      </c>
      <c r="J108" s="9">
        <v>0.0</v>
      </c>
      <c r="K108" s="7" t="b">
        <v>0</v>
      </c>
      <c r="L108" s="9">
        <v>751.0</v>
      </c>
      <c r="M108" s="9">
        <v>0.8794</v>
      </c>
      <c r="N108" s="2" t="s">
        <v>2179</v>
      </c>
      <c r="O108" s="2" t="s">
        <v>2181</v>
      </c>
      <c r="P108" s="9">
        <v>70.52</v>
      </c>
      <c r="Q108" s="9">
        <v>58.0</v>
      </c>
      <c r="R108" s="9">
        <v>0.028302</v>
      </c>
      <c r="S108" s="9">
        <v>0.7808</v>
      </c>
      <c r="T108" s="9">
        <v>0.9512</v>
      </c>
      <c r="U108" s="2" t="s">
        <v>315</v>
      </c>
      <c r="V108" s="9">
        <v>0.7796</v>
      </c>
      <c r="W108" s="2" t="s">
        <v>134</v>
      </c>
      <c r="X108" s="2" t="s">
        <v>237</v>
      </c>
      <c r="Y108" s="2" t="s">
        <v>1703</v>
      </c>
      <c r="Z108" s="9">
        <v>0.6219</v>
      </c>
      <c r="AA108" s="9">
        <v>0.7808</v>
      </c>
      <c r="AB108" s="9">
        <v>0.7796</v>
      </c>
      <c r="AC108" s="9">
        <v>0.8559</v>
      </c>
      <c r="AD108" s="9" t="str">
        <f t="shared" si="1"/>
        <v>#REF!</v>
      </c>
    </row>
    <row r="109" hidden="1">
      <c r="A109" s="2" t="s">
        <v>53</v>
      </c>
      <c r="B109" s="2" t="s">
        <v>1019</v>
      </c>
      <c r="C109" s="15"/>
      <c r="D109" s="2" t="s">
        <v>64</v>
      </c>
      <c r="E109" s="7" t="b">
        <v>1</v>
      </c>
      <c r="F109" s="9">
        <v>626.0</v>
      </c>
      <c r="G109" s="9">
        <v>5.851421411672591</v>
      </c>
      <c r="H109" s="9">
        <v>0.0090958083067092</v>
      </c>
      <c r="I109" s="7" t="b">
        <v>1</v>
      </c>
      <c r="J109" s="9">
        <v>0.0</v>
      </c>
      <c r="K109" s="7" t="b">
        <v>0</v>
      </c>
      <c r="L109" s="9">
        <v>4368.0</v>
      </c>
      <c r="M109" s="9">
        <v>6.9776</v>
      </c>
      <c r="N109" s="2" t="s">
        <v>2186</v>
      </c>
      <c r="O109" s="2" t="s">
        <v>2187</v>
      </c>
      <c r="P109" s="9">
        <v>65.08</v>
      </c>
      <c r="Q109" s="9">
        <v>58.0</v>
      </c>
      <c r="R109" s="9">
        <v>0.025185</v>
      </c>
      <c r="S109" s="9">
        <v>0.7602</v>
      </c>
      <c r="T109" s="9">
        <v>0.4734</v>
      </c>
      <c r="U109" s="2" t="s">
        <v>1434</v>
      </c>
      <c r="V109" s="9">
        <v>0.8389</v>
      </c>
      <c r="W109" s="2" t="s">
        <v>1124</v>
      </c>
      <c r="X109" s="2" t="s">
        <v>517</v>
      </c>
      <c r="Y109" s="2" t="s">
        <v>1593</v>
      </c>
      <c r="Z109" s="9">
        <v>0.7061</v>
      </c>
      <c r="AA109" s="9">
        <v>0.7602</v>
      </c>
      <c r="AB109" s="9">
        <v>0.8389</v>
      </c>
      <c r="AC109" s="9">
        <v>0.2232</v>
      </c>
      <c r="AD109" s="9" t="str">
        <f t="shared" si="1"/>
        <v>#REF!</v>
      </c>
    </row>
    <row r="110" hidden="1">
      <c r="A110" s="2" t="s">
        <v>53</v>
      </c>
      <c r="B110" s="2" t="s">
        <v>1027</v>
      </c>
      <c r="C110" s="15"/>
      <c r="D110" s="2" t="s">
        <v>64</v>
      </c>
      <c r="E110" s="7" t="b">
        <v>1</v>
      </c>
      <c r="F110" s="9">
        <v>228.0</v>
      </c>
      <c r="G110" s="9">
        <v>24.57639012426964</v>
      </c>
      <c r="H110" s="9">
        <v>0.0142984175438596</v>
      </c>
      <c r="I110" s="7" t="b">
        <v>1</v>
      </c>
      <c r="J110" s="9">
        <v>0.0</v>
      </c>
      <c r="K110" s="7" t="b">
        <v>0</v>
      </c>
      <c r="L110" s="9">
        <v>146.0</v>
      </c>
      <c r="M110" s="9">
        <v>0.6404</v>
      </c>
      <c r="N110" s="2" t="s">
        <v>1934</v>
      </c>
      <c r="O110" s="2" t="s">
        <v>1539</v>
      </c>
      <c r="P110" s="9">
        <v>46.23</v>
      </c>
      <c r="Q110" s="9">
        <v>38.0</v>
      </c>
      <c r="R110" s="9">
        <v>0.0</v>
      </c>
      <c r="S110" s="9">
        <v>0.35</v>
      </c>
      <c r="T110" s="9">
        <v>0.4518</v>
      </c>
      <c r="U110" s="2" t="s">
        <v>2193</v>
      </c>
      <c r="V110" s="9">
        <v>0.0</v>
      </c>
      <c r="W110" s="2" t="s">
        <v>82</v>
      </c>
      <c r="X110" s="2" t="s">
        <v>1466</v>
      </c>
      <c r="Y110" s="2" t="s">
        <v>1564</v>
      </c>
      <c r="Z110" s="9">
        <v>0.2693</v>
      </c>
      <c r="AA110" s="9">
        <v>0.35</v>
      </c>
      <c r="AB110" s="9">
        <v>0.0</v>
      </c>
      <c r="AC110" s="9">
        <v>0.1345</v>
      </c>
      <c r="AD110" s="9" t="str">
        <f t="shared" si="1"/>
        <v>#REF!</v>
      </c>
    </row>
    <row r="111" hidden="1">
      <c r="A111" s="2" t="s">
        <v>53</v>
      </c>
      <c r="B111" s="2" t="s">
        <v>1093</v>
      </c>
      <c r="C111" s="15"/>
      <c r="D111" s="2" t="s">
        <v>64</v>
      </c>
      <c r="E111" s="7" t="b">
        <v>1</v>
      </c>
      <c r="F111" s="9">
        <v>56.0</v>
      </c>
      <c r="G111" s="9">
        <v>11.54346428122464</v>
      </c>
      <c r="H111" s="9">
        <v>0.0091862</v>
      </c>
      <c r="I111" s="7" t="b">
        <v>1</v>
      </c>
      <c r="J111" s="9">
        <v>0.0</v>
      </c>
      <c r="K111" s="7" t="b">
        <v>0</v>
      </c>
      <c r="L111" s="9">
        <v>1623.0</v>
      </c>
      <c r="M111" s="9">
        <v>28.9821</v>
      </c>
      <c r="N111" s="2" t="s">
        <v>2197</v>
      </c>
      <c r="O111" s="2" t="s">
        <v>1725</v>
      </c>
      <c r="P111" s="9">
        <v>50.91</v>
      </c>
      <c r="Q111" s="9">
        <v>45.0</v>
      </c>
      <c r="R111" s="9">
        <v>0.018182</v>
      </c>
      <c r="S111" s="9">
        <v>0.2529</v>
      </c>
      <c r="T111" s="9">
        <v>0.0627</v>
      </c>
      <c r="U111" s="2" t="s">
        <v>2198</v>
      </c>
      <c r="V111" s="9">
        <v>0.8634</v>
      </c>
      <c r="W111" s="2" t="s">
        <v>1094</v>
      </c>
      <c r="X111" s="2" t="s">
        <v>517</v>
      </c>
      <c r="Y111" s="2" t="s">
        <v>1593</v>
      </c>
      <c r="Z111" s="9">
        <v>0.1624</v>
      </c>
      <c r="AA111" s="9">
        <v>0.2529</v>
      </c>
      <c r="AB111" s="9">
        <v>0.8634</v>
      </c>
      <c r="AC111" s="9">
        <v>0.1422</v>
      </c>
      <c r="AD111" s="9" t="str">
        <f t="shared" si="1"/>
        <v>#REF!</v>
      </c>
    </row>
    <row r="112" hidden="1">
      <c r="A112" s="2" t="s">
        <v>366</v>
      </c>
      <c r="B112" s="2" t="s">
        <v>1015</v>
      </c>
      <c r="C112" s="15"/>
      <c r="D112" s="2" t="s">
        <v>64</v>
      </c>
      <c r="E112" s="7" t="b">
        <v>1</v>
      </c>
      <c r="F112" s="9">
        <v>61.0</v>
      </c>
      <c r="G112" s="9">
        <v>27.89180666400672</v>
      </c>
      <c r="H112" s="9">
        <v>0.0117913573770491</v>
      </c>
      <c r="I112" s="7" t="b">
        <v>1</v>
      </c>
      <c r="J112" s="9">
        <v>0.0</v>
      </c>
      <c r="K112" s="7" t="b">
        <v>0</v>
      </c>
      <c r="L112" s="9">
        <v>67.0</v>
      </c>
      <c r="M112" s="9">
        <v>1.0984</v>
      </c>
      <c r="N112" s="2" t="s">
        <v>1460</v>
      </c>
      <c r="O112" s="2" t="s">
        <v>1912</v>
      </c>
      <c r="P112" s="9">
        <v>63.42</v>
      </c>
      <c r="Q112" s="9">
        <v>63.0</v>
      </c>
      <c r="R112" s="9">
        <v>0.0</v>
      </c>
      <c r="S112" s="9">
        <v>0.5252</v>
      </c>
      <c r="T112" s="9">
        <v>1.0007</v>
      </c>
      <c r="U112" s="2" t="s">
        <v>2203</v>
      </c>
      <c r="V112" s="15"/>
      <c r="W112" s="2" t="s">
        <v>82</v>
      </c>
      <c r="X112" s="2" t="s">
        <v>1621</v>
      </c>
      <c r="Y112" s="2" t="s">
        <v>2057</v>
      </c>
      <c r="Z112" s="9">
        <v>0.4092</v>
      </c>
      <c r="AA112" s="9">
        <v>0.5252</v>
      </c>
      <c r="AB112" s="15"/>
      <c r="AC112" s="9">
        <v>0.8736</v>
      </c>
      <c r="AD112" s="9" t="str">
        <f t="shared" si="1"/>
        <v>#REF!</v>
      </c>
    </row>
    <row r="113" hidden="1">
      <c r="A113" s="2" t="s">
        <v>374</v>
      </c>
      <c r="B113" s="2" t="s">
        <v>997</v>
      </c>
      <c r="C113" s="15"/>
      <c r="D113" s="2" t="s">
        <v>64</v>
      </c>
      <c r="E113" s="7" t="b">
        <v>1</v>
      </c>
      <c r="F113" s="9">
        <v>135.0</v>
      </c>
      <c r="G113" s="9">
        <v>24.61867982995978</v>
      </c>
      <c r="H113" s="9">
        <v>0.005521037037037</v>
      </c>
      <c r="I113" s="7" t="b">
        <v>1</v>
      </c>
      <c r="J113" s="9">
        <v>0.0</v>
      </c>
      <c r="K113" s="7" t="b">
        <v>0</v>
      </c>
      <c r="L113" s="9">
        <v>93.0</v>
      </c>
      <c r="M113" s="9">
        <v>0.6889</v>
      </c>
      <c r="N113" s="2" t="s">
        <v>1551</v>
      </c>
      <c r="O113" s="2" t="s">
        <v>1890</v>
      </c>
      <c r="P113" s="9">
        <v>58.23</v>
      </c>
      <c r="Q113" s="9">
        <v>57.0</v>
      </c>
      <c r="R113" s="9">
        <v>0.0</v>
      </c>
      <c r="S113" s="9">
        <v>0.5576</v>
      </c>
      <c r="T113" s="9">
        <v>1.0008</v>
      </c>
      <c r="U113" s="2" t="s">
        <v>572</v>
      </c>
      <c r="V113" s="15"/>
      <c r="W113" s="2" t="s">
        <v>82</v>
      </c>
      <c r="X113" s="2" t="s">
        <v>1621</v>
      </c>
      <c r="Y113" s="2" t="s">
        <v>2057</v>
      </c>
      <c r="Z113" s="9">
        <v>0.4356</v>
      </c>
      <c r="AA113" s="9">
        <v>0.5576</v>
      </c>
      <c r="AB113" s="15"/>
      <c r="AC113" s="9">
        <v>0.6896</v>
      </c>
      <c r="AD113" s="9" t="str">
        <f t="shared" si="1"/>
        <v>#REF!</v>
      </c>
    </row>
    <row r="114" hidden="1">
      <c r="A114" s="2" t="s">
        <v>529</v>
      </c>
      <c r="B114" s="2" t="s">
        <v>856</v>
      </c>
      <c r="C114" s="15"/>
      <c r="D114" s="2" t="s">
        <v>64</v>
      </c>
      <c r="E114" s="7" t="b">
        <v>1</v>
      </c>
      <c r="F114" s="9">
        <v>296.0</v>
      </c>
      <c r="G114" s="9">
        <v>7.587259457103832</v>
      </c>
      <c r="H114" s="9">
        <v>0.0013077364864864</v>
      </c>
      <c r="I114" s="7" t="b">
        <v>1</v>
      </c>
      <c r="J114" s="9">
        <v>0.0</v>
      </c>
      <c r="K114" s="7" t="b">
        <v>0</v>
      </c>
      <c r="L114" s="9">
        <v>0.0</v>
      </c>
      <c r="M114" s="9">
        <v>0.0</v>
      </c>
      <c r="N114" s="15"/>
      <c r="O114" s="15"/>
      <c r="P114" s="15"/>
      <c r="Q114" s="15"/>
      <c r="R114" s="15"/>
      <c r="S114" s="9">
        <v>0.0</v>
      </c>
      <c r="T114" s="9">
        <v>0.0</v>
      </c>
      <c r="U114" s="15"/>
      <c r="V114" s="15"/>
      <c r="W114" s="2" t="s">
        <v>82</v>
      </c>
      <c r="X114" s="2" t="s">
        <v>1787</v>
      </c>
      <c r="Y114" s="2" t="s">
        <v>2211</v>
      </c>
      <c r="Z114" s="9">
        <v>0.0</v>
      </c>
      <c r="AA114" s="9">
        <v>0.0</v>
      </c>
      <c r="AB114" s="15"/>
      <c r="AC114" s="15"/>
      <c r="AD114" s="9" t="str">
        <f t="shared" si="1"/>
        <v>#REF!</v>
      </c>
    </row>
    <row r="115" hidden="1">
      <c r="A115" s="2" t="s">
        <v>529</v>
      </c>
      <c r="B115" s="2" t="s">
        <v>963</v>
      </c>
      <c r="C115" s="15"/>
      <c r="D115" s="2" t="s">
        <v>64</v>
      </c>
      <c r="E115" s="7" t="b">
        <v>1</v>
      </c>
      <c r="F115" s="9">
        <v>297.0</v>
      </c>
      <c r="G115" s="9">
        <v>9.98128413123819</v>
      </c>
      <c r="H115" s="9">
        <v>0.0095614387205387</v>
      </c>
      <c r="I115" s="7" t="b">
        <v>1</v>
      </c>
      <c r="J115" s="9">
        <v>0.0</v>
      </c>
      <c r="K115" s="7" t="b">
        <v>0</v>
      </c>
      <c r="L115" s="9">
        <v>276.0</v>
      </c>
      <c r="M115" s="9">
        <v>0.9293</v>
      </c>
      <c r="N115" s="2" t="s">
        <v>2214</v>
      </c>
      <c r="O115" s="2" t="s">
        <v>1598</v>
      </c>
      <c r="P115" s="9">
        <v>43.54</v>
      </c>
      <c r="Q115" s="9">
        <v>39.0</v>
      </c>
      <c r="R115" s="9">
        <v>0.0</v>
      </c>
      <c r="S115" s="9">
        <v>0.5343</v>
      </c>
      <c r="T115" s="9">
        <v>0.8107</v>
      </c>
      <c r="U115" s="2" t="s">
        <v>1165</v>
      </c>
      <c r="V115" s="9">
        <v>0.0</v>
      </c>
      <c r="W115" s="2" t="s">
        <v>82</v>
      </c>
      <c r="X115" s="2" t="s">
        <v>495</v>
      </c>
      <c r="Y115" s="2" t="s">
        <v>1408</v>
      </c>
      <c r="Z115" s="9">
        <v>0.5105</v>
      </c>
      <c r="AA115" s="9">
        <v>0.5343</v>
      </c>
      <c r="AB115" s="9">
        <v>0.0</v>
      </c>
      <c r="AC115" s="9">
        <v>0.7271</v>
      </c>
      <c r="AD115" s="9" t="str">
        <f t="shared" si="1"/>
        <v>#REF!</v>
      </c>
    </row>
    <row r="116" hidden="1">
      <c r="A116" s="2" t="s">
        <v>529</v>
      </c>
      <c r="B116" s="2" t="s">
        <v>1031</v>
      </c>
      <c r="C116" s="15"/>
      <c r="D116" s="2" t="s">
        <v>64</v>
      </c>
      <c r="E116" s="7" t="b">
        <v>1</v>
      </c>
      <c r="F116" s="9">
        <v>100.0</v>
      </c>
      <c r="G116" s="9">
        <v>14.43507855975245</v>
      </c>
      <c r="H116" s="9">
        <v>0.005305762</v>
      </c>
      <c r="I116" s="7" t="b">
        <v>1</v>
      </c>
      <c r="J116" s="9">
        <v>0.0</v>
      </c>
      <c r="K116" s="7" t="b">
        <v>0</v>
      </c>
      <c r="L116" s="9">
        <v>68.0</v>
      </c>
      <c r="M116" s="9">
        <v>0.68</v>
      </c>
      <c r="N116" s="2" t="s">
        <v>1460</v>
      </c>
      <c r="O116" s="2" t="s">
        <v>1912</v>
      </c>
      <c r="P116" s="9">
        <v>48.06</v>
      </c>
      <c r="Q116" s="9">
        <v>40.5</v>
      </c>
      <c r="R116" s="9">
        <v>0.2</v>
      </c>
      <c r="S116" s="9">
        <v>0.5379</v>
      </c>
      <c r="T116" s="9">
        <v>0.9913</v>
      </c>
      <c r="U116" s="2" t="s">
        <v>2219</v>
      </c>
      <c r="V116" s="9">
        <v>0.0</v>
      </c>
      <c r="W116" s="2" t="s">
        <v>82</v>
      </c>
      <c r="X116" s="2" t="s">
        <v>237</v>
      </c>
      <c r="Y116" s="2" t="s">
        <v>1810</v>
      </c>
      <c r="Z116" s="9">
        <v>0.4202</v>
      </c>
      <c r="AA116" s="9">
        <v>0.5379</v>
      </c>
      <c r="AB116" s="9">
        <v>0.0</v>
      </c>
      <c r="AC116" s="9">
        <v>0.852</v>
      </c>
      <c r="AD116" s="9" t="str">
        <f t="shared" si="1"/>
        <v>#REF!</v>
      </c>
    </row>
    <row r="117" hidden="1">
      <c r="A117" s="2" t="s">
        <v>533</v>
      </c>
      <c r="B117" s="2" t="s">
        <v>963</v>
      </c>
      <c r="C117" s="15"/>
      <c r="D117" s="2" t="s">
        <v>64</v>
      </c>
      <c r="E117" s="7" t="b">
        <v>1</v>
      </c>
      <c r="F117" s="9">
        <v>74.0</v>
      </c>
      <c r="G117" s="9">
        <v>11.44733806782261</v>
      </c>
      <c r="H117" s="9">
        <v>0.0031542081081081</v>
      </c>
      <c r="I117" s="7" t="b">
        <v>1</v>
      </c>
      <c r="J117" s="9">
        <v>0.0</v>
      </c>
      <c r="K117" s="7" t="b">
        <v>0</v>
      </c>
      <c r="L117" s="9">
        <v>81.0</v>
      </c>
      <c r="M117" s="9">
        <v>1.0946</v>
      </c>
      <c r="N117" s="2" t="s">
        <v>1460</v>
      </c>
      <c r="O117" s="2" t="s">
        <v>1912</v>
      </c>
      <c r="P117" s="9">
        <v>42.7</v>
      </c>
      <c r="Q117" s="9">
        <v>39.0</v>
      </c>
      <c r="R117" s="9">
        <v>0.0</v>
      </c>
      <c r="S117" s="9">
        <v>0.562</v>
      </c>
      <c r="T117" s="9">
        <v>0.9915</v>
      </c>
      <c r="U117" s="2" t="s">
        <v>688</v>
      </c>
      <c r="V117" s="15"/>
      <c r="W117" s="2" t="s">
        <v>82</v>
      </c>
      <c r="X117" s="2" t="s">
        <v>1621</v>
      </c>
      <c r="Y117" s="2" t="s">
        <v>2057</v>
      </c>
      <c r="Z117" s="9">
        <v>0.4351</v>
      </c>
      <c r="AA117" s="9">
        <v>0.562</v>
      </c>
      <c r="AB117" s="15"/>
      <c r="AC117" s="9">
        <v>0.3651</v>
      </c>
      <c r="AD117" s="9" t="str">
        <f t="shared" si="1"/>
        <v>#REF!</v>
      </c>
    </row>
    <row r="118" hidden="1">
      <c r="A118" s="2" t="s">
        <v>539</v>
      </c>
      <c r="B118" s="2" t="s">
        <v>163</v>
      </c>
      <c r="C118" s="15"/>
      <c r="D118" s="2" t="s">
        <v>64</v>
      </c>
      <c r="E118" s="7" t="b">
        <v>1</v>
      </c>
      <c r="F118" s="9">
        <v>5.0</v>
      </c>
      <c r="G118" s="9">
        <v>10.84279498977302</v>
      </c>
      <c r="H118" s="9">
        <v>0.00904392</v>
      </c>
      <c r="I118" s="7" t="b">
        <v>1</v>
      </c>
      <c r="J118" s="9">
        <v>0.0</v>
      </c>
      <c r="K118" s="7" t="b">
        <v>0</v>
      </c>
      <c r="L118" s="9">
        <v>8.0</v>
      </c>
      <c r="M118" s="9">
        <v>1.6</v>
      </c>
      <c r="N118" s="2" t="s">
        <v>1934</v>
      </c>
      <c r="O118" s="2" t="s">
        <v>532</v>
      </c>
      <c r="P118" s="9">
        <v>57.25</v>
      </c>
      <c r="Q118" s="9">
        <v>49.0</v>
      </c>
      <c r="R118" s="9">
        <v>0.0</v>
      </c>
      <c r="S118" s="9">
        <v>0.415</v>
      </c>
      <c r="T118" s="9">
        <v>1.0015</v>
      </c>
      <c r="U118" s="2" t="s">
        <v>1995</v>
      </c>
      <c r="V118" s="15"/>
      <c r="W118" s="2" t="s">
        <v>82</v>
      </c>
      <c r="X118" s="2" t="s">
        <v>1621</v>
      </c>
      <c r="Y118" s="2" t="s">
        <v>1622</v>
      </c>
      <c r="Z118" s="9">
        <v>0.2843</v>
      </c>
      <c r="AA118" s="9">
        <v>0.415</v>
      </c>
      <c r="AB118" s="15"/>
      <c r="AC118" s="9">
        <v>0.55</v>
      </c>
      <c r="AD118" s="9" t="str">
        <f t="shared" si="1"/>
        <v>#REF!</v>
      </c>
    </row>
    <row r="119" hidden="1">
      <c r="A119" s="2" t="s">
        <v>539</v>
      </c>
      <c r="B119" s="2" t="s">
        <v>856</v>
      </c>
      <c r="C119" s="15"/>
      <c r="D119" s="2" t="s">
        <v>64</v>
      </c>
      <c r="E119" s="7" t="b">
        <v>1</v>
      </c>
      <c r="F119" s="9">
        <v>325.0</v>
      </c>
      <c r="G119" s="9">
        <v>7.924321901945477</v>
      </c>
      <c r="H119" s="9">
        <v>0.0015659673846153</v>
      </c>
      <c r="I119" s="7" t="b">
        <v>1</v>
      </c>
      <c r="J119" s="9">
        <v>0.0</v>
      </c>
      <c r="K119" s="7" t="b">
        <v>0</v>
      </c>
      <c r="L119" s="9">
        <v>0.0</v>
      </c>
      <c r="M119" s="9">
        <v>0.0</v>
      </c>
      <c r="N119" s="15"/>
      <c r="O119" s="15"/>
      <c r="P119" s="15"/>
      <c r="Q119" s="15"/>
      <c r="R119" s="15"/>
      <c r="S119" s="9">
        <v>0.0</v>
      </c>
      <c r="T119" s="9">
        <v>0.0</v>
      </c>
      <c r="U119" s="15"/>
      <c r="V119" s="15"/>
      <c r="W119" s="2" t="s">
        <v>82</v>
      </c>
      <c r="X119" s="2" t="s">
        <v>1787</v>
      </c>
      <c r="Y119" s="2" t="s">
        <v>2211</v>
      </c>
      <c r="Z119" s="9">
        <v>0.0</v>
      </c>
      <c r="AA119" s="9">
        <v>0.0</v>
      </c>
      <c r="AB119" s="15"/>
      <c r="AC119" s="15"/>
      <c r="AD119" s="9" t="str">
        <f t="shared" si="1"/>
        <v>#REF!</v>
      </c>
    </row>
    <row r="120" hidden="1">
      <c r="A120" s="2" t="s">
        <v>539</v>
      </c>
      <c r="B120" s="2" t="s">
        <v>963</v>
      </c>
      <c r="C120" s="15"/>
      <c r="D120" s="2" t="s">
        <v>64</v>
      </c>
      <c r="E120" s="7" t="b">
        <v>1</v>
      </c>
      <c r="F120" s="9">
        <v>268.0</v>
      </c>
      <c r="G120" s="9">
        <v>10.16927910025083</v>
      </c>
      <c r="H120" s="9">
        <v>0.0089622761194029</v>
      </c>
      <c r="I120" s="7" t="b">
        <v>1</v>
      </c>
      <c r="J120" s="9">
        <v>0.0</v>
      </c>
      <c r="K120" s="7" t="b">
        <v>0</v>
      </c>
      <c r="L120" s="9">
        <v>273.0</v>
      </c>
      <c r="M120" s="9">
        <v>1.0187</v>
      </c>
      <c r="N120" s="2" t="s">
        <v>2235</v>
      </c>
      <c r="O120" s="2" t="s">
        <v>1598</v>
      </c>
      <c r="P120" s="9">
        <v>45.37</v>
      </c>
      <c r="Q120" s="9">
        <v>42.0</v>
      </c>
      <c r="R120" s="9">
        <v>0.0</v>
      </c>
      <c r="S120" s="9">
        <v>0.535</v>
      </c>
      <c r="T120" s="9">
        <v>0.787</v>
      </c>
      <c r="U120" s="2" t="s">
        <v>1636</v>
      </c>
      <c r="V120" s="9">
        <v>0.0</v>
      </c>
      <c r="W120" s="2" t="s">
        <v>82</v>
      </c>
      <c r="X120" s="2" t="s">
        <v>517</v>
      </c>
      <c r="Y120" s="2" t="s">
        <v>1368</v>
      </c>
      <c r="Z120" s="9">
        <v>0.5072</v>
      </c>
      <c r="AA120" s="9">
        <v>0.535</v>
      </c>
      <c r="AB120" s="9">
        <v>0.0</v>
      </c>
      <c r="AC120" s="9">
        <v>0.7864</v>
      </c>
      <c r="AD120" s="9" t="str">
        <f t="shared" si="1"/>
        <v>#REF!</v>
      </c>
    </row>
    <row r="121" hidden="1">
      <c r="A121" s="2" t="s">
        <v>539</v>
      </c>
      <c r="B121" s="2" t="s">
        <v>1027</v>
      </c>
      <c r="C121" s="15"/>
      <c r="D121" s="2" t="s">
        <v>64</v>
      </c>
      <c r="E121" s="7" t="b">
        <v>1</v>
      </c>
      <c r="F121" s="9">
        <v>1887.0</v>
      </c>
      <c r="G121" s="9">
        <v>7.186937239310658</v>
      </c>
      <c r="H121" s="9">
        <v>0.0100379607843137</v>
      </c>
      <c r="I121" s="7" t="b">
        <v>1</v>
      </c>
      <c r="J121" s="9">
        <v>0.0</v>
      </c>
      <c r="K121" s="7" t="b">
        <v>0</v>
      </c>
      <c r="L121" s="9">
        <v>936.0</v>
      </c>
      <c r="M121" s="9">
        <v>0.496</v>
      </c>
      <c r="N121" s="2" t="s">
        <v>2239</v>
      </c>
      <c r="O121" s="2" t="s">
        <v>2240</v>
      </c>
      <c r="P121" s="9">
        <v>43.84</v>
      </c>
      <c r="Q121" s="9">
        <v>40.0</v>
      </c>
      <c r="R121" s="9">
        <v>0.029703</v>
      </c>
      <c r="S121" s="9">
        <v>0.8118</v>
      </c>
      <c r="T121" s="9">
        <v>0.941</v>
      </c>
      <c r="U121" s="2" t="s">
        <v>2165</v>
      </c>
      <c r="V121" s="9">
        <v>0.8897</v>
      </c>
      <c r="W121" s="2" t="s">
        <v>82</v>
      </c>
      <c r="X121" s="2" t="s">
        <v>237</v>
      </c>
      <c r="Y121" s="2" t="s">
        <v>2242</v>
      </c>
      <c r="Z121" s="9">
        <v>0.6693</v>
      </c>
      <c r="AA121" s="9">
        <v>0.8118</v>
      </c>
      <c r="AB121" s="9">
        <v>0.8897</v>
      </c>
      <c r="AC121" s="9">
        <v>0.2183</v>
      </c>
      <c r="AD121" s="9" t="str">
        <f t="shared" si="1"/>
        <v>#REF!</v>
      </c>
    </row>
    <row r="122" hidden="1">
      <c r="A122" s="2" t="s">
        <v>539</v>
      </c>
      <c r="B122" s="2" t="s">
        <v>1031</v>
      </c>
      <c r="C122" s="15"/>
      <c r="D122" s="2" t="s">
        <v>64</v>
      </c>
      <c r="E122" s="7" t="b">
        <v>1</v>
      </c>
      <c r="F122" s="9">
        <v>84.0</v>
      </c>
      <c r="G122" s="9">
        <v>10.70206404192935</v>
      </c>
      <c r="H122" s="9">
        <v>0.0024523952380952</v>
      </c>
      <c r="I122" s="7" t="b">
        <v>1</v>
      </c>
      <c r="J122" s="9">
        <v>0.0</v>
      </c>
      <c r="K122" s="7" t="b">
        <v>0</v>
      </c>
      <c r="L122" s="9">
        <v>56.0</v>
      </c>
      <c r="M122" s="9">
        <v>0.6667</v>
      </c>
      <c r="N122" s="2" t="s">
        <v>400</v>
      </c>
      <c r="O122" s="2" t="s">
        <v>402</v>
      </c>
      <c r="P122" s="9">
        <v>48.11</v>
      </c>
      <c r="Q122" s="9">
        <v>45.5</v>
      </c>
      <c r="R122" s="9">
        <v>0.0</v>
      </c>
      <c r="S122" s="9">
        <v>0.5233</v>
      </c>
      <c r="T122" s="9">
        <v>1.0006</v>
      </c>
      <c r="U122" s="2" t="s">
        <v>1496</v>
      </c>
      <c r="V122" s="9">
        <v>0.0</v>
      </c>
      <c r="W122" s="2" t="s">
        <v>1193</v>
      </c>
      <c r="X122" s="2" t="s">
        <v>517</v>
      </c>
      <c r="Y122" s="2" t="s">
        <v>1375</v>
      </c>
      <c r="Z122" s="9">
        <v>0.4028</v>
      </c>
      <c r="AA122" s="9">
        <v>0.5233</v>
      </c>
      <c r="AB122" s="9">
        <v>0.0</v>
      </c>
      <c r="AC122" s="9">
        <v>0.7368</v>
      </c>
      <c r="AD122" s="9" t="str">
        <f t="shared" si="1"/>
        <v>#REF!</v>
      </c>
    </row>
    <row r="123" hidden="1">
      <c r="A123" s="2" t="s">
        <v>543</v>
      </c>
      <c r="B123" s="2" t="s">
        <v>163</v>
      </c>
      <c r="C123" s="15"/>
      <c r="D123" s="2" t="s">
        <v>64</v>
      </c>
      <c r="E123" s="7" t="b">
        <v>1</v>
      </c>
      <c r="F123" s="9">
        <v>4.0</v>
      </c>
      <c r="G123" s="9">
        <v>25.94493870336045</v>
      </c>
      <c r="H123" s="9">
        <v>0.04112275</v>
      </c>
      <c r="I123" s="7" t="b">
        <v>1</v>
      </c>
      <c r="J123" s="9">
        <v>0.0</v>
      </c>
      <c r="K123" s="7" t="b">
        <v>0</v>
      </c>
      <c r="L123" s="9">
        <v>5.0</v>
      </c>
      <c r="M123" s="9">
        <v>1.25</v>
      </c>
      <c r="N123" s="2" t="s">
        <v>1784</v>
      </c>
      <c r="O123" s="2" t="s">
        <v>1426</v>
      </c>
      <c r="P123" s="9">
        <v>86.2</v>
      </c>
      <c r="Q123" s="9">
        <v>70.0</v>
      </c>
      <c r="R123" s="9">
        <v>0.0</v>
      </c>
      <c r="S123" s="9">
        <v>0.3212</v>
      </c>
      <c r="T123" s="9">
        <v>1.0014</v>
      </c>
      <c r="U123" s="2" t="s">
        <v>2250</v>
      </c>
      <c r="V123" s="15"/>
      <c r="W123" s="2" t="s">
        <v>82</v>
      </c>
      <c r="X123" s="2" t="s">
        <v>1621</v>
      </c>
      <c r="Y123" s="2" t="s">
        <v>1622</v>
      </c>
      <c r="Z123" s="9">
        <v>0.2201</v>
      </c>
      <c r="AA123" s="9">
        <v>0.3212</v>
      </c>
      <c r="AB123" s="15"/>
      <c r="AC123" s="9">
        <v>0.87</v>
      </c>
      <c r="AD123" s="9" t="str">
        <f t="shared" si="1"/>
        <v>#REF!</v>
      </c>
    </row>
    <row r="124" hidden="1">
      <c r="A124" s="2" t="s">
        <v>543</v>
      </c>
      <c r="B124" s="2" t="s">
        <v>623</v>
      </c>
      <c r="C124" s="15"/>
      <c r="D124" s="2" t="s">
        <v>64</v>
      </c>
      <c r="E124" s="7" t="b">
        <v>1</v>
      </c>
      <c r="F124" s="9">
        <v>273.0</v>
      </c>
      <c r="G124" s="9">
        <v>7.6058000401475</v>
      </c>
      <c r="H124" s="9">
        <v>0.0018476073260073</v>
      </c>
      <c r="I124" s="7" t="b">
        <v>1</v>
      </c>
      <c r="J124" s="9">
        <v>0.0</v>
      </c>
      <c r="K124" s="7" t="b">
        <v>0</v>
      </c>
      <c r="L124" s="9">
        <v>521.0</v>
      </c>
      <c r="M124" s="9">
        <v>1.9084</v>
      </c>
      <c r="N124" s="2" t="s">
        <v>1796</v>
      </c>
      <c r="O124" s="2" t="s">
        <v>2254</v>
      </c>
      <c r="P124" s="9">
        <v>46.94</v>
      </c>
      <c r="Q124" s="9">
        <v>41.0</v>
      </c>
      <c r="R124" s="9">
        <v>0.00885</v>
      </c>
      <c r="S124" s="9">
        <v>0.6707</v>
      </c>
      <c r="T124" s="9">
        <v>0.7582</v>
      </c>
      <c r="U124" s="2" t="s">
        <v>572</v>
      </c>
      <c r="V124" s="9">
        <v>0.87</v>
      </c>
      <c r="W124" s="2" t="s">
        <v>82</v>
      </c>
      <c r="X124" s="2" t="s">
        <v>495</v>
      </c>
      <c r="Y124" s="2" t="s">
        <v>1529</v>
      </c>
      <c r="Z124" s="9">
        <v>0.5565</v>
      </c>
      <c r="AA124" s="9">
        <v>0.6707</v>
      </c>
      <c r="AB124" s="9">
        <v>0.87</v>
      </c>
      <c r="AC124" s="9">
        <v>0.7397</v>
      </c>
      <c r="AD124" s="9" t="str">
        <f t="shared" si="1"/>
        <v>#REF!</v>
      </c>
    </row>
    <row r="125" hidden="1">
      <c r="A125" s="2" t="s">
        <v>543</v>
      </c>
      <c r="B125" s="2" t="s">
        <v>856</v>
      </c>
      <c r="C125" s="15"/>
      <c r="D125" s="2" t="s">
        <v>64</v>
      </c>
      <c r="E125" s="7" t="b">
        <v>1</v>
      </c>
      <c r="F125" s="9">
        <v>1411.0</v>
      </c>
      <c r="G125" s="9">
        <v>3.733553416053003</v>
      </c>
      <c r="H125" s="9">
        <v>0.0015058524450744</v>
      </c>
      <c r="I125" s="7" t="b">
        <v>1</v>
      </c>
      <c r="J125" s="9">
        <v>0.0</v>
      </c>
      <c r="K125" s="7" t="b">
        <v>0</v>
      </c>
      <c r="L125" s="9">
        <v>95.0</v>
      </c>
      <c r="M125" s="9">
        <v>0.0673</v>
      </c>
      <c r="N125" s="2" t="s">
        <v>175</v>
      </c>
      <c r="O125" s="2" t="s">
        <v>177</v>
      </c>
      <c r="P125" s="9">
        <v>84.59</v>
      </c>
      <c r="Q125" s="9">
        <v>88.0</v>
      </c>
      <c r="R125" s="9">
        <v>0.0</v>
      </c>
      <c r="S125" s="9">
        <v>0.0</v>
      </c>
      <c r="T125" s="9">
        <v>0.0693</v>
      </c>
      <c r="U125" s="2" t="s">
        <v>2258</v>
      </c>
      <c r="V125" s="15"/>
      <c r="W125" s="2" t="s">
        <v>82</v>
      </c>
      <c r="X125" s="2" t="s">
        <v>182</v>
      </c>
      <c r="Y125" s="2" t="s">
        <v>1498</v>
      </c>
      <c r="Z125" s="9">
        <v>0.0291</v>
      </c>
      <c r="AA125" s="9">
        <v>0.0</v>
      </c>
      <c r="AB125" s="15"/>
      <c r="AC125" s="9">
        <v>0.173</v>
      </c>
      <c r="AD125" s="9" t="str">
        <f t="shared" si="1"/>
        <v>#REF!</v>
      </c>
    </row>
    <row r="126" hidden="1">
      <c r="A126" s="2" t="s">
        <v>543</v>
      </c>
      <c r="B126" s="2" t="s">
        <v>915</v>
      </c>
      <c r="C126" s="15"/>
      <c r="D126" s="2" t="s">
        <v>64</v>
      </c>
      <c r="E126" s="7" t="b">
        <v>1</v>
      </c>
      <c r="F126" s="9">
        <v>494.0</v>
      </c>
      <c r="G126" s="9">
        <v>3.448412922916137</v>
      </c>
      <c r="H126" s="9">
        <v>0.0027876831983805</v>
      </c>
      <c r="I126" s="7" t="b">
        <v>1</v>
      </c>
      <c r="J126" s="9">
        <v>0.0</v>
      </c>
      <c r="K126" s="7" t="b">
        <v>0</v>
      </c>
      <c r="L126" s="9">
        <v>1015.0</v>
      </c>
      <c r="M126" s="9">
        <v>2.0547</v>
      </c>
      <c r="N126" s="2" t="s">
        <v>2261</v>
      </c>
      <c r="O126" s="2" t="s">
        <v>2262</v>
      </c>
      <c r="P126" s="9">
        <v>44.13</v>
      </c>
      <c r="Q126" s="9">
        <v>39.0</v>
      </c>
      <c r="R126" s="9">
        <v>0.026596</v>
      </c>
      <c r="S126" s="9">
        <v>0.5721</v>
      </c>
      <c r="T126" s="9">
        <v>0.452</v>
      </c>
      <c r="U126" s="2" t="s">
        <v>2063</v>
      </c>
      <c r="V126" s="9">
        <v>0.894</v>
      </c>
      <c r="W126" s="2" t="s">
        <v>82</v>
      </c>
      <c r="X126" s="2" t="s">
        <v>495</v>
      </c>
      <c r="Y126" s="2" t="s">
        <v>1479</v>
      </c>
      <c r="Z126" s="9">
        <v>0.5461</v>
      </c>
      <c r="AA126" s="9">
        <v>0.5721</v>
      </c>
      <c r="AB126" s="9">
        <v>0.894</v>
      </c>
      <c r="AC126" s="9">
        <v>0.2234</v>
      </c>
      <c r="AD126" s="9" t="str">
        <f t="shared" si="1"/>
        <v>#REF!</v>
      </c>
    </row>
    <row r="127" hidden="1">
      <c r="A127" s="2" t="s">
        <v>543</v>
      </c>
      <c r="B127" s="2" t="s">
        <v>963</v>
      </c>
      <c r="C127" s="15"/>
      <c r="D127" s="2" t="s">
        <v>64</v>
      </c>
      <c r="E127" s="7" t="b">
        <v>1</v>
      </c>
      <c r="F127" s="9">
        <v>2570.0</v>
      </c>
      <c r="G127" s="9">
        <v>3.987151372763921</v>
      </c>
      <c r="H127" s="9">
        <v>0.0129154902723735</v>
      </c>
      <c r="I127" s="7" t="b">
        <v>1</v>
      </c>
      <c r="J127" s="9">
        <v>0.0</v>
      </c>
      <c r="K127" s="7" t="b">
        <v>0</v>
      </c>
      <c r="L127" s="9">
        <v>1749.0</v>
      </c>
      <c r="M127" s="9">
        <v>0.6805</v>
      </c>
      <c r="N127" s="2" t="s">
        <v>2266</v>
      </c>
      <c r="O127" s="2" t="s">
        <v>326</v>
      </c>
      <c r="P127" s="9">
        <v>48.99</v>
      </c>
      <c r="Q127" s="9">
        <v>42.0</v>
      </c>
      <c r="R127" s="9">
        <v>0.018568</v>
      </c>
      <c r="S127" s="9">
        <v>0.5296</v>
      </c>
      <c r="T127" s="9">
        <v>0.3113</v>
      </c>
      <c r="U127" s="2" t="s">
        <v>1367</v>
      </c>
      <c r="V127" s="9">
        <v>0.4891</v>
      </c>
      <c r="W127" s="2" t="s">
        <v>82</v>
      </c>
      <c r="X127" s="2" t="s">
        <v>495</v>
      </c>
      <c r="Y127" s="2" t="s">
        <v>2268</v>
      </c>
      <c r="Z127" s="9">
        <v>0.5593</v>
      </c>
      <c r="AA127" s="9">
        <v>0.5296</v>
      </c>
      <c r="AB127" s="9">
        <v>0.4891</v>
      </c>
      <c r="AC127" s="9">
        <v>0.7131</v>
      </c>
      <c r="AD127" s="9" t="str">
        <f t="shared" si="1"/>
        <v>#REF!</v>
      </c>
    </row>
    <row r="128" hidden="1">
      <c r="A128" s="2" t="s">
        <v>543</v>
      </c>
      <c r="B128" s="2" t="s">
        <v>1027</v>
      </c>
      <c r="C128" s="15"/>
      <c r="D128" s="2" t="s">
        <v>64</v>
      </c>
      <c r="E128" s="7" t="b">
        <v>1</v>
      </c>
      <c r="F128" s="9">
        <v>19155.0</v>
      </c>
      <c r="G128" s="9">
        <v>4.642605132714409</v>
      </c>
      <c r="H128" s="9">
        <v>0.0396270287653354</v>
      </c>
      <c r="I128" s="7" t="b">
        <v>1</v>
      </c>
      <c r="J128" s="9">
        <v>0.0</v>
      </c>
      <c r="K128" s="7" t="b">
        <v>0</v>
      </c>
      <c r="L128" s="9">
        <v>6744.0</v>
      </c>
      <c r="M128" s="9">
        <v>0.3521</v>
      </c>
      <c r="N128" s="2" t="s">
        <v>2270</v>
      </c>
      <c r="O128" s="2" t="s">
        <v>2271</v>
      </c>
      <c r="P128" s="9">
        <v>44.85</v>
      </c>
      <c r="Q128" s="9">
        <v>41.0</v>
      </c>
      <c r="R128" s="9">
        <v>0.024516</v>
      </c>
      <c r="S128" s="9">
        <v>0.8985</v>
      </c>
      <c r="T128" s="9">
        <v>0.7018</v>
      </c>
      <c r="U128" s="2" t="s">
        <v>2165</v>
      </c>
      <c r="V128" s="9">
        <v>0.8826</v>
      </c>
      <c r="W128" s="2" t="s">
        <v>82</v>
      </c>
      <c r="X128" s="2" t="s">
        <v>495</v>
      </c>
      <c r="Y128" s="2" t="s">
        <v>2274</v>
      </c>
      <c r="Z128" s="9">
        <v>0.8061</v>
      </c>
      <c r="AA128" s="9">
        <v>0.8985</v>
      </c>
      <c r="AB128" s="9">
        <v>0.8826</v>
      </c>
      <c r="AC128" s="9">
        <v>0.2058</v>
      </c>
      <c r="AD128" s="9" t="str">
        <f t="shared" si="1"/>
        <v>#REF!</v>
      </c>
    </row>
    <row r="129" hidden="1">
      <c r="A129" s="2" t="s">
        <v>543</v>
      </c>
      <c r="B129" s="2" t="s">
        <v>1031</v>
      </c>
      <c r="C129" s="15"/>
      <c r="D129" s="2" t="s">
        <v>64</v>
      </c>
      <c r="E129" s="7" t="b">
        <v>1</v>
      </c>
      <c r="F129" s="9">
        <v>568.0</v>
      </c>
      <c r="G129" s="9">
        <v>4.338548195288059</v>
      </c>
      <c r="H129" s="9">
        <v>0.002715677112676</v>
      </c>
      <c r="I129" s="7" t="b">
        <v>1</v>
      </c>
      <c r="J129" s="9">
        <v>0.0</v>
      </c>
      <c r="K129" s="7" t="b">
        <v>0</v>
      </c>
      <c r="L129" s="9">
        <v>164.0</v>
      </c>
      <c r="M129" s="9">
        <v>0.2887</v>
      </c>
      <c r="N129" s="2" t="s">
        <v>1425</v>
      </c>
      <c r="O129" s="2" t="s">
        <v>310</v>
      </c>
      <c r="P129" s="9">
        <v>44.82</v>
      </c>
      <c r="Q129" s="9">
        <v>39.0</v>
      </c>
      <c r="R129" s="9">
        <v>0.0</v>
      </c>
      <c r="S129" s="9">
        <v>0.5439</v>
      </c>
      <c r="T129" s="9">
        <v>0.8308</v>
      </c>
      <c r="U129" s="2" t="s">
        <v>2069</v>
      </c>
      <c r="V129" s="9">
        <v>0.0</v>
      </c>
      <c r="W129" s="2" t="s">
        <v>1193</v>
      </c>
      <c r="X129" s="2" t="s">
        <v>1521</v>
      </c>
      <c r="Y129" s="2" t="s">
        <v>1491</v>
      </c>
      <c r="Z129" s="9">
        <v>0.4714</v>
      </c>
      <c r="AA129" s="9">
        <v>0.5439</v>
      </c>
      <c r="AB129" s="9">
        <v>0.0</v>
      </c>
      <c r="AC129" s="9">
        <v>0.2169</v>
      </c>
      <c r="AD129" s="9" t="str">
        <f t="shared" si="1"/>
        <v>#REF!</v>
      </c>
    </row>
    <row r="130" hidden="1">
      <c r="A130" s="2" t="s">
        <v>545</v>
      </c>
      <c r="B130" s="2" t="s">
        <v>163</v>
      </c>
      <c r="C130" s="15"/>
      <c r="D130" s="2" t="s">
        <v>64</v>
      </c>
      <c r="E130" s="7" t="b">
        <v>1</v>
      </c>
      <c r="F130" s="9">
        <v>3.0</v>
      </c>
      <c r="G130" s="9">
        <v>8.683184890482485</v>
      </c>
      <c r="H130" s="9">
        <v>0.0034943999999999</v>
      </c>
      <c r="I130" s="7" t="b">
        <v>1</v>
      </c>
      <c r="J130" s="9">
        <v>0.0</v>
      </c>
      <c r="K130" s="7" t="b">
        <v>0</v>
      </c>
      <c r="L130" s="9">
        <v>6.0</v>
      </c>
      <c r="M130" s="9">
        <v>2.0</v>
      </c>
      <c r="N130" s="2" t="s">
        <v>2277</v>
      </c>
      <c r="O130" s="2" t="s">
        <v>1373</v>
      </c>
      <c r="P130" s="9">
        <v>60.67</v>
      </c>
      <c r="Q130" s="9">
        <v>58.5</v>
      </c>
      <c r="R130" s="9">
        <v>0.0</v>
      </c>
      <c r="S130" s="9">
        <v>0.3576</v>
      </c>
      <c r="T130" s="9">
        <v>1.0012</v>
      </c>
      <c r="U130" s="2" t="s">
        <v>1957</v>
      </c>
      <c r="V130" s="15"/>
      <c r="W130" s="2" t="s">
        <v>82</v>
      </c>
      <c r="X130" s="2" t="s">
        <v>1621</v>
      </c>
      <c r="Y130" s="2" t="s">
        <v>1622</v>
      </c>
      <c r="Z130" s="9">
        <v>0.245</v>
      </c>
      <c r="AA130" s="9">
        <v>0.3576</v>
      </c>
      <c r="AB130" s="15"/>
      <c r="AC130" s="9">
        <v>0.7163</v>
      </c>
      <c r="AD130" s="9" t="str">
        <f t="shared" si="1"/>
        <v>#REF!</v>
      </c>
    </row>
    <row r="131" hidden="1">
      <c r="A131" s="2" t="s">
        <v>545</v>
      </c>
      <c r="B131" s="2" t="s">
        <v>176</v>
      </c>
      <c r="C131" s="15"/>
      <c r="D131" s="2" t="s">
        <v>64</v>
      </c>
      <c r="E131" s="7" t="b">
        <v>1</v>
      </c>
      <c r="F131" s="9">
        <v>1.0</v>
      </c>
      <c r="G131" s="9">
        <v>17.02000234100468</v>
      </c>
      <c r="H131" s="9">
        <v>0.004233</v>
      </c>
      <c r="I131" s="7" t="b">
        <v>1</v>
      </c>
      <c r="J131" s="9">
        <v>0.0</v>
      </c>
      <c r="K131" s="7" t="b">
        <v>0</v>
      </c>
      <c r="L131" s="9">
        <v>4.0</v>
      </c>
      <c r="M131" s="9">
        <v>4.0</v>
      </c>
      <c r="N131" s="2" t="s">
        <v>2282</v>
      </c>
      <c r="O131" s="2" t="s">
        <v>2284</v>
      </c>
      <c r="P131" s="9">
        <v>75.5</v>
      </c>
      <c r="Q131" s="9">
        <v>77.0</v>
      </c>
      <c r="R131" s="9">
        <v>0.0</v>
      </c>
      <c r="S131" s="9">
        <v>0.2072</v>
      </c>
      <c r="T131" s="9">
        <v>1.001</v>
      </c>
      <c r="U131" s="2" t="s">
        <v>2285</v>
      </c>
      <c r="V131" s="15"/>
      <c r="W131" s="2" t="s">
        <v>157</v>
      </c>
      <c r="X131" s="2" t="s">
        <v>1455</v>
      </c>
      <c r="Y131" s="2" t="s">
        <v>2086</v>
      </c>
      <c r="Z131" s="9">
        <v>0.1894</v>
      </c>
      <c r="AA131" s="9">
        <v>0.2072</v>
      </c>
      <c r="AB131" s="15"/>
      <c r="AC131" s="9">
        <v>0.3722</v>
      </c>
      <c r="AD131" s="9" t="str">
        <f t="shared" si="1"/>
        <v>#REF!</v>
      </c>
    </row>
    <row r="132" hidden="1">
      <c r="A132" s="2" t="s">
        <v>545</v>
      </c>
      <c r="B132" s="2" t="s">
        <v>623</v>
      </c>
      <c r="C132" s="15"/>
      <c r="D132" s="2" t="s">
        <v>64</v>
      </c>
      <c r="E132" s="7" t="b">
        <v>1</v>
      </c>
      <c r="F132" s="9">
        <v>2455.0</v>
      </c>
      <c r="G132" s="9">
        <v>21.49089346834837</v>
      </c>
      <c r="H132" s="9">
        <v>0.1256067938900203</v>
      </c>
      <c r="I132" s="7" t="b">
        <v>1</v>
      </c>
      <c r="J132" s="9">
        <v>0.0</v>
      </c>
      <c r="K132" s="7" t="b">
        <v>0</v>
      </c>
      <c r="L132" s="9">
        <v>4753.0</v>
      </c>
      <c r="M132" s="9">
        <v>1.936</v>
      </c>
      <c r="N132" s="2" t="s">
        <v>2289</v>
      </c>
      <c r="O132" s="2" t="s">
        <v>2290</v>
      </c>
      <c r="P132" s="9">
        <v>70.19</v>
      </c>
      <c r="Q132" s="9">
        <v>62.0</v>
      </c>
      <c r="R132" s="9">
        <v>0.010536</v>
      </c>
      <c r="S132" s="9">
        <v>0.9531</v>
      </c>
      <c r="T132" s="9">
        <v>0.9836</v>
      </c>
      <c r="U132" s="2" t="s">
        <v>2293</v>
      </c>
      <c r="V132" s="9">
        <v>0.8663</v>
      </c>
      <c r="W132" s="2" t="s">
        <v>82</v>
      </c>
      <c r="X132" s="2" t="s">
        <v>99</v>
      </c>
      <c r="Y132" s="2" t="s">
        <v>1515</v>
      </c>
      <c r="Z132" s="9">
        <v>0.8262</v>
      </c>
      <c r="AA132" s="9">
        <v>0.9531</v>
      </c>
      <c r="AB132" s="9">
        <v>0.8663</v>
      </c>
      <c r="AC132" s="9">
        <v>0.7954</v>
      </c>
      <c r="AD132" s="9" t="str">
        <f t="shared" si="1"/>
        <v>#REF!</v>
      </c>
    </row>
    <row r="133" hidden="1">
      <c r="A133" s="2" t="s">
        <v>545</v>
      </c>
      <c r="B133" s="2" t="s">
        <v>963</v>
      </c>
      <c r="C133" s="15"/>
      <c r="D133" s="2" t="s">
        <v>64</v>
      </c>
      <c r="E133" s="7" t="b">
        <v>1</v>
      </c>
      <c r="F133" s="9">
        <v>54.0</v>
      </c>
      <c r="G133" s="9">
        <v>15.1858098938588</v>
      </c>
      <c r="H133" s="9">
        <v>0.0040510166666666</v>
      </c>
      <c r="I133" s="7" t="b">
        <v>1</v>
      </c>
      <c r="J133" s="9">
        <v>0.0</v>
      </c>
      <c r="K133" s="7" t="b">
        <v>0</v>
      </c>
      <c r="L133" s="9">
        <v>61.0</v>
      </c>
      <c r="M133" s="9">
        <v>1.1296</v>
      </c>
      <c r="N133" s="2" t="s">
        <v>400</v>
      </c>
      <c r="O133" s="2" t="s">
        <v>402</v>
      </c>
      <c r="P133" s="9">
        <v>47.84</v>
      </c>
      <c r="Q133" s="9">
        <v>42.0</v>
      </c>
      <c r="R133" s="9">
        <v>0.0</v>
      </c>
      <c r="S133" s="9">
        <v>0.52</v>
      </c>
      <c r="T133" s="9">
        <v>0.991</v>
      </c>
      <c r="U133" s="2" t="s">
        <v>1636</v>
      </c>
      <c r="V133" s="9">
        <v>0.0</v>
      </c>
      <c r="W133" s="2" t="s">
        <v>82</v>
      </c>
      <c r="X133" s="2" t="s">
        <v>495</v>
      </c>
      <c r="Y133" s="2" t="s">
        <v>1408</v>
      </c>
      <c r="Z133" s="9">
        <v>0.4063</v>
      </c>
      <c r="AA133" s="9">
        <v>0.52</v>
      </c>
      <c r="AB133" s="9">
        <v>0.0</v>
      </c>
      <c r="AC133" s="9">
        <v>0.801</v>
      </c>
      <c r="AD133" s="9" t="str">
        <f t="shared" si="1"/>
        <v>#REF!</v>
      </c>
    </row>
    <row r="134" hidden="1">
      <c r="A134" s="2" t="s">
        <v>554</v>
      </c>
      <c r="B134" s="2" t="s">
        <v>963</v>
      </c>
      <c r="C134" s="15"/>
      <c r="D134" s="2" t="s">
        <v>64</v>
      </c>
      <c r="E134" s="7" t="b">
        <v>1</v>
      </c>
      <c r="F134" s="9">
        <v>52.0</v>
      </c>
      <c r="G134" s="9">
        <v>17.38955307292318</v>
      </c>
      <c r="H134" s="9">
        <v>0.0051141057692307</v>
      </c>
      <c r="I134" s="7" t="b">
        <v>1</v>
      </c>
      <c r="J134" s="9">
        <v>0.0</v>
      </c>
      <c r="K134" s="7" t="b">
        <v>0</v>
      </c>
      <c r="L134" s="9">
        <v>47.0</v>
      </c>
      <c r="M134" s="9">
        <v>0.9038</v>
      </c>
      <c r="N134" s="2" t="s">
        <v>1952</v>
      </c>
      <c r="O134" s="2" t="s">
        <v>1953</v>
      </c>
      <c r="P134" s="9">
        <v>48.83</v>
      </c>
      <c r="Q134" s="9">
        <v>48.0</v>
      </c>
      <c r="R134" s="9">
        <v>0.0</v>
      </c>
      <c r="S134" s="9">
        <v>0.4963</v>
      </c>
      <c r="T134" s="9">
        <v>1.0005</v>
      </c>
      <c r="U134" s="2" t="s">
        <v>2303</v>
      </c>
      <c r="V134" s="15"/>
      <c r="W134" s="2" t="s">
        <v>82</v>
      </c>
      <c r="X134" s="2" t="s">
        <v>1621</v>
      </c>
      <c r="Y134" s="2" t="s">
        <v>2057</v>
      </c>
      <c r="Z134" s="9">
        <v>0.3827</v>
      </c>
      <c r="AA134" s="9">
        <v>0.4963</v>
      </c>
      <c r="AB134" s="15"/>
      <c r="AC134" s="9">
        <v>0.7572</v>
      </c>
      <c r="AD134" s="9" t="str">
        <f t="shared" si="1"/>
        <v>#REF!</v>
      </c>
    </row>
    <row r="135" hidden="1">
      <c r="A135" s="2" t="s">
        <v>554</v>
      </c>
      <c r="B135" s="2" t="s">
        <v>1031</v>
      </c>
      <c r="C135" s="15"/>
      <c r="D135" s="2" t="s">
        <v>64</v>
      </c>
      <c r="E135" s="7" t="b">
        <v>1</v>
      </c>
      <c r="F135" s="9">
        <v>124.0</v>
      </c>
      <c r="G135" s="9">
        <v>17.14866867755995</v>
      </c>
      <c r="H135" s="9">
        <v>0.0092691120967741</v>
      </c>
      <c r="I135" s="7" t="b">
        <v>1</v>
      </c>
      <c r="J135" s="9">
        <v>0.0</v>
      </c>
      <c r="K135" s="7" t="b">
        <v>0</v>
      </c>
      <c r="L135" s="9">
        <v>92.0</v>
      </c>
      <c r="M135" s="9">
        <v>0.7419</v>
      </c>
      <c r="N135" s="2" t="s">
        <v>1825</v>
      </c>
      <c r="O135" s="2" t="s">
        <v>1533</v>
      </c>
      <c r="P135" s="9">
        <v>49.24</v>
      </c>
      <c r="Q135" s="9">
        <v>46.0</v>
      </c>
      <c r="R135" s="9">
        <v>0.0</v>
      </c>
      <c r="S135" s="9">
        <v>0.58</v>
      </c>
      <c r="T135" s="9">
        <v>1.001</v>
      </c>
      <c r="U135" s="2" t="s">
        <v>2310</v>
      </c>
      <c r="V135" s="9">
        <v>0.0</v>
      </c>
      <c r="W135" s="2" t="s">
        <v>82</v>
      </c>
      <c r="X135" s="2" t="s">
        <v>495</v>
      </c>
      <c r="Y135" s="2" t="s">
        <v>1408</v>
      </c>
      <c r="Z135" s="9">
        <v>0.4524</v>
      </c>
      <c r="AA135" s="9">
        <v>0.58</v>
      </c>
      <c r="AB135" s="9">
        <v>0.0</v>
      </c>
      <c r="AC135" s="9">
        <v>0.8522</v>
      </c>
      <c r="AD135" s="9" t="str">
        <f t="shared" si="1"/>
        <v>#REF!</v>
      </c>
    </row>
    <row r="136" hidden="1">
      <c r="A136" s="2" t="s">
        <v>559</v>
      </c>
      <c r="B136" s="2" t="s">
        <v>176</v>
      </c>
      <c r="C136" s="15"/>
      <c r="D136" s="2" t="s">
        <v>64</v>
      </c>
      <c r="E136" s="7" t="b">
        <v>1</v>
      </c>
      <c r="F136" s="9">
        <v>1.0</v>
      </c>
      <c r="G136" s="9">
        <v>13.01169452941856</v>
      </c>
      <c r="H136" s="9">
        <v>0.0024752</v>
      </c>
      <c r="I136" s="7" t="b">
        <v>1</v>
      </c>
      <c r="J136" s="9">
        <v>0.0</v>
      </c>
      <c r="K136" s="7" t="b">
        <v>0</v>
      </c>
      <c r="L136" s="9">
        <v>3.0</v>
      </c>
      <c r="M136" s="9">
        <v>3.0</v>
      </c>
      <c r="N136" s="2" t="s">
        <v>1394</v>
      </c>
      <c r="O136" s="2" t="s">
        <v>1539</v>
      </c>
      <c r="P136" s="9">
        <v>68.0</v>
      </c>
      <c r="Q136" s="9">
        <v>57.0</v>
      </c>
      <c r="R136" s="9">
        <v>0.0</v>
      </c>
      <c r="S136" s="9">
        <v>0.219</v>
      </c>
      <c r="T136" s="9">
        <v>1.0007</v>
      </c>
      <c r="U136" s="2" t="s">
        <v>1630</v>
      </c>
      <c r="V136" s="15"/>
      <c r="W136" s="2" t="s">
        <v>82</v>
      </c>
      <c r="X136" s="2" t="s">
        <v>1621</v>
      </c>
      <c r="Y136" s="2" t="s">
        <v>1622</v>
      </c>
      <c r="Z136" s="9">
        <v>0.1501</v>
      </c>
      <c r="AA136" s="9">
        <v>0.219</v>
      </c>
      <c r="AB136" s="15"/>
      <c r="AC136" s="9">
        <v>0.0</v>
      </c>
      <c r="AD136" s="9" t="str">
        <f t="shared" si="1"/>
        <v>#REF!</v>
      </c>
    </row>
    <row r="137" hidden="1">
      <c r="A137" s="2" t="s">
        <v>559</v>
      </c>
      <c r="B137" s="2" t="s">
        <v>963</v>
      </c>
      <c r="C137" s="15"/>
      <c r="D137" s="2" t="s">
        <v>64</v>
      </c>
      <c r="E137" s="7" t="b">
        <v>1</v>
      </c>
      <c r="F137" s="9">
        <v>203.0</v>
      </c>
      <c r="G137" s="9">
        <v>21.01354717341059</v>
      </c>
      <c r="H137" s="9">
        <v>0.028851802955665</v>
      </c>
      <c r="I137" s="7" t="b">
        <v>1</v>
      </c>
      <c r="J137" s="9">
        <v>0.0</v>
      </c>
      <c r="K137" s="7" t="b">
        <v>0</v>
      </c>
      <c r="L137" s="9">
        <v>188.0</v>
      </c>
      <c r="M137" s="9">
        <v>0.9261</v>
      </c>
      <c r="N137" s="2" t="s">
        <v>1948</v>
      </c>
      <c r="O137" s="2" t="s">
        <v>1598</v>
      </c>
      <c r="P137" s="9">
        <v>55.59</v>
      </c>
      <c r="Q137" s="9">
        <v>46.5</v>
      </c>
      <c r="R137" s="9">
        <v>0.0</v>
      </c>
      <c r="S137" s="9">
        <v>0.6254</v>
      </c>
      <c r="T137" s="9">
        <v>0.9393</v>
      </c>
      <c r="U137" s="2" t="s">
        <v>1817</v>
      </c>
      <c r="V137" s="9">
        <v>0.0</v>
      </c>
      <c r="W137" s="2" t="s">
        <v>82</v>
      </c>
      <c r="X137" s="2" t="s">
        <v>495</v>
      </c>
      <c r="Y137" s="2" t="s">
        <v>1408</v>
      </c>
      <c r="Z137" s="9">
        <v>0.5042</v>
      </c>
      <c r="AA137" s="9">
        <v>0.6254</v>
      </c>
      <c r="AB137" s="9">
        <v>0.0</v>
      </c>
      <c r="AC137" s="9">
        <v>0.8167</v>
      </c>
      <c r="AD137" s="9" t="str">
        <f t="shared" si="1"/>
        <v>#REF!</v>
      </c>
    </row>
    <row r="138" hidden="1">
      <c r="A138" s="2" t="s">
        <v>559</v>
      </c>
      <c r="B138" s="2" t="s">
        <v>1031</v>
      </c>
      <c r="C138" s="15"/>
      <c r="D138" s="2" t="s">
        <v>64</v>
      </c>
      <c r="E138" s="7" t="b">
        <v>1</v>
      </c>
      <c r="F138" s="9">
        <v>56.0</v>
      </c>
      <c r="G138" s="9">
        <v>15.15836194275391</v>
      </c>
      <c r="H138" s="9">
        <v>0.0032814571428571</v>
      </c>
      <c r="I138" s="7" t="b">
        <v>1</v>
      </c>
      <c r="J138" s="9">
        <v>0.0</v>
      </c>
      <c r="K138" s="7" t="b">
        <v>0</v>
      </c>
      <c r="L138" s="9">
        <v>46.0</v>
      </c>
      <c r="M138" s="9">
        <v>0.8214</v>
      </c>
      <c r="N138" s="2" t="s">
        <v>1952</v>
      </c>
      <c r="O138" s="2" t="s">
        <v>2025</v>
      </c>
      <c r="P138" s="9">
        <v>47.22</v>
      </c>
      <c r="Q138" s="9">
        <v>40.0</v>
      </c>
      <c r="R138" s="9">
        <v>0.0</v>
      </c>
      <c r="S138" s="9">
        <v>0.4248</v>
      </c>
      <c r="T138" s="9">
        <v>0.8609</v>
      </c>
      <c r="U138" s="2" t="s">
        <v>1971</v>
      </c>
      <c r="V138" s="15"/>
      <c r="W138" s="2" t="s">
        <v>157</v>
      </c>
      <c r="X138" s="2" t="s">
        <v>1455</v>
      </c>
      <c r="Y138" s="2" t="s">
        <v>1456</v>
      </c>
      <c r="Z138" s="9">
        <v>0.333</v>
      </c>
      <c r="AA138" s="9">
        <v>0.4248</v>
      </c>
      <c r="AB138" s="15"/>
      <c r="AC138" s="9">
        <v>0.6735</v>
      </c>
      <c r="AD138" s="9" t="str">
        <f t="shared" si="1"/>
        <v>#REF!</v>
      </c>
    </row>
    <row r="139" hidden="1">
      <c r="A139" s="2" t="s">
        <v>577</v>
      </c>
      <c r="B139" s="2" t="s">
        <v>163</v>
      </c>
      <c r="C139" s="15"/>
      <c r="D139" s="2" t="s">
        <v>64</v>
      </c>
      <c r="E139" s="7" t="b">
        <v>1</v>
      </c>
      <c r="F139" s="9">
        <v>1.0</v>
      </c>
      <c r="G139" s="9">
        <v>13.01238277043864</v>
      </c>
      <c r="H139" s="9">
        <v>0.0026208</v>
      </c>
      <c r="I139" s="7" t="b">
        <v>1</v>
      </c>
      <c r="J139" s="9">
        <v>0.0</v>
      </c>
      <c r="K139" s="7" t="b">
        <v>0</v>
      </c>
      <c r="L139" s="9">
        <v>2.0</v>
      </c>
      <c r="M139" s="9">
        <v>2.0</v>
      </c>
      <c r="N139" s="2" t="s">
        <v>2329</v>
      </c>
      <c r="O139" s="2" t="s">
        <v>2330</v>
      </c>
      <c r="P139" s="9">
        <v>58.0</v>
      </c>
      <c r="Q139" s="9">
        <v>58.0</v>
      </c>
      <c r="R139" s="9">
        <v>0.0</v>
      </c>
      <c r="S139" s="9">
        <v>0.1383</v>
      </c>
      <c r="T139" s="9">
        <v>1.0004</v>
      </c>
      <c r="U139" s="2" t="s">
        <v>2333</v>
      </c>
      <c r="V139" s="15"/>
      <c r="W139" s="2" t="s">
        <v>82</v>
      </c>
      <c r="X139" s="2" t="s">
        <v>1621</v>
      </c>
      <c r="Y139" s="2" t="s">
        <v>1622</v>
      </c>
      <c r="Z139" s="9">
        <v>0.0948</v>
      </c>
      <c r="AA139" s="9">
        <v>0.1383</v>
      </c>
      <c r="AB139" s="15"/>
      <c r="AC139" s="9">
        <v>0.55</v>
      </c>
      <c r="AD139" s="9" t="str">
        <f t="shared" si="1"/>
        <v>#REF!</v>
      </c>
    </row>
    <row r="140" hidden="1">
      <c r="A140" s="2" t="s">
        <v>577</v>
      </c>
      <c r="B140" s="2" t="s">
        <v>997</v>
      </c>
      <c r="C140" s="15"/>
      <c r="D140" s="2" t="s">
        <v>64</v>
      </c>
      <c r="E140" s="7" t="b">
        <v>1</v>
      </c>
      <c r="F140" s="9">
        <v>758.0</v>
      </c>
      <c r="G140" s="9">
        <v>22.96161439139814</v>
      </c>
      <c r="H140" s="9">
        <v>0.0267170580474934</v>
      </c>
      <c r="I140" s="7" t="b">
        <v>1</v>
      </c>
      <c r="J140" s="9">
        <v>0.0</v>
      </c>
      <c r="K140" s="7" t="b">
        <v>0</v>
      </c>
      <c r="L140" s="9">
        <v>467.0</v>
      </c>
      <c r="M140" s="9">
        <v>0.6161</v>
      </c>
      <c r="N140" s="2" t="s">
        <v>2334</v>
      </c>
      <c r="O140" s="2" t="s">
        <v>2336</v>
      </c>
      <c r="P140" s="9">
        <v>60.1</v>
      </c>
      <c r="Q140" s="9">
        <v>56.0</v>
      </c>
      <c r="R140" s="9">
        <v>0.098361</v>
      </c>
      <c r="S140" s="9">
        <v>0.739</v>
      </c>
      <c r="T140" s="9">
        <v>0.997</v>
      </c>
      <c r="U140" s="2" t="s">
        <v>2338</v>
      </c>
      <c r="V140" s="9">
        <v>0.8473</v>
      </c>
      <c r="W140" s="2" t="s">
        <v>82</v>
      </c>
      <c r="X140" s="2" t="s">
        <v>84</v>
      </c>
      <c r="Y140" s="2" t="s">
        <v>2340</v>
      </c>
      <c r="Z140" s="9">
        <v>0.5896</v>
      </c>
      <c r="AA140" s="9">
        <v>0.739</v>
      </c>
      <c r="AB140" s="9">
        <v>0.8473</v>
      </c>
      <c r="AC140" s="9">
        <v>0.7152</v>
      </c>
      <c r="AD140" s="9" t="str">
        <f t="shared" si="1"/>
        <v>#REF!</v>
      </c>
    </row>
    <row r="141" hidden="1">
      <c r="A141" s="2" t="s">
        <v>588</v>
      </c>
      <c r="B141" s="2" t="s">
        <v>856</v>
      </c>
      <c r="C141" s="15"/>
      <c r="D141" s="2" t="s">
        <v>64</v>
      </c>
      <c r="E141" s="7" t="b">
        <v>1</v>
      </c>
      <c r="F141" s="9">
        <v>415.0</v>
      </c>
      <c r="G141" s="9">
        <v>7.833324478205763</v>
      </c>
      <c r="H141" s="9">
        <v>0.0019528944578313</v>
      </c>
      <c r="I141" s="7" t="b">
        <v>1</v>
      </c>
      <c r="J141" s="9">
        <v>0.0</v>
      </c>
      <c r="K141" s="7" t="b">
        <v>0</v>
      </c>
      <c r="L141" s="9">
        <v>1.0</v>
      </c>
      <c r="M141" s="9">
        <v>0.0024</v>
      </c>
      <c r="N141" s="2" t="s">
        <v>175</v>
      </c>
      <c r="O141" s="2" t="s">
        <v>177</v>
      </c>
      <c r="P141" s="9">
        <v>33.0</v>
      </c>
      <c r="Q141" s="9">
        <v>33.0</v>
      </c>
      <c r="R141" s="9">
        <v>0.0</v>
      </c>
      <c r="S141" s="9">
        <v>0.0</v>
      </c>
      <c r="T141" s="9">
        <v>1.0</v>
      </c>
      <c r="U141" s="2" t="s">
        <v>2345</v>
      </c>
      <c r="V141" s="15"/>
      <c r="W141" s="2" t="s">
        <v>82</v>
      </c>
      <c r="X141" s="2" t="s">
        <v>1455</v>
      </c>
      <c r="Y141" s="2" t="s">
        <v>1542</v>
      </c>
      <c r="Z141" s="9">
        <v>0.0</v>
      </c>
      <c r="AA141" s="9">
        <v>0.0</v>
      </c>
      <c r="AB141" s="15"/>
      <c r="AC141" s="9">
        <v>0.3</v>
      </c>
      <c r="AD141" s="9" t="str">
        <f t="shared" si="1"/>
        <v>#REF!</v>
      </c>
    </row>
    <row r="142" hidden="1">
      <c r="A142" s="2" t="s">
        <v>604</v>
      </c>
      <c r="B142" s="2" t="s">
        <v>534</v>
      </c>
      <c r="C142" s="15"/>
      <c r="D142" s="2" t="s">
        <v>64</v>
      </c>
      <c r="E142" s="7" t="b">
        <v>1</v>
      </c>
      <c r="F142" s="9">
        <v>933.0</v>
      </c>
      <c r="G142" s="9">
        <v>18.65198070576107</v>
      </c>
      <c r="H142" s="9">
        <v>0.0217948017148981</v>
      </c>
      <c r="I142" s="7" t="b">
        <v>1</v>
      </c>
      <c r="J142" s="9">
        <v>0.0</v>
      </c>
      <c r="K142" s="7" t="b">
        <v>0</v>
      </c>
      <c r="L142" s="9">
        <v>766.0</v>
      </c>
      <c r="M142" s="9">
        <v>0.821</v>
      </c>
      <c r="N142" s="2" t="s">
        <v>2349</v>
      </c>
      <c r="O142" s="2" t="s">
        <v>2350</v>
      </c>
      <c r="P142" s="9">
        <v>57.51</v>
      </c>
      <c r="Q142" s="9">
        <v>50.0</v>
      </c>
      <c r="R142" s="9">
        <v>0.012121</v>
      </c>
      <c r="S142" s="9">
        <v>0.8095</v>
      </c>
      <c r="T142" s="9">
        <v>0.9983</v>
      </c>
      <c r="U142" s="2" t="s">
        <v>96</v>
      </c>
      <c r="V142" s="9">
        <v>0.3</v>
      </c>
      <c r="W142" s="2" t="s">
        <v>82</v>
      </c>
      <c r="X142" s="2" t="s">
        <v>84</v>
      </c>
      <c r="Y142" s="2" t="s">
        <v>2353</v>
      </c>
      <c r="Z142" s="9">
        <v>0.6452</v>
      </c>
      <c r="AA142" s="9">
        <v>0.8095</v>
      </c>
      <c r="AB142" s="9">
        <v>0.3</v>
      </c>
      <c r="AC142" s="9">
        <v>0.8546</v>
      </c>
      <c r="AD142" s="9" t="str">
        <f t="shared" si="1"/>
        <v>#REF!</v>
      </c>
    </row>
    <row r="143" hidden="1">
      <c r="A143" s="2" t="s">
        <v>604</v>
      </c>
      <c r="B143" s="2" t="s">
        <v>856</v>
      </c>
      <c r="C143" s="15"/>
      <c r="D143" s="2" t="s">
        <v>64</v>
      </c>
      <c r="E143" s="7" t="b">
        <v>1</v>
      </c>
      <c r="F143" s="9">
        <v>2906.0</v>
      </c>
      <c r="G143" s="9">
        <v>2.542579972659373</v>
      </c>
      <c r="H143" s="9">
        <v>0.0014362703372333</v>
      </c>
      <c r="I143" s="7" t="b">
        <v>1</v>
      </c>
      <c r="J143" s="9">
        <v>0.0</v>
      </c>
      <c r="K143" s="7" t="b">
        <v>0</v>
      </c>
      <c r="L143" s="9">
        <v>7.0</v>
      </c>
      <c r="M143" s="9">
        <v>0.0024</v>
      </c>
      <c r="N143" s="2" t="s">
        <v>175</v>
      </c>
      <c r="O143" s="2" t="s">
        <v>177</v>
      </c>
      <c r="P143" s="9">
        <v>87.71</v>
      </c>
      <c r="Q143" s="9">
        <v>88.0</v>
      </c>
      <c r="R143" s="9">
        <v>0.0</v>
      </c>
      <c r="S143" s="9">
        <v>0.0</v>
      </c>
      <c r="T143" s="9">
        <v>1.0</v>
      </c>
      <c r="U143" s="2" t="s">
        <v>1630</v>
      </c>
      <c r="V143" s="15"/>
      <c r="W143" s="2" t="s">
        <v>82</v>
      </c>
      <c r="X143" s="2" t="s">
        <v>1455</v>
      </c>
      <c r="Y143" s="2" t="s">
        <v>1542</v>
      </c>
      <c r="Z143" s="9">
        <v>0.0</v>
      </c>
      <c r="AA143" s="9">
        <v>0.0</v>
      </c>
      <c r="AB143" s="15"/>
      <c r="AC143" s="9">
        <v>0.0</v>
      </c>
      <c r="AD143" s="9" t="str">
        <f t="shared" si="1"/>
        <v>#REF!</v>
      </c>
    </row>
    <row r="144" hidden="1">
      <c r="A144" s="2" t="s">
        <v>604</v>
      </c>
      <c r="B144" s="2" t="s">
        <v>997</v>
      </c>
      <c r="C144" s="15"/>
      <c r="D144" s="2" t="s">
        <v>64</v>
      </c>
      <c r="E144" s="7" t="b">
        <v>1</v>
      </c>
      <c r="F144" s="9">
        <v>331.0</v>
      </c>
      <c r="G144" s="9">
        <v>19.82388871552663</v>
      </c>
      <c r="H144" s="9">
        <v>0.0087596809667673</v>
      </c>
      <c r="I144" s="7" t="b">
        <v>1</v>
      </c>
      <c r="J144" s="9">
        <v>0.0</v>
      </c>
      <c r="K144" s="7" t="b">
        <v>0</v>
      </c>
      <c r="L144" s="9">
        <v>199.0</v>
      </c>
      <c r="M144" s="9">
        <v>0.6012</v>
      </c>
      <c r="N144" s="2" t="s">
        <v>1903</v>
      </c>
      <c r="O144" s="2" t="s">
        <v>1690</v>
      </c>
      <c r="P144" s="9">
        <v>63.94</v>
      </c>
      <c r="Q144" s="9">
        <v>57.0</v>
      </c>
      <c r="R144" s="9">
        <v>0.0</v>
      </c>
      <c r="S144" s="9">
        <v>0.6516</v>
      </c>
      <c r="T144" s="9">
        <v>1.0019</v>
      </c>
      <c r="U144" s="2" t="s">
        <v>2333</v>
      </c>
      <c r="V144" s="9">
        <v>0.525</v>
      </c>
      <c r="W144" s="2" t="s">
        <v>82</v>
      </c>
      <c r="X144" s="2" t="s">
        <v>237</v>
      </c>
      <c r="Y144" s="2" t="s">
        <v>1428</v>
      </c>
      <c r="Z144" s="9">
        <v>0.5087</v>
      </c>
      <c r="AA144" s="9">
        <v>0.6516</v>
      </c>
      <c r="AB144" s="9">
        <v>0.525</v>
      </c>
      <c r="AC144" s="9">
        <v>0.8047</v>
      </c>
      <c r="AD144" s="9" t="str">
        <f t="shared" si="1"/>
        <v>#REF!</v>
      </c>
    </row>
    <row r="145" hidden="1">
      <c r="A145" s="2" t="s">
        <v>609</v>
      </c>
      <c r="B145" s="2" t="s">
        <v>163</v>
      </c>
      <c r="C145" s="15"/>
      <c r="D145" s="2" t="s">
        <v>64</v>
      </c>
      <c r="E145" s="7" t="b">
        <v>1</v>
      </c>
      <c r="F145" s="9">
        <v>4.0</v>
      </c>
      <c r="G145" s="9">
        <v>17.33738719513794</v>
      </c>
      <c r="H145" s="9">
        <v>0.0184574999999999</v>
      </c>
      <c r="I145" s="7" t="b">
        <v>1</v>
      </c>
      <c r="J145" s="9">
        <v>0.0</v>
      </c>
      <c r="K145" s="7" t="b">
        <v>0</v>
      </c>
      <c r="L145" s="9">
        <v>8.0</v>
      </c>
      <c r="M145" s="9">
        <v>2.0</v>
      </c>
      <c r="N145" s="2" t="s">
        <v>1934</v>
      </c>
      <c r="O145" s="2" t="s">
        <v>532</v>
      </c>
      <c r="P145" s="9">
        <v>57.25</v>
      </c>
      <c r="Q145" s="9">
        <v>56.0</v>
      </c>
      <c r="R145" s="9">
        <v>0.0</v>
      </c>
      <c r="S145" s="9">
        <v>0.415</v>
      </c>
      <c r="T145" s="9">
        <v>1.0015</v>
      </c>
      <c r="U145" s="2" t="s">
        <v>1528</v>
      </c>
      <c r="V145" s="15"/>
      <c r="W145" s="2" t="s">
        <v>82</v>
      </c>
      <c r="X145" s="2" t="s">
        <v>1621</v>
      </c>
      <c r="Y145" s="2" t="s">
        <v>1622</v>
      </c>
      <c r="Z145" s="9">
        <v>0.2843</v>
      </c>
      <c r="AA145" s="9">
        <v>0.415</v>
      </c>
      <c r="AB145" s="15"/>
      <c r="AC145" s="9">
        <v>0.7059</v>
      </c>
      <c r="AD145" s="9" t="str">
        <f t="shared" si="1"/>
        <v>#REF!</v>
      </c>
    </row>
    <row r="146" hidden="1">
      <c r="A146" s="2" t="s">
        <v>609</v>
      </c>
      <c r="B146" s="2" t="s">
        <v>170</v>
      </c>
      <c r="C146" s="15"/>
      <c r="D146" s="2" t="s">
        <v>64</v>
      </c>
      <c r="E146" s="7" t="b">
        <v>1</v>
      </c>
      <c r="F146" s="9">
        <v>1.0</v>
      </c>
      <c r="G146" s="9">
        <v>19.01935533347928</v>
      </c>
      <c r="H146" s="9">
        <v>0.0040964</v>
      </c>
      <c r="I146" s="7" t="b">
        <v>1</v>
      </c>
      <c r="J146" s="9">
        <v>0.0</v>
      </c>
      <c r="K146" s="7" t="b">
        <v>0</v>
      </c>
      <c r="L146" s="9">
        <v>4.0</v>
      </c>
      <c r="M146" s="9">
        <v>4.0</v>
      </c>
      <c r="N146" s="2" t="s">
        <v>1551</v>
      </c>
      <c r="O146" s="2" t="s">
        <v>1890</v>
      </c>
      <c r="P146" s="9">
        <v>60.25</v>
      </c>
      <c r="Q146" s="9">
        <v>61.0</v>
      </c>
      <c r="R146" s="9">
        <v>0.0</v>
      </c>
      <c r="S146" s="9">
        <v>0.2767</v>
      </c>
      <c r="T146" s="9">
        <v>1.0008</v>
      </c>
      <c r="U146" s="2" t="s">
        <v>825</v>
      </c>
      <c r="V146" s="15"/>
      <c r="W146" s="2" t="s">
        <v>157</v>
      </c>
      <c r="X146" s="2" t="s">
        <v>1455</v>
      </c>
      <c r="Y146" s="2" t="s">
        <v>2086</v>
      </c>
      <c r="Z146" s="9">
        <v>0.1896</v>
      </c>
      <c r="AA146" s="9">
        <v>0.2767</v>
      </c>
      <c r="AB146" s="15"/>
      <c r="AC146" s="9">
        <v>0.7472</v>
      </c>
      <c r="AD146" s="9" t="str">
        <f t="shared" si="1"/>
        <v>#REF!</v>
      </c>
    </row>
    <row r="147" hidden="1">
      <c r="A147" s="2" t="s">
        <v>609</v>
      </c>
      <c r="B147" s="2" t="s">
        <v>856</v>
      </c>
      <c r="C147" s="15"/>
      <c r="D147" s="2" t="s">
        <v>64</v>
      </c>
      <c r="E147" s="7" t="b">
        <v>1</v>
      </c>
      <c r="F147" s="9">
        <v>241.0</v>
      </c>
      <c r="G147" s="9">
        <v>8.658000046021396</v>
      </c>
      <c r="H147" s="9">
        <v>0.0013859626556016</v>
      </c>
      <c r="I147" s="7" t="b">
        <v>1</v>
      </c>
      <c r="J147" s="9">
        <v>0.0</v>
      </c>
      <c r="K147" s="7" t="b">
        <v>0</v>
      </c>
      <c r="L147" s="9">
        <v>0.0</v>
      </c>
      <c r="M147" s="9">
        <v>0.0</v>
      </c>
      <c r="N147" s="15"/>
      <c r="O147" s="15"/>
      <c r="P147" s="15"/>
      <c r="Q147" s="15"/>
      <c r="R147" s="15"/>
      <c r="S147" s="9">
        <v>0.0</v>
      </c>
      <c r="T147" s="9">
        <v>0.0</v>
      </c>
      <c r="U147" s="15"/>
      <c r="V147" s="15"/>
      <c r="W147" s="2" t="s">
        <v>82</v>
      </c>
      <c r="X147" s="2" t="s">
        <v>1787</v>
      </c>
      <c r="Y147" s="2" t="s">
        <v>2211</v>
      </c>
      <c r="Z147" s="9">
        <v>0.0</v>
      </c>
      <c r="AA147" s="9">
        <v>0.0</v>
      </c>
      <c r="AB147" s="15"/>
      <c r="AC147" s="15"/>
      <c r="AD147" s="9" t="str">
        <f t="shared" si="1"/>
        <v>#REF!</v>
      </c>
    </row>
    <row r="148" hidden="1">
      <c r="A148" s="2" t="s">
        <v>609</v>
      </c>
      <c r="B148" s="2" t="s">
        <v>963</v>
      </c>
      <c r="C148" s="15"/>
      <c r="D148" s="2" t="s">
        <v>64</v>
      </c>
      <c r="E148" s="7" t="b">
        <v>1</v>
      </c>
      <c r="F148" s="9">
        <v>150.0</v>
      </c>
      <c r="G148" s="9">
        <v>13.28726015365544</v>
      </c>
      <c r="H148" s="9">
        <v>0.0085825153333333</v>
      </c>
      <c r="I148" s="7" t="b">
        <v>1</v>
      </c>
      <c r="J148" s="9">
        <v>0.0</v>
      </c>
      <c r="K148" s="7" t="b">
        <v>0</v>
      </c>
      <c r="L148" s="9">
        <v>140.0</v>
      </c>
      <c r="M148" s="9">
        <v>0.9333</v>
      </c>
      <c r="N148" s="2" t="s">
        <v>2379</v>
      </c>
      <c r="O148" s="2" t="s">
        <v>2380</v>
      </c>
      <c r="P148" s="9">
        <v>44.54</v>
      </c>
      <c r="Q148" s="9">
        <v>41.5</v>
      </c>
      <c r="R148" s="9">
        <v>0.035714</v>
      </c>
      <c r="S148" s="9">
        <v>0.6293</v>
      </c>
      <c r="T148" s="9">
        <v>0.9893</v>
      </c>
      <c r="U148" s="2" t="s">
        <v>220</v>
      </c>
      <c r="V148" s="9">
        <v>0.0</v>
      </c>
      <c r="W148" s="2" t="s">
        <v>82</v>
      </c>
      <c r="X148" s="2" t="s">
        <v>237</v>
      </c>
      <c r="Y148" s="2" t="s">
        <v>1810</v>
      </c>
      <c r="Z148" s="9">
        <v>0.4882</v>
      </c>
      <c r="AA148" s="9">
        <v>0.6293</v>
      </c>
      <c r="AB148" s="9">
        <v>0.0</v>
      </c>
      <c r="AC148" s="9">
        <v>0.8538</v>
      </c>
      <c r="AD148" s="9" t="str">
        <f t="shared" si="1"/>
        <v>#REF!</v>
      </c>
    </row>
    <row r="149" hidden="1">
      <c r="A149" s="2" t="s">
        <v>609</v>
      </c>
      <c r="B149" s="2" t="s">
        <v>997</v>
      </c>
      <c r="C149" s="15"/>
      <c r="D149" s="2" t="s">
        <v>64</v>
      </c>
      <c r="E149" s="7" t="b">
        <v>1</v>
      </c>
      <c r="F149" s="9">
        <v>90.0</v>
      </c>
      <c r="G149" s="9">
        <v>15.71820665115636</v>
      </c>
      <c r="H149" s="9">
        <v>0.0015021393333333</v>
      </c>
      <c r="I149" s="7" t="b">
        <v>1</v>
      </c>
      <c r="J149" s="9">
        <v>0.0</v>
      </c>
      <c r="K149" s="7" t="b">
        <v>0</v>
      </c>
      <c r="L149" s="9">
        <v>57.0</v>
      </c>
      <c r="M149" s="9">
        <v>0.6333</v>
      </c>
      <c r="N149" s="2" t="s">
        <v>2329</v>
      </c>
      <c r="O149" s="2" t="s">
        <v>2330</v>
      </c>
      <c r="P149" s="9">
        <v>48.14</v>
      </c>
      <c r="Q149" s="9">
        <v>44.0</v>
      </c>
      <c r="R149" s="9">
        <v>0.2</v>
      </c>
      <c r="S149" s="9">
        <v>0.4907</v>
      </c>
      <c r="T149" s="9">
        <v>0.9796</v>
      </c>
      <c r="U149" s="2" t="s">
        <v>1571</v>
      </c>
      <c r="V149" s="9">
        <v>0.0</v>
      </c>
      <c r="W149" s="2" t="s">
        <v>157</v>
      </c>
      <c r="X149" s="2" t="s">
        <v>495</v>
      </c>
      <c r="Y149" s="2" t="s">
        <v>1418</v>
      </c>
      <c r="Z149" s="9">
        <v>0.3821</v>
      </c>
      <c r="AA149" s="9">
        <v>0.4907</v>
      </c>
      <c r="AB149" s="9">
        <v>0.0</v>
      </c>
      <c r="AC149" s="9">
        <v>0.8345</v>
      </c>
      <c r="AD149" s="9" t="str">
        <f t="shared" si="1"/>
        <v>#REF!</v>
      </c>
    </row>
    <row r="150" hidden="1">
      <c r="A150" s="2" t="s">
        <v>609</v>
      </c>
      <c r="B150" s="2" t="s">
        <v>1004</v>
      </c>
      <c r="C150" s="15"/>
      <c r="D150" s="2" t="s">
        <v>64</v>
      </c>
      <c r="E150" s="7" t="b">
        <v>1</v>
      </c>
      <c r="F150" s="9">
        <v>384.0</v>
      </c>
      <c r="G150" s="9">
        <v>7.078287175544013</v>
      </c>
      <c r="H150" s="9">
        <v>0.00168768359375</v>
      </c>
      <c r="I150" s="7" t="b">
        <v>1</v>
      </c>
      <c r="J150" s="9">
        <v>0.0</v>
      </c>
      <c r="K150" s="7" t="b">
        <v>0</v>
      </c>
      <c r="L150" s="9">
        <v>38.0</v>
      </c>
      <c r="M150" s="9">
        <v>0.099</v>
      </c>
      <c r="N150" s="2" t="s">
        <v>1495</v>
      </c>
      <c r="O150" s="2" t="s">
        <v>1486</v>
      </c>
      <c r="P150" s="9">
        <v>36.74</v>
      </c>
      <c r="Q150" s="9">
        <v>36.0</v>
      </c>
      <c r="R150" s="9">
        <v>0.125</v>
      </c>
      <c r="S150" s="9">
        <v>0.2508</v>
      </c>
      <c r="T150" s="9">
        <v>0.4915</v>
      </c>
      <c r="U150" s="2" t="s">
        <v>1139</v>
      </c>
      <c r="V150" s="9">
        <v>0.0</v>
      </c>
      <c r="W150" s="2" t="s">
        <v>82</v>
      </c>
      <c r="X150" s="2" t="s">
        <v>1466</v>
      </c>
      <c r="Y150" s="2" t="s">
        <v>2393</v>
      </c>
      <c r="Z150" s="9">
        <v>0.2317</v>
      </c>
      <c r="AA150" s="9">
        <v>0.2508</v>
      </c>
      <c r="AB150" s="9">
        <v>0.0</v>
      </c>
      <c r="AC150" s="9">
        <v>0.186</v>
      </c>
      <c r="AD150" s="9" t="str">
        <f t="shared" si="1"/>
        <v>#REF!</v>
      </c>
    </row>
    <row r="151" hidden="1">
      <c r="A151" s="2" t="s">
        <v>609</v>
      </c>
      <c r="B151" s="2" t="s">
        <v>1027</v>
      </c>
      <c r="C151" s="15"/>
      <c r="D151" s="2" t="s">
        <v>64</v>
      </c>
      <c r="E151" s="7" t="b">
        <v>1</v>
      </c>
      <c r="F151" s="9">
        <v>510.0</v>
      </c>
      <c r="G151" s="9">
        <v>6.225410023687484</v>
      </c>
      <c r="H151" s="9">
        <v>0.0020573921568627</v>
      </c>
      <c r="I151" s="7" t="b">
        <v>1</v>
      </c>
      <c r="J151" s="9">
        <v>0.0</v>
      </c>
      <c r="K151" s="7" t="b">
        <v>0</v>
      </c>
      <c r="L151" s="9">
        <v>182.0</v>
      </c>
      <c r="M151" s="9">
        <v>0.3569</v>
      </c>
      <c r="N151" s="2" t="s">
        <v>2397</v>
      </c>
      <c r="O151" s="2" t="s">
        <v>2090</v>
      </c>
      <c r="P151" s="9">
        <v>42.79</v>
      </c>
      <c r="Q151" s="9">
        <v>40.0</v>
      </c>
      <c r="R151" s="9">
        <v>0.0</v>
      </c>
      <c r="S151" s="9">
        <v>0.6357</v>
      </c>
      <c r="T151" s="9">
        <v>0.9553</v>
      </c>
      <c r="U151" s="2" t="s">
        <v>2398</v>
      </c>
      <c r="V151" s="9">
        <v>0.0</v>
      </c>
      <c r="W151" s="2" t="s">
        <v>157</v>
      </c>
      <c r="X151" s="2" t="s">
        <v>1521</v>
      </c>
      <c r="Y151" s="2" t="s">
        <v>1491</v>
      </c>
      <c r="Z151" s="9">
        <v>0.5086</v>
      </c>
      <c r="AA151" s="9">
        <v>0.6357</v>
      </c>
      <c r="AB151" s="9">
        <v>0.0</v>
      </c>
      <c r="AC151" s="9">
        <v>0.1426</v>
      </c>
      <c r="AD151" s="9" t="str">
        <f t="shared" si="1"/>
        <v>#REF!</v>
      </c>
    </row>
    <row r="152" hidden="1">
      <c r="A152" s="2" t="s">
        <v>609</v>
      </c>
      <c r="B152" s="2" t="s">
        <v>1031</v>
      </c>
      <c r="C152" s="15"/>
      <c r="D152" s="2" t="s">
        <v>64</v>
      </c>
      <c r="E152" s="7" t="b">
        <v>1</v>
      </c>
      <c r="F152" s="9">
        <v>12491.0</v>
      </c>
      <c r="G152" s="9">
        <v>14.78853509086196</v>
      </c>
      <c r="H152" s="9">
        <v>0.4819403586582339</v>
      </c>
      <c r="I152" s="7" t="b">
        <v>1</v>
      </c>
      <c r="J152" s="9">
        <v>0.0</v>
      </c>
      <c r="K152" s="7" t="b">
        <v>0</v>
      </c>
      <c r="L152" s="9">
        <v>11380.0</v>
      </c>
      <c r="M152" s="9">
        <v>0.9111</v>
      </c>
      <c r="N152" s="2" t="s">
        <v>2402</v>
      </c>
      <c r="O152" s="2" t="s">
        <v>2403</v>
      </c>
      <c r="P152" s="9">
        <v>46.02</v>
      </c>
      <c r="Q152" s="9">
        <v>43.0</v>
      </c>
      <c r="R152" s="9">
        <v>0.021921</v>
      </c>
      <c r="S152" s="9">
        <v>0.9566</v>
      </c>
      <c r="T152" s="9">
        <v>0.9292</v>
      </c>
      <c r="U152" s="2" t="s">
        <v>2258</v>
      </c>
      <c r="V152" s="9">
        <v>0.8907</v>
      </c>
      <c r="W152" s="2" t="s">
        <v>82</v>
      </c>
      <c r="X152" s="2" t="s">
        <v>99</v>
      </c>
      <c r="Y152" s="2" t="s">
        <v>1515</v>
      </c>
      <c r="Z152" s="9">
        <v>0.8861</v>
      </c>
      <c r="AA152" s="9">
        <v>0.9566</v>
      </c>
      <c r="AB152" s="9">
        <v>0.8907</v>
      </c>
      <c r="AC152" s="9">
        <v>0.86</v>
      </c>
      <c r="AD152" s="9" t="str">
        <f t="shared" si="1"/>
        <v>#REF!</v>
      </c>
    </row>
    <row r="153" hidden="1">
      <c r="A153" s="2" t="s">
        <v>613</v>
      </c>
      <c r="B153" s="2" t="s">
        <v>963</v>
      </c>
      <c r="C153" s="15"/>
      <c r="D153" s="2" t="s">
        <v>64</v>
      </c>
      <c r="E153" s="7" t="b">
        <v>1</v>
      </c>
      <c r="F153" s="9">
        <v>54.0</v>
      </c>
      <c r="G153" s="9">
        <v>13.40380677741844</v>
      </c>
      <c r="H153" s="9">
        <v>0.0031571</v>
      </c>
      <c r="I153" s="7" t="b">
        <v>1</v>
      </c>
      <c r="J153" s="9">
        <v>0.0</v>
      </c>
      <c r="K153" s="7" t="b">
        <v>0</v>
      </c>
      <c r="L153" s="9">
        <v>64.0</v>
      </c>
      <c r="M153" s="9">
        <v>1.1852</v>
      </c>
      <c r="N153" s="2" t="s">
        <v>400</v>
      </c>
      <c r="O153" s="2" t="s">
        <v>402</v>
      </c>
      <c r="P153" s="9">
        <v>43.81</v>
      </c>
      <c r="Q153" s="9">
        <v>41.0</v>
      </c>
      <c r="R153" s="9">
        <v>0.181818</v>
      </c>
      <c r="S153" s="9">
        <v>0.5361</v>
      </c>
      <c r="T153" s="9">
        <v>1.0006</v>
      </c>
      <c r="U153" s="2" t="s">
        <v>220</v>
      </c>
      <c r="V153" s="9">
        <v>0.0</v>
      </c>
      <c r="W153" s="2" t="s">
        <v>82</v>
      </c>
      <c r="X153" s="2" t="s">
        <v>237</v>
      </c>
      <c r="Y153" s="2" t="s">
        <v>1810</v>
      </c>
      <c r="Z153" s="9">
        <v>0.4134</v>
      </c>
      <c r="AA153" s="9">
        <v>0.5361</v>
      </c>
      <c r="AB153" s="9">
        <v>0.0</v>
      </c>
      <c r="AC153" s="9">
        <v>0.8458</v>
      </c>
      <c r="AD153" s="9" t="str">
        <f t="shared" si="1"/>
        <v>#REF!</v>
      </c>
    </row>
    <row r="154" hidden="1">
      <c r="A154" s="2" t="s">
        <v>624</v>
      </c>
      <c r="B154" s="2" t="s">
        <v>963</v>
      </c>
      <c r="C154" s="15"/>
      <c r="D154" s="2" t="s">
        <v>64</v>
      </c>
      <c r="E154" s="7" t="b">
        <v>1</v>
      </c>
      <c r="F154" s="9">
        <v>70.0</v>
      </c>
      <c r="G154" s="9">
        <v>12.8749761186267</v>
      </c>
      <c r="H154" s="9">
        <v>0.0037735714285714</v>
      </c>
      <c r="I154" s="7" t="b">
        <v>1</v>
      </c>
      <c r="J154" s="9">
        <v>0.0</v>
      </c>
      <c r="K154" s="7" t="b">
        <v>0</v>
      </c>
      <c r="L154" s="9">
        <v>64.0</v>
      </c>
      <c r="M154" s="9">
        <v>0.9143</v>
      </c>
      <c r="N154" s="2" t="s">
        <v>2162</v>
      </c>
      <c r="O154" s="2" t="s">
        <v>1396</v>
      </c>
      <c r="P154" s="9">
        <v>46.06</v>
      </c>
      <c r="Q154" s="9">
        <v>45.5</v>
      </c>
      <c r="R154" s="9">
        <v>0.066667</v>
      </c>
      <c r="S154" s="9">
        <v>0.5305</v>
      </c>
      <c r="T154" s="9">
        <v>1.0006</v>
      </c>
      <c r="U154" s="2" t="s">
        <v>2338</v>
      </c>
      <c r="V154" s="9">
        <v>0.0</v>
      </c>
      <c r="W154" s="2" t="s">
        <v>82</v>
      </c>
      <c r="X154" s="2" t="s">
        <v>237</v>
      </c>
      <c r="Y154" s="2" t="s">
        <v>1810</v>
      </c>
      <c r="Z154" s="9">
        <v>0.4134</v>
      </c>
      <c r="AA154" s="9">
        <v>0.5305</v>
      </c>
      <c r="AB154" s="9">
        <v>0.0</v>
      </c>
      <c r="AC154" s="9">
        <v>0.7628</v>
      </c>
      <c r="AD154" s="9" t="str">
        <f t="shared" si="1"/>
        <v>#REF!</v>
      </c>
    </row>
    <row r="155" hidden="1">
      <c r="A155" s="2" t="s">
        <v>627</v>
      </c>
      <c r="B155" s="2" t="s">
        <v>1024</v>
      </c>
      <c r="C155" s="15"/>
      <c r="D155" s="2" t="s">
        <v>64</v>
      </c>
      <c r="E155" s="7" t="b">
        <v>1</v>
      </c>
      <c r="F155" s="9">
        <v>215.0</v>
      </c>
      <c r="G155" s="9">
        <v>16.92135040777343</v>
      </c>
      <c r="H155" s="9">
        <v>0.002058145116279</v>
      </c>
      <c r="I155" s="7" t="b">
        <v>1</v>
      </c>
      <c r="J155" s="9">
        <v>0.0</v>
      </c>
      <c r="K155" s="7" t="b">
        <v>0</v>
      </c>
      <c r="L155" s="9">
        <v>75.0</v>
      </c>
      <c r="M155" s="9">
        <v>0.3488</v>
      </c>
      <c r="N155" s="2" t="s">
        <v>1952</v>
      </c>
      <c r="O155" s="2" t="s">
        <v>1953</v>
      </c>
      <c r="P155" s="9">
        <v>53.16</v>
      </c>
      <c r="Q155" s="9">
        <v>50.0</v>
      </c>
      <c r="R155" s="9">
        <v>0.0</v>
      </c>
      <c r="S155" s="9">
        <v>0.5179</v>
      </c>
      <c r="T155" s="9">
        <v>0.9885</v>
      </c>
      <c r="U155" s="2" t="s">
        <v>2426</v>
      </c>
      <c r="V155" s="9">
        <v>0.0</v>
      </c>
      <c r="W155" s="2" t="s">
        <v>82</v>
      </c>
      <c r="X155" s="2" t="s">
        <v>1466</v>
      </c>
      <c r="Y155" s="2" t="s">
        <v>1542</v>
      </c>
      <c r="Z155" s="9">
        <v>0.4068</v>
      </c>
      <c r="AA155" s="9">
        <v>0.5179</v>
      </c>
      <c r="AB155" s="9">
        <v>0.0</v>
      </c>
      <c r="AC155" s="9">
        <v>0.2201</v>
      </c>
      <c r="AD155" s="9" t="str">
        <f t="shared" si="1"/>
        <v>#REF!</v>
      </c>
    </row>
    <row r="156" hidden="1">
      <c r="A156" s="2" t="s">
        <v>630</v>
      </c>
      <c r="B156" s="2" t="s">
        <v>163</v>
      </c>
      <c r="C156" s="15"/>
      <c r="D156" s="2" t="s">
        <v>64</v>
      </c>
      <c r="E156" s="7" t="b">
        <v>1</v>
      </c>
      <c r="F156" s="9">
        <v>2.0</v>
      </c>
      <c r="G156" s="9">
        <v>10.01465537703709</v>
      </c>
      <c r="H156" s="9">
        <v>0.003101</v>
      </c>
      <c r="I156" s="7" t="b">
        <v>1</v>
      </c>
      <c r="J156" s="9">
        <v>0.0</v>
      </c>
      <c r="K156" s="7" t="b">
        <v>0</v>
      </c>
      <c r="L156" s="9">
        <v>7.0</v>
      </c>
      <c r="M156" s="9">
        <v>3.5</v>
      </c>
      <c r="N156" s="2" t="s">
        <v>1934</v>
      </c>
      <c r="O156" s="2" t="s">
        <v>532</v>
      </c>
      <c r="P156" s="9">
        <v>66.86</v>
      </c>
      <c r="Q156" s="9">
        <v>59.0</v>
      </c>
      <c r="R156" s="9">
        <v>0.0</v>
      </c>
      <c r="S156" s="9">
        <v>0.3884</v>
      </c>
      <c r="T156" s="9">
        <v>1.0016</v>
      </c>
      <c r="U156" s="2" t="s">
        <v>2432</v>
      </c>
      <c r="V156" s="15"/>
      <c r="W156" s="2" t="s">
        <v>82</v>
      </c>
      <c r="X156" s="2" t="s">
        <v>1621</v>
      </c>
      <c r="Y156" s="2" t="s">
        <v>1622</v>
      </c>
      <c r="Z156" s="9">
        <v>0.2661</v>
      </c>
      <c r="AA156" s="9">
        <v>0.3884</v>
      </c>
      <c r="AB156" s="15"/>
      <c r="AC156" s="9">
        <v>0.6811</v>
      </c>
      <c r="AD156" s="9" t="str">
        <f t="shared" si="1"/>
        <v>#REF!</v>
      </c>
    </row>
    <row r="157" hidden="1">
      <c r="A157" s="2" t="s">
        <v>632</v>
      </c>
      <c r="B157" s="2" t="s">
        <v>163</v>
      </c>
      <c r="C157" s="15"/>
      <c r="D157" s="2" t="s">
        <v>64</v>
      </c>
      <c r="E157" s="7" t="b">
        <v>1</v>
      </c>
      <c r="F157" s="9">
        <v>2.0</v>
      </c>
      <c r="G157" s="9">
        <v>17.54490882673499</v>
      </c>
      <c r="H157" s="9">
        <v>0.00949725</v>
      </c>
      <c r="I157" s="7" t="b">
        <v>1</v>
      </c>
      <c r="J157" s="9">
        <v>0.0</v>
      </c>
      <c r="K157" s="7" t="b">
        <v>0</v>
      </c>
      <c r="L157" s="9">
        <v>4.0</v>
      </c>
      <c r="M157" s="9">
        <v>2.0</v>
      </c>
      <c r="N157" s="2" t="s">
        <v>2162</v>
      </c>
      <c r="O157" s="2" t="s">
        <v>1396</v>
      </c>
      <c r="P157" s="9">
        <v>47.25</v>
      </c>
      <c r="Q157" s="9">
        <v>44.5</v>
      </c>
      <c r="R157" s="9">
        <v>0.0</v>
      </c>
      <c r="S157" s="9">
        <v>0.2767</v>
      </c>
      <c r="T157" s="9">
        <v>1.0006</v>
      </c>
      <c r="U157" s="2" t="s">
        <v>1693</v>
      </c>
      <c r="V157" s="15"/>
      <c r="W157" s="2" t="s">
        <v>82</v>
      </c>
      <c r="X157" s="2" t="s">
        <v>1621</v>
      </c>
      <c r="Y157" s="2" t="s">
        <v>1622</v>
      </c>
      <c r="Z157" s="9">
        <v>0.1896</v>
      </c>
      <c r="AA157" s="9">
        <v>0.2767</v>
      </c>
      <c r="AB157" s="15"/>
      <c r="AC157" s="9">
        <v>0.55</v>
      </c>
      <c r="AD157" s="9" t="str">
        <f t="shared" si="1"/>
        <v>#REF!</v>
      </c>
    </row>
    <row r="158" hidden="1">
      <c r="A158" s="2" t="s">
        <v>646</v>
      </c>
      <c r="B158" s="2" t="s">
        <v>163</v>
      </c>
      <c r="C158" s="15"/>
      <c r="D158" s="2" t="s">
        <v>64</v>
      </c>
      <c r="E158" s="7" t="b">
        <v>1</v>
      </c>
      <c r="F158" s="9">
        <v>1.0</v>
      </c>
      <c r="G158" s="9">
        <v>11.00886592103227</v>
      </c>
      <c r="H158" s="9">
        <v>0.0018766</v>
      </c>
      <c r="I158" s="7" t="b">
        <v>1</v>
      </c>
      <c r="J158" s="9">
        <v>0.0</v>
      </c>
      <c r="K158" s="7" t="b">
        <v>0</v>
      </c>
      <c r="L158" s="9">
        <v>4.0</v>
      </c>
      <c r="M158" s="9">
        <v>4.0</v>
      </c>
      <c r="N158" s="2" t="s">
        <v>1460</v>
      </c>
      <c r="O158" s="2" t="s">
        <v>1912</v>
      </c>
      <c r="P158" s="9">
        <v>57.75</v>
      </c>
      <c r="Q158" s="9">
        <v>64.5</v>
      </c>
      <c r="R158" s="9">
        <v>0.0</v>
      </c>
      <c r="S158" s="9">
        <v>0.2767</v>
      </c>
      <c r="T158" s="9">
        <v>1.0008</v>
      </c>
      <c r="U158" s="2" t="s">
        <v>2443</v>
      </c>
      <c r="V158" s="15"/>
      <c r="W158" s="2" t="s">
        <v>157</v>
      </c>
      <c r="X158" s="2" t="s">
        <v>1455</v>
      </c>
      <c r="Y158" s="2" t="s">
        <v>2086</v>
      </c>
      <c r="Z158" s="9">
        <v>0.1896</v>
      </c>
      <c r="AA158" s="9">
        <v>0.2767</v>
      </c>
      <c r="AB158" s="15"/>
      <c r="AC158" s="9">
        <v>0.675</v>
      </c>
      <c r="AD158" s="9" t="str">
        <f t="shared" si="1"/>
        <v>#REF!</v>
      </c>
    </row>
    <row r="159" hidden="1">
      <c r="A159" s="2" t="s">
        <v>646</v>
      </c>
      <c r="B159" s="2" t="s">
        <v>170</v>
      </c>
      <c r="C159" s="15"/>
      <c r="D159" s="2" t="s">
        <v>64</v>
      </c>
      <c r="E159" s="7" t="b">
        <v>1</v>
      </c>
      <c r="F159" s="9">
        <v>1.0</v>
      </c>
      <c r="G159" s="9">
        <v>18.01737511079574</v>
      </c>
      <c r="H159" s="9">
        <v>0.0036774</v>
      </c>
      <c r="I159" s="7" t="b">
        <v>1</v>
      </c>
      <c r="J159" s="9">
        <v>0.0</v>
      </c>
      <c r="K159" s="7" t="b">
        <v>0</v>
      </c>
      <c r="L159" s="9">
        <v>3.0</v>
      </c>
      <c r="M159" s="9">
        <v>3.0</v>
      </c>
      <c r="N159" s="2" t="s">
        <v>1984</v>
      </c>
      <c r="O159" s="2" t="s">
        <v>1985</v>
      </c>
      <c r="P159" s="9">
        <v>54.33</v>
      </c>
      <c r="Q159" s="9">
        <v>62.0</v>
      </c>
      <c r="R159" s="9">
        <v>0.0</v>
      </c>
      <c r="S159" s="9">
        <v>0.2193</v>
      </c>
      <c r="T159" s="9">
        <v>1.0005</v>
      </c>
      <c r="U159" s="2" t="s">
        <v>2450</v>
      </c>
      <c r="V159" s="15"/>
      <c r="W159" s="2" t="s">
        <v>82</v>
      </c>
      <c r="X159" s="2" t="s">
        <v>1621</v>
      </c>
      <c r="Y159" s="2" t="s">
        <v>1622</v>
      </c>
      <c r="Z159" s="9">
        <v>0.1503</v>
      </c>
      <c r="AA159" s="9">
        <v>0.2193</v>
      </c>
      <c r="AB159" s="15"/>
      <c r="AC159" s="9">
        <v>0.3</v>
      </c>
      <c r="AD159" s="9" t="str">
        <f t="shared" si="1"/>
        <v>#REF!</v>
      </c>
    </row>
    <row r="160" hidden="1">
      <c r="A160" s="2" t="s">
        <v>660</v>
      </c>
      <c r="B160" s="2" t="s">
        <v>163</v>
      </c>
      <c r="C160" s="15"/>
      <c r="D160" s="2" t="s">
        <v>64</v>
      </c>
      <c r="E160" s="7" t="b">
        <v>1</v>
      </c>
      <c r="F160" s="9">
        <v>3.0</v>
      </c>
      <c r="G160" s="9">
        <v>24.12682286864279</v>
      </c>
      <c r="H160" s="9">
        <v>0.026784</v>
      </c>
      <c r="I160" s="7" t="b">
        <v>1</v>
      </c>
      <c r="J160" s="9">
        <v>0.0</v>
      </c>
      <c r="K160" s="7" t="b">
        <v>0</v>
      </c>
      <c r="L160" s="9">
        <v>7.0</v>
      </c>
      <c r="M160" s="9">
        <v>2.3333</v>
      </c>
      <c r="N160" s="2" t="s">
        <v>1784</v>
      </c>
      <c r="O160" s="2" t="s">
        <v>1426</v>
      </c>
      <c r="P160" s="9">
        <v>63.0</v>
      </c>
      <c r="Q160" s="9">
        <v>59.0</v>
      </c>
      <c r="R160" s="9">
        <v>0.0</v>
      </c>
      <c r="S160" s="9">
        <v>0.3884</v>
      </c>
      <c r="T160" s="9">
        <v>1.0015</v>
      </c>
      <c r="U160" s="2" t="s">
        <v>2455</v>
      </c>
      <c r="V160" s="15"/>
      <c r="W160" s="2" t="s">
        <v>82</v>
      </c>
      <c r="X160" s="2" t="s">
        <v>1621</v>
      </c>
      <c r="Y160" s="2" t="s">
        <v>1622</v>
      </c>
      <c r="Z160" s="9">
        <v>0.2661</v>
      </c>
      <c r="AA160" s="9">
        <v>0.3884</v>
      </c>
      <c r="AB160" s="15"/>
      <c r="AC160" s="9">
        <v>0.805</v>
      </c>
      <c r="AD160" s="9" t="str">
        <f t="shared" si="1"/>
        <v>#REF!</v>
      </c>
    </row>
    <row r="161" hidden="1">
      <c r="A161" s="2" t="s">
        <v>660</v>
      </c>
      <c r="B161" s="2" t="s">
        <v>176</v>
      </c>
      <c r="C161" s="15"/>
      <c r="D161" s="2" t="s">
        <v>64</v>
      </c>
      <c r="E161" s="7" t="b">
        <v>1</v>
      </c>
      <c r="F161" s="9">
        <v>1.0</v>
      </c>
      <c r="G161" s="9">
        <v>25.04327241401916</v>
      </c>
      <c r="H161" s="9">
        <v>0.009155</v>
      </c>
      <c r="I161" s="7" t="b">
        <v>1</v>
      </c>
      <c r="J161" s="9">
        <v>0.0</v>
      </c>
      <c r="K161" s="7" t="b">
        <v>0</v>
      </c>
      <c r="L161" s="9">
        <v>6.0</v>
      </c>
      <c r="M161" s="9">
        <v>6.0</v>
      </c>
      <c r="N161" s="2" t="s">
        <v>2007</v>
      </c>
      <c r="O161" s="2" t="s">
        <v>2008</v>
      </c>
      <c r="P161" s="9">
        <v>62.17</v>
      </c>
      <c r="Q161" s="9">
        <v>52.5</v>
      </c>
      <c r="R161" s="9">
        <v>0.0</v>
      </c>
      <c r="S161" s="9">
        <v>0.3571</v>
      </c>
      <c r="T161" s="9">
        <v>1.0012</v>
      </c>
      <c r="U161" s="2" t="s">
        <v>1891</v>
      </c>
      <c r="V161" s="15"/>
      <c r="W161" s="2" t="s">
        <v>157</v>
      </c>
      <c r="X161" s="2" t="s">
        <v>1455</v>
      </c>
      <c r="Y161" s="2" t="s">
        <v>2086</v>
      </c>
      <c r="Z161" s="9">
        <v>0.2448</v>
      </c>
      <c r="AA161" s="9">
        <v>0.3571</v>
      </c>
      <c r="AB161" s="15"/>
      <c r="AC161" s="9">
        <v>0.7163</v>
      </c>
      <c r="AD161" s="9" t="str">
        <f t="shared" si="1"/>
        <v>#REF!</v>
      </c>
    </row>
    <row r="162" hidden="1">
      <c r="A162" s="2" t="s">
        <v>660</v>
      </c>
      <c r="B162" s="2" t="s">
        <v>856</v>
      </c>
      <c r="C162" s="15"/>
      <c r="D162" s="2" t="s">
        <v>64</v>
      </c>
      <c r="E162" s="7" t="b">
        <v>1</v>
      </c>
      <c r="F162" s="9">
        <v>454.0</v>
      </c>
      <c r="G162" s="9">
        <v>5.957382433038206</v>
      </c>
      <c r="H162" s="9">
        <v>0.0012361352422907</v>
      </c>
      <c r="I162" s="7" t="b">
        <v>1</v>
      </c>
      <c r="J162" s="9">
        <v>0.0</v>
      </c>
      <c r="K162" s="7" t="b">
        <v>0</v>
      </c>
      <c r="L162" s="9">
        <v>0.0</v>
      </c>
      <c r="M162" s="9">
        <v>0.0</v>
      </c>
      <c r="N162" s="15"/>
      <c r="O162" s="15"/>
      <c r="P162" s="15"/>
      <c r="Q162" s="15"/>
      <c r="R162" s="15"/>
      <c r="S162" s="9">
        <v>0.0</v>
      </c>
      <c r="T162" s="9">
        <v>0.0</v>
      </c>
      <c r="U162" s="15"/>
      <c r="V162" s="15"/>
      <c r="W162" s="2" t="s">
        <v>82</v>
      </c>
      <c r="X162" s="2" t="s">
        <v>1787</v>
      </c>
      <c r="Y162" s="2" t="s">
        <v>2211</v>
      </c>
      <c r="Z162" s="9">
        <v>0.0</v>
      </c>
      <c r="AA162" s="9">
        <v>0.0</v>
      </c>
      <c r="AB162" s="15"/>
      <c r="AC162" s="15"/>
      <c r="AD162" s="9" t="str">
        <f t="shared" si="1"/>
        <v>#REF!</v>
      </c>
    </row>
    <row r="163" hidden="1">
      <c r="A163" s="2" t="s">
        <v>673</v>
      </c>
      <c r="B163" s="2" t="s">
        <v>856</v>
      </c>
      <c r="C163" s="15"/>
      <c r="D163" s="2" t="s">
        <v>64</v>
      </c>
      <c r="E163" s="7" t="b">
        <v>1</v>
      </c>
      <c r="F163" s="9">
        <v>1122.0</v>
      </c>
      <c r="G163" s="9">
        <v>4.585187639118198</v>
      </c>
      <c r="H163" s="9">
        <v>0.0018064032976827</v>
      </c>
      <c r="I163" s="7" t="b">
        <v>1</v>
      </c>
      <c r="J163" s="9">
        <v>0.0</v>
      </c>
      <c r="K163" s="7" t="b">
        <v>0</v>
      </c>
      <c r="L163" s="9">
        <v>0.0</v>
      </c>
      <c r="M163" s="9">
        <v>0.0</v>
      </c>
      <c r="N163" s="15"/>
      <c r="O163" s="15"/>
      <c r="P163" s="15"/>
      <c r="Q163" s="15"/>
      <c r="R163" s="15"/>
      <c r="S163" s="9">
        <v>0.0</v>
      </c>
      <c r="T163" s="9">
        <v>0.0</v>
      </c>
      <c r="U163" s="15"/>
      <c r="V163" s="15"/>
      <c r="W163" s="2" t="s">
        <v>82</v>
      </c>
      <c r="X163" s="2" t="s">
        <v>1787</v>
      </c>
      <c r="Y163" s="2" t="s">
        <v>2211</v>
      </c>
      <c r="Z163" s="9">
        <v>0.0</v>
      </c>
      <c r="AA163" s="9">
        <v>0.0</v>
      </c>
      <c r="AB163" s="15"/>
      <c r="AC163" s="15"/>
      <c r="AD163" s="9" t="str">
        <f t="shared" si="1"/>
        <v>#REF!</v>
      </c>
    </row>
    <row r="164" hidden="1">
      <c r="A164" s="2" t="s">
        <v>678</v>
      </c>
      <c r="B164" s="2" t="s">
        <v>997</v>
      </c>
      <c r="C164" s="15"/>
      <c r="D164" s="2" t="s">
        <v>64</v>
      </c>
      <c r="E164" s="7" t="b">
        <v>1</v>
      </c>
      <c r="F164" s="9">
        <v>368.0</v>
      </c>
      <c r="G164" s="9">
        <v>18.17729535302376</v>
      </c>
      <c r="H164" s="9">
        <v>0.0081877581521739</v>
      </c>
      <c r="I164" s="7" t="b">
        <v>1</v>
      </c>
      <c r="J164" s="9">
        <v>0.0</v>
      </c>
      <c r="K164" s="7" t="b">
        <v>0</v>
      </c>
      <c r="L164" s="9">
        <v>257.0</v>
      </c>
      <c r="M164" s="9">
        <v>0.6984</v>
      </c>
      <c r="N164" s="2" t="s">
        <v>1266</v>
      </c>
      <c r="O164" s="2" t="s">
        <v>1267</v>
      </c>
      <c r="P164" s="9">
        <v>53.29</v>
      </c>
      <c r="Q164" s="9">
        <v>52.0</v>
      </c>
      <c r="R164" s="9">
        <v>0.0</v>
      </c>
      <c r="S164" s="9">
        <v>0.6717</v>
      </c>
      <c r="T164" s="9">
        <v>0.9952</v>
      </c>
      <c r="U164" s="2" t="s">
        <v>1553</v>
      </c>
      <c r="V164" s="9">
        <v>0.8833</v>
      </c>
      <c r="W164" s="2" t="s">
        <v>82</v>
      </c>
      <c r="X164" s="2" t="s">
        <v>237</v>
      </c>
      <c r="Y164" s="2" t="s">
        <v>1428</v>
      </c>
      <c r="Z164" s="9">
        <v>0.5312</v>
      </c>
      <c r="AA164" s="9">
        <v>0.6717</v>
      </c>
      <c r="AB164" s="9">
        <v>0.8833</v>
      </c>
      <c r="AC164" s="9">
        <v>0.7179</v>
      </c>
      <c r="AD164" s="9" t="str">
        <f t="shared" si="1"/>
        <v>#REF!</v>
      </c>
    </row>
    <row r="165" hidden="1">
      <c r="A165" s="2" t="s">
        <v>682</v>
      </c>
      <c r="B165" s="2" t="s">
        <v>176</v>
      </c>
      <c r="C165" s="15"/>
      <c r="D165" s="2" t="s">
        <v>64</v>
      </c>
      <c r="E165" s="7" t="b">
        <v>1</v>
      </c>
      <c r="F165" s="9">
        <v>1.0</v>
      </c>
      <c r="G165" s="9">
        <v>23.03662280182062</v>
      </c>
      <c r="H165" s="9">
        <v>0.0077487</v>
      </c>
      <c r="I165" s="7" t="b">
        <v>1</v>
      </c>
      <c r="J165" s="9">
        <v>0.0</v>
      </c>
      <c r="K165" s="7" t="b">
        <v>0</v>
      </c>
      <c r="L165" s="9">
        <v>1.0</v>
      </c>
      <c r="M165" s="9">
        <v>1.0</v>
      </c>
      <c r="N165" s="2" t="s">
        <v>2474</v>
      </c>
      <c r="O165" s="2" t="s">
        <v>2475</v>
      </c>
      <c r="P165" s="9">
        <v>60.0</v>
      </c>
      <c r="Q165" s="9">
        <v>60.0</v>
      </c>
      <c r="R165" s="9">
        <v>0.0</v>
      </c>
      <c r="S165" s="9">
        <v>0.0</v>
      </c>
      <c r="T165" s="9">
        <v>1.0002</v>
      </c>
      <c r="U165" s="2" t="s">
        <v>1630</v>
      </c>
      <c r="V165" s="15"/>
      <c r="W165" s="2" t="s">
        <v>82</v>
      </c>
      <c r="X165" s="2" t="s">
        <v>1621</v>
      </c>
      <c r="Y165" s="2" t="s">
        <v>1622</v>
      </c>
      <c r="Z165" s="9">
        <v>0.0</v>
      </c>
      <c r="AA165" s="9">
        <v>0.0</v>
      </c>
      <c r="AB165" s="15"/>
      <c r="AC165" s="9">
        <v>0.0</v>
      </c>
      <c r="AD165" s="9" t="str">
        <f t="shared" si="1"/>
        <v>#REF!</v>
      </c>
    </row>
    <row r="166" hidden="1">
      <c r="A166" s="2" t="s">
        <v>717</v>
      </c>
      <c r="B166" s="2" t="s">
        <v>176</v>
      </c>
      <c r="C166" s="15"/>
      <c r="D166" s="2" t="s">
        <v>64</v>
      </c>
      <c r="E166" s="7" t="b">
        <v>1</v>
      </c>
      <c r="F166" s="9">
        <v>1.0</v>
      </c>
      <c r="G166" s="9">
        <v>13.01169452941856</v>
      </c>
      <c r="H166" s="9">
        <v>0.0024752</v>
      </c>
      <c r="I166" s="7" t="b">
        <v>1</v>
      </c>
      <c r="J166" s="9">
        <v>0.0</v>
      </c>
      <c r="K166" s="7" t="b">
        <v>0</v>
      </c>
      <c r="L166" s="9">
        <v>2.0</v>
      </c>
      <c r="M166" s="9">
        <v>2.0</v>
      </c>
      <c r="N166" s="2" t="s">
        <v>2329</v>
      </c>
      <c r="O166" s="2" t="s">
        <v>2330</v>
      </c>
      <c r="P166" s="9">
        <v>57.0</v>
      </c>
      <c r="Q166" s="9">
        <v>57.0</v>
      </c>
      <c r="R166" s="9">
        <v>0.0</v>
      </c>
      <c r="S166" s="9">
        <v>0.1382</v>
      </c>
      <c r="T166" s="9">
        <v>1.0004</v>
      </c>
      <c r="U166" s="2" t="s">
        <v>2293</v>
      </c>
      <c r="V166" s="15"/>
      <c r="W166" s="2" t="s">
        <v>82</v>
      </c>
      <c r="X166" s="2" t="s">
        <v>1621</v>
      </c>
      <c r="Y166" s="2" t="s">
        <v>1622</v>
      </c>
      <c r="Z166" s="9">
        <v>0.0947</v>
      </c>
      <c r="AA166" s="9">
        <v>0.1382</v>
      </c>
      <c r="AB166" s="15"/>
      <c r="AC166" s="9">
        <v>0.55</v>
      </c>
      <c r="AD166" s="9" t="str">
        <f t="shared" si="1"/>
        <v>#REF!</v>
      </c>
    </row>
    <row r="167" hidden="1">
      <c r="A167" s="2" t="s">
        <v>729</v>
      </c>
      <c r="B167" s="2" t="s">
        <v>163</v>
      </c>
      <c r="C167" s="15"/>
      <c r="D167" s="2" t="s">
        <v>64</v>
      </c>
      <c r="E167" s="7" t="b">
        <v>1</v>
      </c>
      <c r="F167" s="9">
        <v>7.0</v>
      </c>
      <c r="G167" s="9">
        <v>13.37649779180715</v>
      </c>
      <c r="H167" s="9">
        <v>0.019158</v>
      </c>
      <c r="I167" s="7" t="b">
        <v>1</v>
      </c>
      <c r="J167" s="9">
        <v>0.0</v>
      </c>
      <c r="K167" s="7" t="b">
        <v>0</v>
      </c>
      <c r="L167" s="9">
        <v>10.0</v>
      </c>
      <c r="M167" s="9">
        <v>1.4286</v>
      </c>
      <c r="N167" s="2" t="s">
        <v>1879</v>
      </c>
      <c r="O167" s="2" t="s">
        <v>1527</v>
      </c>
      <c r="P167" s="9">
        <v>70.6</v>
      </c>
      <c r="Q167" s="9">
        <v>76.0</v>
      </c>
      <c r="R167" s="9">
        <v>0.0</v>
      </c>
      <c r="S167" s="9">
        <v>0.4595</v>
      </c>
      <c r="T167" s="9">
        <v>1.0024</v>
      </c>
      <c r="U167" s="2" t="s">
        <v>2483</v>
      </c>
      <c r="V167" s="15"/>
      <c r="W167" s="2" t="s">
        <v>82</v>
      </c>
      <c r="X167" s="2" t="s">
        <v>1621</v>
      </c>
      <c r="Y167" s="2" t="s">
        <v>1622</v>
      </c>
      <c r="Z167" s="9">
        <v>0.3149</v>
      </c>
      <c r="AA167" s="9">
        <v>0.4595</v>
      </c>
      <c r="AB167" s="15"/>
      <c r="AC167" s="9">
        <v>0.0217</v>
      </c>
      <c r="AD167" s="9" t="str">
        <f t="shared" si="1"/>
        <v>#REF!</v>
      </c>
    </row>
    <row r="168" hidden="1">
      <c r="A168" s="2" t="s">
        <v>750</v>
      </c>
      <c r="B168" s="2" t="s">
        <v>163</v>
      </c>
      <c r="C168" s="15"/>
      <c r="D168" s="2" t="s">
        <v>64</v>
      </c>
      <c r="E168" s="7" t="b">
        <v>1</v>
      </c>
      <c r="F168" s="9">
        <v>1.0</v>
      </c>
      <c r="G168" s="9">
        <v>27.05344084972702</v>
      </c>
      <c r="H168" s="9">
        <v>0.0113049</v>
      </c>
      <c r="I168" s="7" t="b">
        <v>1</v>
      </c>
      <c r="J168" s="9">
        <v>0.0</v>
      </c>
      <c r="K168" s="7" t="b">
        <v>0</v>
      </c>
      <c r="L168" s="9">
        <v>1.0</v>
      </c>
      <c r="M168" s="9">
        <v>1.0</v>
      </c>
      <c r="N168" s="2" t="s">
        <v>1984</v>
      </c>
      <c r="O168" s="2" t="s">
        <v>1985</v>
      </c>
      <c r="P168" s="9">
        <v>168.0</v>
      </c>
      <c r="Q168" s="9">
        <v>168.0</v>
      </c>
      <c r="R168" s="9">
        <v>0.0</v>
      </c>
      <c r="S168" s="9">
        <v>0.0</v>
      </c>
      <c r="T168" s="9">
        <v>1.0006</v>
      </c>
      <c r="U168" s="2" t="s">
        <v>1630</v>
      </c>
      <c r="V168" s="15"/>
      <c r="W168" s="2" t="s">
        <v>82</v>
      </c>
      <c r="X168" s="2" t="s">
        <v>1621</v>
      </c>
      <c r="Y168" s="2" t="s">
        <v>1622</v>
      </c>
      <c r="Z168" s="9">
        <v>0.0</v>
      </c>
      <c r="AA168" s="9">
        <v>0.0</v>
      </c>
      <c r="AB168" s="15"/>
      <c r="AC168" s="9">
        <v>0.0</v>
      </c>
      <c r="AD168" s="9" t="str">
        <f t="shared" si="1"/>
        <v>#REF!</v>
      </c>
    </row>
    <row r="169" hidden="1">
      <c r="A169" s="2" t="s">
        <v>750</v>
      </c>
      <c r="B169" s="2" t="s">
        <v>963</v>
      </c>
      <c r="C169" s="15"/>
      <c r="D169" s="2" t="s">
        <v>64</v>
      </c>
      <c r="E169" s="7" t="b">
        <v>1</v>
      </c>
      <c r="F169" s="9">
        <v>61.0</v>
      </c>
      <c r="G169" s="9">
        <v>15.82675290567512</v>
      </c>
      <c r="H169" s="9">
        <v>0.0049669704918032</v>
      </c>
      <c r="I169" s="7" t="b">
        <v>1</v>
      </c>
      <c r="J169" s="9">
        <v>0.0</v>
      </c>
      <c r="K169" s="7" t="b">
        <v>0</v>
      </c>
      <c r="L169" s="9">
        <v>68.0</v>
      </c>
      <c r="M169" s="9">
        <v>1.1148</v>
      </c>
      <c r="N169" s="2" t="s">
        <v>1394</v>
      </c>
      <c r="O169" s="2" t="s">
        <v>1539</v>
      </c>
      <c r="P169" s="9">
        <v>46.97</v>
      </c>
      <c r="Q169" s="9">
        <v>45.5</v>
      </c>
      <c r="R169" s="9">
        <v>0.0</v>
      </c>
      <c r="S169" s="9">
        <v>0.5412</v>
      </c>
      <c r="T169" s="9">
        <v>1.0007</v>
      </c>
      <c r="U169" s="2" t="s">
        <v>2455</v>
      </c>
      <c r="V169" s="9">
        <v>0.0</v>
      </c>
      <c r="W169" s="2" t="s">
        <v>82</v>
      </c>
      <c r="X169" s="2" t="s">
        <v>495</v>
      </c>
      <c r="Y169" s="2" t="s">
        <v>1408</v>
      </c>
      <c r="Z169" s="9">
        <v>0.4194</v>
      </c>
      <c r="AA169" s="9">
        <v>0.5412</v>
      </c>
      <c r="AB169" s="9">
        <v>0.0</v>
      </c>
      <c r="AC169" s="9">
        <v>0.7737</v>
      </c>
      <c r="AD169" s="9" t="str">
        <f t="shared" si="1"/>
        <v>#REF!</v>
      </c>
    </row>
    <row r="170" hidden="1">
      <c r="A170" s="2" t="s">
        <v>755</v>
      </c>
      <c r="B170" s="2" t="s">
        <v>48</v>
      </c>
      <c r="C170" s="15"/>
      <c r="D170" s="2" t="s">
        <v>64</v>
      </c>
      <c r="E170" s="7" t="b">
        <v>1</v>
      </c>
      <c r="F170" s="9">
        <v>134.0</v>
      </c>
      <c r="G170" s="9">
        <v>18.27569664983315</v>
      </c>
      <c r="H170" s="9">
        <v>0.0030697067164179</v>
      </c>
      <c r="I170" s="7" t="b">
        <v>1</v>
      </c>
      <c r="J170" s="9">
        <v>0.0</v>
      </c>
      <c r="K170" s="7" t="b">
        <v>0</v>
      </c>
      <c r="L170" s="9">
        <v>93.0</v>
      </c>
      <c r="M170" s="9">
        <v>0.694</v>
      </c>
      <c r="N170" s="2" t="s">
        <v>400</v>
      </c>
      <c r="O170" s="2" t="s">
        <v>2025</v>
      </c>
      <c r="P170" s="9">
        <v>52.13</v>
      </c>
      <c r="Q170" s="9">
        <v>40.0</v>
      </c>
      <c r="R170" s="9">
        <v>0.0</v>
      </c>
      <c r="S170" s="9">
        <v>0.4447</v>
      </c>
      <c r="T170" s="9">
        <v>0.8022</v>
      </c>
      <c r="U170" s="2" t="s">
        <v>1016</v>
      </c>
      <c r="V170" s="15"/>
      <c r="W170" s="2" t="s">
        <v>82</v>
      </c>
      <c r="X170" s="2" t="s">
        <v>1621</v>
      </c>
      <c r="Y170" s="2" t="s">
        <v>2057</v>
      </c>
      <c r="Z170" s="9">
        <v>0.3468</v>
      </c>
      <c r="AA170" s="9">
        <v>0.4447</v>
      </c>
      <c r="AB170" s="15"/>
      <c r="AC170" s="9">
        <v>0.2678</v>
      </c>
      <c r="AD170" s="9" t="str">
        <f t="shared" si="1"/>
        <v>#REF!</v>
      </c>
    </row>
    <row r="171" hidden="1">
      <c r="A171" s="2" t="s">
        <v>759</v>
      </c>
      <c r="B171" s="2" t="s">
        <v>856</v>
      </c>
      <c r="C171" s="15"/>
      <c r="D171" s="2" t="s">
        <v>64</v>
      </c>
      <c r="E171" s="7" t="b">
        <v>1</v>
      </c>
      <c r="F171" s="9">
        <v>976.0</v>
      </c>
      <c r="G171" s="9">
        <v>5.254630321363307</v>
      </c>
      <c r="H171" s="9">
        <v>0.0020633346311475</v>
      </c>
      <c r="I171" s="7" t="b">
        <v>1</v>
      </c>
      <c r="J171" s="9">
        <v>0.0</v>
      </c>
      <c r="K171" s="7" t="b">
        <v>0</v>
      </c>
      <c r="L171" s="9">
        <v>0.0</v>
      </c>
      <c r="M171" s="9">
        <v>0.0</v>
      </c>
      <c r="N171" s="15"/>
      <c r="O171" s="15"/>
      <c r="P171" s="15"/>
      <c r="Q171" s="15"/>
      <c r="R171" s="15"/>
      <c r="S171" s="9">
        <v>0.0</v>
      </c>
      <c r="T171" s="9">
        <v>0.0</v>
      </c>
      <c r="U171" s="15"/>
      <c r="V171" s="15"/>
      <c r="W171" s="2" t="s">
        <v>82</v>
      </c>
      <c r="X171" s="2" t="s">
        <v>1787</v>
      </c>
      <c r="Y171" s="2" t="s">
        <v>2211</v>
      </c>
      <c r="Z171" s="9">
        <v>0.0</v>
      </c>
      <c r="AA171" s="9">
        <v>0.0</v>
      </c>
      <c r="AB171" s="15"/>
      <c r="AC171" s="15"/>
      <c r="AD171" s="9" t="str">
        <f t="shared" si="1"/>
        <v>#REF!</v>
      </c>
    </row>
    <row r="172" hidden="1">
      <c r="A172" s="2" t="s">
        <v>2503</v>
      </c>
      <c r="B172" s="2" t="s">
        <v>1024</v>
      </c>
      <c r="C172" s="15"/>
      <c r="D172" s="2" t="s">
        <v>64</v>
      </c>
      <c r="E172" s="7" t="b">
        <v>1</v>
      </c>
      <c r="F172" s="9">
        <v>1977.0</v>
      </c>
      <c r="G172" s="9">
        <v>4.451296999515818</v>
      </c>
      <c r="H172" s="9">
        <v>0.0013073094587759</v>
      </c>
      <c r="I172" s="7" t="b">
        <v>1</v>
      </c>
      <c r="J172" s="9">
        <v>0.0</v>
      </c>
      <c r="K172" s="7" t="b">
        <v>0</v>
      </c>
      <c r="L172" s="9">
        <v>54.0</v>
      </c>
      <c r="M172" s="9">
        <v>0.0273</v>
      </c>
      <c r="N172" s="2" t="s">
        <v>400</v>
      </c>
      <c r="O172" s="2" t="s">
        <v>402</v>
      </c>
      <c r="P172" s="9">
        <v>89.41</v>
      </c>
      <c r="Q172" s="9">
        <v>89.0</v>
      </c>
      <c r="R172" s="9">
        <v>0.2</v>
      </c>
      <c r="S172" s="9">
        <v>0.4671</v>
      </c>
      <c r="T172" s="9">
        <v>0.9801</v>
      </c>
      <c r="U172" s="2" t="s">
        <v>2506</v>
      </c>
      <c r="V172" s="9">
        <v>0.7368</v>
      </c>
      <c r="W172" s="2" t="s">
        <v>82</v>
      </c>
      <c r="X172" s="2" t="s">
        <v>495</v>
      </c>
      <c r="Y172" s="2" t="s">
        <v>2508</v>
      </c>
      <c r="Z172" s="9">
        <v>0.3677</v>
      </c>
      <c r="AA172" s="9">
        <v>0.4671</v>
      </c>
      <c r="AB172" s="9">
        <v>0.7368</v>
      </c>
      <c r="AC172" s="9">
        <v>0.132</v>
      </c>
      <c r="AD172" s="9" t="str">
        <f t="shared" si="1"/>
        <v>#REF!</v>
      </c>
    </row>
    <row r="173" hidden="1">
      <c r="A173" s="2" t="s">
        <v>927</v>
      </c>
      <c r="B173" s="2" t="s">
        <v>163</v>
      </c>
      <c r="C173" s="15"/>
      <c r="D173" s="2" t="s">
        <v>64</v>
      </c>
      <c r="E173" s="7" t="b">
        <v>1</v>
      </c>
      <c r="F173" s="9">
        <v>2.0</v>
      </c>
      <c r="G173" s="9">
        <v>12.0211113761882</v>
      </c>
      <c r="H173" s="9">
        <v>0.0044664</v>
      </c>
      <c r="I173" s="7" t="b">
        <v>1</v>
      </c>
      <c r="J173" s="9">
        <v>0.0</v>
      </c>
      <c r="K173" s="7" t="b">
        <v>0</v>
      </c>
      <c r="L173" s="9">
        <v>1.0</v>
      </c>
      <c r="M173" s="9">
        <v>0.5</v>
      </c>
      <c r="N173" s="2" t="s">
        <v>2329</v>
      </c>
      <c r="O173" s="2" t="s">
        <v>2330</v>
      </c>
      <c r="P173" s="9">
        <v>117.0</v>
      </c>
      <c r="Q173" s="9">
        <v>117.0</v>
      </c>
      <c r="R173" s="9">
        <v>0.0</v>
      </c>
      <c r="S173" s="9">
        <v>0.0</v>
      </c>
      <c r="T173" s="9">
        <v>1.0004</v>
      </c>
      <c r="U173" s="2" t="s">
        <v>2511</v>
      </c>
      <c r="V173" s="15"/>
      <c r="W173" s="2" t="s">
        <v>82</v>
      </c>
      <c r="X173" s="2" t="s">
        <v>1621</v>
      </c>
      <c r="Y173" s="2" t="s">
        <v>1622</v>
      </c>
      <c r="Z173" s="9">
        <v>0.0</v>
      </c>
      <c r="AA173" s="9">
        <v>0.0</v>
      </c>
      <c r="AB173" s="15"/>
      <c r="AC173" s="9">
        <v>0.55</v>
      </c>
      <c r="AD173" s="9" t="str">
        <f t="shared" si="1"/>
        <v>#REF!</v>
      </c>
    </row>
    <row r="174" hidden="1">
      <c r="A174" s="2" t="s">
        <v>935</v>
      </c>
      <c r="B174" s="2" t="s">
        <v>163</v>
      </c>
      <c r="C174" s="15"/>
      <c r="D174" s="2" t="s">
        <v>64</v>
      </c>
      <c r="E174" s="7" t="b">
        <v>1</v>
      </c>
      <c r="F174" s="9">
        <v>1.0</v>
      </c>
      <c r="G174" s="9">
        <v>35.08981765346997</v>
      </c>
      <c r="H174" s="9">
        <v>0.0189945</v>
      </c>
      <c r="I174" s="7" t="b">
        <v>1</v>
      </c>
      <c r="J174" s="9">
        <v>0.0</v>
      </c>
      <c r="K174" s="7" t="b">
        <v>0</v>
      </c>
      <c r="L174" s="9">
        <v>2.0</v>
      </c>
      <c r="M174" s="9">
        <v>2.0</v>
      </c>
      <c r="N174" s="2" t="s">
        <v>1628</v>
      </c>
      <c r="O174" s="2" t="s">
        <v>1629</v>
      </c>
      <c r="P174" s="9">
        <v>55.5</v>
      </c>
      <c r="Q174" s="9">
        <v>55.5</v>
      </c>
      <c r="R174" s="9">
        <v>0.0</v>
      </c>
      <c r="S174" s="9">
        <v>0.0</v>
      </c>
      <c r="T174" s="9">
        <v>1.0004</v>
      </c>
      <c r="U174" s="2" t="s">
        <v>2516</v>
      </c>
      <c r="V174" s="15"/>
      <c r="W174" s="2" t="s">
        <v>82</v>
      </c>
      <c r="X174" s="2" t="s">
        <v>1621</v>
      </c>
      <c r="Y174" s="2" t="s">
        <v>1622</v>
      </c>
      <c r="Z174" s="9">
        <v>0.0948</v>
      </c>
      <c r="AA174" s="9">
        <v>0.0</v>
      </c>
      <c r="AB174" s="15"/>
      <c r="AC174" s="9">
        <v>0.55</v>
      </c>
      <c r="AD174" s="9" t="str">
        <f t="shared" si="1"/>
        <v>#REF!</v>
      </c>
    </row>
    <row r="175" hidden="1">
      <c r="A175" s="2" t="s">
        <v>949</v>
      </c>
      <c r="B175" s="2" t="s">
        <v>982</v>
      </c>
      <c r="C175" s="15"/>
      <c r="D175" s="2" t="s">
        <v>64</v>
      </c>
      <c r="E175" s="7" t="b">
        <v>1</v>
      </c>
      <c r="F175" s="9">
        <v>352.0</v>
      </c>
      <c r="G175" s="9">
        <v>13.4670849215524</v>
      </c>
      <c r="H175" s="9">
        <v>0.0301652272727272</v>
      </c>
      <c r="I175" s="7" t="b">
        <v>1</v>
      </c>
      <c r="J175" s="9">
        <v>0.0</v>
      </c>
      <c r="K175" s="7" t="b">
        <v>0</v>
      </c>
      <c r="L175" s="9">
        <v>755.0</v>
      </c>
      <c r="M175" s="9">
        <v>2.1449</v>
      </c>
      <c r="N175" s="2" t="s">
        <v>2521</v>
      </c>
      <c r="O175" s="2" t="s">
        <v>2522</v>
      </c>
      <c r="P175" s="9">
        <v>60.32</v>
      </c>
      <c r="Q175" s="9">
        <v>54.0</v>
      </c>
      <c r="R175" s="9">
        <v>0.13245</v>
      </c>
      <c r="S175" s="9">
        <v>0.8367</v>
      </c>
      <c r="T175" s="9">
        <v>0.9994</v>
      </c>
      <c r="U175" s="2" t="s">
        <v>1553</v>
      </c>
      <c r="V175" s="9">
        <v>0.5052</v>
      </c>
      <c r="W175" s="2" t="s">
        <v>82</v>
      </c>
      <c r="X175" s="2" t="s">
        <v>99</v>
      </c>
      <c r="Y175" s="2" t="s">
        <v>1515</v>
      </c>
      <c r="Z175" s="9">
        <v>0.6688</v>
      </c>
      <c r="AA175" s="9">
        <v>0.8367</v>
      </c>
      <c r="AB175" s="9">
        <v>0.5052</v>
      </c>
      <c r="AC175" s="9">
        <v>0.7727</v>
      </c>
      <c r="AD175" s="9" t="str">
        <f t="shared" si="1"/>
        <v>#REF!</v>
      </c>
    </row>
    <row r="176" hidden="1">
      <c r="A176" s="2" t="s">
        <v>1037</v>
      </c>
      <c r="B176" s="2" t="s">
        <v>963</v>
      </c>
      <c r="C176" s="15"/>
      <c r="D176" s="2" t="s">
        <v>64</v>
      </c>
      <c r="E176" s="7" t="b">
        <v>1</v>
      </c>
      <c r="F176" s="9">
        <v>14212.0</v>
      </c>
      <c r="G176" s="9">
        <v>1.049484235465097</v>
      </c>
      <c r="H176" s="9">
        <v>0.004880488601182</v>
      </c>
      <c r="I176" s="7" t="b">
        <v>1</v>
      </c>
      <c r="J176" s="9">
        <v>0.0</v>
      </c>
      <c r="K176" s="7" t="b">
        <v>0</v>
      </c>
      <c r="L176" s="9">
        <v>8180.0</v>
      </c>
      <c r="M176" s="9">
        <v>0.5756</v>
      </c>
      <c r="N176" s="2" t="s">
        <v>2527</v>
      </c>
      <c r="O176" s="2" t="s">
        <v>2528</v>
      </c>
      <c r="P176" s="9">
        <v>52.24</v>
      </c>
      <c r="Q176" s="9">
        <v>44.0</v>
      </c>
      <c r="R176" s="9">
        <v>0.142692</v>
      </c>
      <c r="S176" s="9">
        <v>0.547</v>
      </c>
      <c r="T176" s="9">
        <v>0.1173</v>
      </c>
      <c r="U176" s="2" t="s">
        <v>1599</v>
      </c>
      <c r="V176" s="9">
        <v>0.5198</v>
      </c>
      <c r="W176" s="2" t="s">
        <v>82</v>
      </c>
      <c r="X176" s="2" t="s">
        <v>495</v>
      </c>
      <c r="Y176" s="2" t="s">
        <v>1479</v>
      </c>
      <c r="Z176" s="9">
        <v>0.5881</v>
      </c>
      <c r="AA176" s="9">
        <v>0.547</v>
      </c>
      <c r="AB176" s="9">
        <v>0.5198</v>
      </c>
      <c r="AC176" s="9">
        <v>0.2698</v>
      </c>
      <c r="AD176" s="9" t="str">
        <f t="shared" si="1"/>
        <v>#REF!</v>
      </c>
    </row>
    <row r="177" hidden="1">
      <c r="A177" s="2" t="s">
        <v>1037</v>
      </c>
      <c r="B177" s="2" t="s">
        <v>987</v>
      </c>
      <c r="C177" s="15"/>
      <c r="D177" s="2" t="s">
        <v>64</v>
      </c>
      <c r="E177" s="7" t="b">
        <v>1</v>
      </c>
      <c r="F177" s="9">
        <v>66.0</v>
      </c>
      <c r="G177" s="9">
        <v>3.505539924680754</v>
      </c>
      <c r="H177" s="9">
        <v>0.00117215</v>
      </c>
      <c r="I177" s="7" t="b">
        <v>1</v>
      </c>
      <c r="J177" s="9">
        <v>0.0</v>
      </c>
      <c r="K177" s="7" t="b">
        <v>0</v>
      </c>
      <c r="L177" s="9">
        <v>403.0</v>
      </c>
      <c r="M177" s="9">
        <v>6.1061</v>
      </c>
      <c r="N177" s="2" t="s">
        <v>2532</v>
      </c>
      <c r="O177" s="2" t="s">
        <v>532</v>
      </c>
      <c r="P177" s="9">
        <v>38.14</v>
      </c>
      <c r="Q177" s="9">
        <v>37.0</v>
      </c>
      <c r="R177" s="9">
        <v>0.111111</v>
      </c>
      <c r="S177" s="9">
        <v>0.5155</v>
      </c>
      <c r="T177" s="9">
        <v>0.395</v>
      </c>
      <c r="U177" s="2" t="s">
        <v>2450</v>
      </c>
      <c r="V177" s="9">
        <v>0.0</v>
      </c>
      <c r="W177" s="2" t="s">
        <v>2535</v>
      </c>
      <c r="X177" s="2" t="s">
        <v>1466</v>
      </c>
      <c r="Y177" s="2" t="s">
        <v>1582</v>
      </c>
      <c r="Z177" s="9">
        <v>0.456</v>
      </c>
      <c r="AA177" s="9">
        <v>0.5155</v>
      </c>
      <c r="AB177" s="9">
        <v>0.0</v>
      </c>
      <c r="AC177" s="9">
        <v>0.2019</v>
      </c>
      <c r="AD177" s="9" t="str">
        <f t="shared" si="1"/>
        <v>#REF!</v>
      </c>
    </row>
    <row r="178" hidden="1">
      <c r="A178" s="1" t="s">
        <v>1052</v>
      </c>
      <c r="B178" s="2" t="s">
        <v>1093</v>
      </c>
      <c r="C178" s="15"/>
      <c r="D178" s="2" t="s">
        <v>64</v>
      </c>
      <c r="E178" s="7" t="b">
        <v>1</v>
      </c>
      <c r="F178" s="9">
        <v>188.0</v>
      </c>
      <c r="G178" s="9">
        <v>27.66258817829501</v>
      </c>
      <c r="H178" s="9">
        <v>0.1682015265957447</v>
      </c>
      <c r="I178" s="7" t="b">
        <v>1</v>
      </c>
      <c r="J178" s="9">
        <v>0.0</v>
      </c>
      <c r="K178" s="7" t="b">
        <v>0</v>
      </c>
      <c r="L178" s="9">
        <v>258.0</v>
      </c>
      <c r="M178" s="9">
        <v>1.3723</v>
      </c>
      <c r="N178" s="2" t="s">
        <v>2540</v>
      </c>
      <c r="O178" s="2" t="s">
        <v>326</v>
      </c>
      <c r="P178" s="9">
        <v>72.79</v>
      </c>
      <c r="Q178" s="9">
        <v>66.0</v>
      </c>
      <c r="R178" s="9">
        <v>0.0</v>
      </c>
      <c r="S178" s="9">
        <v>0.5601</v>
      </c>
      <c r="T178" s="9">
        <v>0.9452</v>
      </c>
      <c r="U178" s="2" t="s">
        <v>2432</v>
      </c>
      <c r="V178" s="9">
        <v>0.8812</v>
      </c>
      <c r="W178" s="2" t="s">
        <v>82</v>
      </c>
      <c r="X178" s="2" t="s">
        <v>237</v>
      </c>
      <c r="Y178" s="2" t="s">
        <v>1428</v>
      </c>
      <c r="Z178" s="9">
        <v>0.3598</v>
      </c>
      <c r="AA178" s="9">
        <v>0.5601</v>
      </c>
      <c r="AB178" s="9">
        <v>0.8812</v>
      </c>
      <c r="AC178" s="9">
        <v>0.8407</v>
      </c>
      <c r="AD178" s="9" t="str">
        <f t="shared" si="1"/>
        <v>#REF!</v>
      </c>
    </row>
    <row r="179" hidden="1">
      <c r="A179" s="2" t="s">
        <v>1112</v>
      </c>
      <c r="B179" s="2" t="s">
        <v>856</v>
      </c>
      <c r="C179" s="15"/>
      <c r="D179" s="2" t="s">
        <v>64</v>
      </c>
      <c r="E179" s="7" t="b">
        <v>1</v>
      </c>
      <c r="F179" s="9">
        <v>368.0</v>
      </c>
      <c r="G179" s="9">
        <v>8.289054119063293</v>
      </c>
      <c r="H179" s="9">
        <v>0.0019391505434782</v>
      </c>
      <c r="I179" s="7" t="b">
        <v>1</v>
      </c>
      <c r="J179" s="9">
        <v>0.0</v>
      </c>
      <c r="K179" s="7" t="b">
        <v>0</v>
      </c>
      <c r="L179" s="9">
        <v>0.0</v>
      </c>
      <c r="M179" s="9">
        <v>0.0</v>
      </c>
      <c r="N179" s="15"/>
      <c r="O179" s="15"/>
      <c r="P179" s="15"/>
      <c r="Q179" s="15"/>
      <c r="R179" s="15"/>
      <c r="S179" s="9">
        <v>0.0</v>
      </c>
      <c r="T179" s="9">
        <v>0.0</v>
      </c>
      <c r="U179" s="15"/>
      <c r="V179" s="15"/>
      <c r="W179" s="2" t="s">
        <v>82</v>
      </c>
      <c r="X179" s="2" t="s">
        <v>1787</v>
      </c>
      <c r="Y179" s="2" t="s">
        <v>2211</v>
      </c>
      <c r="Z179" s="9">
        <v>0.0</v>
      </c>
      <c r="AA179" s="9">
        <v>0.0</v>
      </c>
      <c r="AB179" s="15"/>
      <c r="AC179" s="15"/>
      <c r="AD179" s="9" t="str">
        <f t="shared" si="1"/>
        <v>#REF!</v>
      </c>
    </row>
    <row r="180" hidden="1">
      <c r="A180" s="2" t="s">
        <v>1121</v>
      </c>
      <c r="B180" s="2" t="s">
        <v>856</v>
      </c>
      <c r="C180" s="15"/>
      <c r="D180" s="2" t="s">
        <v>64</v>
      </c>
      <c r="E180" s="7" t="b">
        <v>1</v>
      </c>
      <c r="F180" s="9">
        <v>290.0</v>
      </c>
      <c r="G180" s="9">
        <v>8.51797239798692</v>
      </c>
      <c r="H180" s="9">
        <v>0.0016144124137931</v>
      </c>
      <c r="I180" s="7" t="b">
        <v>1</v>
      </c>
      <c r="J180" s="9">
        <v>0.0</v>
      </c>
      <c r="K180" s="7" t="b">
        <v>0</v>
      </c>
      <c r="L180" s="9">
        <v>0.0</v>
      </c>
      <c r="M180" s="9">
        <v>0.0</v>
      </c>
      <c r="N180" s="15"/>
      <c r="O180" s="15"/>
      <c r="P180" s="15"/>
      <c r="Q180" s="15"/>
      <c r="R180" s="15"/>
      <c r="S180" s="9">
        <v>0.0</v>
      </c>
      <c r="T180" s="9">
        <v>0.0</v>
      </c>
      <c r="U180" s="15"/>
      <c r="V180" s="15"/>
      <c r="W180" s="2" t="s">
        <v>82</v>
      </c>
      <c r="X180" s="2" t="s">
        <v>1787</v>
      </c>
      <c r="Y180" s="2" t="s">
        <v>2211</v>
      </c>
      <c r="Z180" s="9">
        <v>0.0</v>
      </c>
      <c r="AA180" s="9">
        <v>0.0</v>
      </c>
      <c r="AB180" s="15"/>
      <c r="AC180" s="15"/>
      <c r="AD180" s="9" t="str">
        <f t="shared" si="1"/>
        <v>#REF!</v>
      </c>
    </row>
    <row r="181" hidden="1">
      <c r="A181" s="2" t="s">
        <v>1140</v>
      </c>
      <c r="B181" s="2" t="s">
        <v>1027</v>
      </c>
      <c r="C181" s="15"/>
      <c r="D181" s="2" t="s">
        <v>64</v>
      </c>
      <c r="E181" s="7" t="b">
        <v>1</v>
      </c>
      <c r="F181" s="9">
        <v>52.0</v>
      </c>
      <c r="G181" s="9">
        <v>30.06160754660264</v>
      </c>
      <c r="H181" s="9">
        <v>0.004899273076923</v>
      </c>
      <c r="I181" s="7" t="b">
        <v>1</v>
      </c>
      <c r="J181" s="9">
        <v>0.0</v>
      </c>
      <c r="K181" s="7" t="b">
        <v>0</v>
      </c>
      <c r="L181" s="9">
        <v>13.0</v>
      </c>
      <c r="M181" s="9">
        <v>0.25</v>
      </c>
      <c r="N181" s="2" t="s">
        <v>2474</v>
      </c>
      <c r="O181" s="2" t="s">
        <v>2552</v>
      </c>
      <c r="P181" s="9">
        <v>68.0</v>
      </c>
      <c r="Q181" s="9">
        <v>64.0</v>
      </c>
      <c r="R181" s="9">
        <v>0.0</v>
      </c>
      <c r="S181" s="9">
        <v>0.2531</v>
      </c>
      <c r="T181" s="9">
        <v>0.8316</v>
      </c>
      <c r="U181" s="2" t="s">
        <v>2553</v>
      </c>
      <c r="V181" s="15"/>
      <c r="W181" s="2" t="s">
        <v>82</v>
      </c>
      <c r="X181" s="2" t="s">
        <v>1455</v>
      </c>
      <c r="Y181" s="2" t="s">
        <v>1542</v>
      </c>
      <c r="Z181" s="9">
        <v>0.1948</v>
      </c>
      <c r="AA181" s="9">
        <v>0.2531</v>
      </c>
      <c r="AB181" s="15"/>
      <c r="AC181" s="9">
        <v>0.0</v>
      </c>
      <c r="AD181" s="9" t="str">
        <f t="shared" si="1"/>
        <v>#REF!</v>
      </c>
    </row>
    <row r="182" hidden="1">
      <c r="A182" s="2" t="s">
        <v>1211</v>
      </c>
      <c r="B182" s="2" t="s">
        <v>856</v>
      </c>
      <c r="C182" s="15"/>
      <c r="D182" s="2" t="s">
        <v>64</v>
      </c>
      <c r="E182" s="7" t="b">
        <v>1</v>
      </c>
      <c r="F182" s="9">
        <v>175.0</v>
      </c>
      <c r="G182" s="9">
        <v>10.22949752677335</v>
      </c>
      <c r="H182" s="9">
        <v>0.0014056428571428</v>
      </c>
      <c r="I182" s="7" t="b">
        <v>1</v>
      </c>
      <c r="J182" s="9">
        <v>0.0</v>
      </c>
      <c r="K182" s="7" t="b">
        <v>0</v>
      </c>
      <c r="L182" s="9">
        <v>0.0</v>
      </c>
      <c r="M182" s="9">
        <v>0.0</v>
      </c>
      <c r="N182" s="15"/>
      <c r="O182" s="15"/>
      <c r="P182" s="15"/>
      <c r="Q182" s="15"/>
      <c r="R182" s="15"/>
      <c r="S182" s="9">
        <v>0.0</v>
      </c>
      <c r="T182" s="9">
        <v>0.0</v>
      </c>
      <c r="U182" s="15"/>
      <c r="V182" s="15"/>
      <c r="W182" s="2" t="s">
        <v>82</v>
      </c>
      <c r="X182" s="2" t="s">
        <v>1787</v>
      </c>
      <c r="Y182" s="2" t="s">
        <v>2211</v>
      </c>
      <c r="Z182" s="9">
        <v>0.0</v>
      </c>
      <c r="AA182" s="9">
        <v>0.0</v>
      </c>
      <c r="AB182" s="15"/>
      <c r="AC182" s="15"/>
      <c r="AD182" s="9" t="str">
        <f t="shared" si="1"/>
        <v>#REF!</v>
      </c>
    </row>
    <row r="183" hidden="1">
      <c r="A183" s="2" t="s">
        <v>1214</v>
      </c>
      <c r="B183" s="2" t="s">
        <v>856</v>
      </c>
      <c r="C183" s="15"/>
      <c r="D183" s="2" t="s">
        <v>64</v>
      </c>
      <c r="E183" s="7" t="b">
        <v>1</v>
      </c>
      <c r="F183" s="9">
        <v>574.0</v>
      </c>
      <c r="G183" s="9">
        <v>6.100073156651312</v>
      </c>
      <c r="H183" s="9">
        <v>0.0016376195121951</v>
      </c>
      <c r="I183" s="7" t="b">
        <v>1</v>
      </c>
      <c r="J183" s="9">
        <v>0.0</v>
      </c>
      <c r="K183" s="7" t="b">
        <v>0</v>
      </c>
      <c r="L183" s="9">
        <v>0.0</v>
      </c>
      <c r="M183" s="9">
        <v>0.0</v>
      </c>
      <c r="N183" s="15"/>
      <c r="O183" s="15"/>
      <c r="P183" s="15"/>
      <c r="Q183" s="15"/>
      <c r="R183" s="15"/>
      <c r="S183" s="9">
        <v>0.0</v>
      </c>
      <c r="T183" s="9">
        <v>0.0</v>
      </c>
      <c r="U183" s="15"/>
      <c r="V183" s="15"/>
      <c r="W183" s="2" t="s">
        <v>82</v>
      </c>
      <c r="X183" s="2" t="s">
        <v>1787</v>
      </c>
      <c r="Y183" s="2" t="s">
        <v>2211</v>
      </c>
      <c r="Z183" s="9">
        <v>0.0</v>
      </c>
      <c r="AA183" s="9">
        <v>0.0</v>
      </c>
      <c r="AB183" s="15"/>
      <c r="AC183" s="15"/>
      <c r="AD183" s="9" t="str">
        <f t="shared" si="1"/>
        <v>#REF!</v>
      </c>
    </row>
    <row r="184" hidden="1">
      <c r="A184" s="2" t="s">
        <v>2566</v>
      </c>
      <c r="B184" s="2" t="s">
        <v>963</v>
      </c>
      <c r="C184" s="15"/>
      <c r="D184" s="2" t="s">
        <v>64</v>
      </c>
      <c r="E184" s="7" t="b">
        <v>1</v>
      </c>
      <c r="F184" s="9">
        <v>58.0</v>
      </c>
      <c r="G184" s="9">
        <v>15.69436686330151</v>
      </c>
      <c r="H184" s="9">
        <v>0.0046453034482758</v>
      </c>
      <c r="I184" s="7" t="b">
        <v>1</v>
      </c>
      <c r="J184" s="9">
        <v>0.0</v>
      </c>
      <c r="K184" s="7" t="b">
        <v>0</v>
      </c>
      <c r="L184" s="9">
        <v>36.0</v>
      </c>
      <c r="M184" s="9">
        <v>0.6207</v>
      </c>
      <c r="N184" s="2" t="s">
        <v>1952</v>
      </c>
      <c r="O184" s="2" t="s">
        <v>2025</v>
      </c>
      <c r="P184" s="9">
        <v>62.42</v>
      </c>
      <c r="Q184" s="9">
        <v>58.5</v>
      </c>
      <c r="R184" s="9">
        <v>0.111111</v>
      </c>
      <c r="S184" s="9">
        <v>0.4135</v>
      </c>
      <c r="T184" s="9">
        <v>0.8878</v>
      </c>
      <c r="U184" s="2" t="s">
        <v>1434</v>
      </c>
      <c r="V184" s="9">
        <v>0.1028</v>
      </c>
      <c r="W184" s="2" t="s">
        <v>82</v>
      </c>
      <c r="X184" s="2" t="s">
        <v>495</v>
      </c>
      <c r="Y184" s="2" t="s">
        <v>2571</v>
      </c>
      <c r="Z184" s="9">
        <v>0.3356</v>
      </c>
      <c r="AA184" s="9">
        <v>0.4135</v>
      </c>
      <c r="AB184" s="9">
        <v>0.1028</v>
      </c>
      <c r="AC184" s="9">
        <v>0.2064</v>
      </c>
      <c r="AD184" s="9" t="str">
        <f t="shared" si="1"/>
        <v>#REF!</v>
      </c>
    </row>
    <row r="185" hidden="1">
      <c r="A185" s="2" t="s">
        <v>1951</v>
      </c>
      <c r="B185" s="2" t="s">
        <v>163</v>
      </c>
      <c r="C185" s="15"/>
      <c r="D185" s="2" t="s">
        <v>64</v>
      </c>
      <c r="E185" s="7" t="b">
        <v>1</v>
      </c>
      <c r="F185" s="9">
        <v>224.0</v>
      </c>
      <c r="G185" s="9">
        <v>53.24909352206005</v>
      </c>
      <c r="H185" s="9">
        <v>3.484151785714286</v>
      </c>
      <c r="I185" s="7" t="b">
        <v>1</v>
      </c>
      <c r="J185" s="9">
        <v>0.0</v>
      </c>
      <c r="K185" s="7" t="b">
        <v>0</v>
      </c>
      <c r="L185" s="9">
        <v>300.0</v>
      </c>
      <c r="M185" s="9">
        <v>1.3393</v>
      </c>
      <c r="N185" s="2" t="s">
        <v>2575</v>
      </c>
      <c r="O185" s="2" t="s">
        <v>2576</v>
      </c>
      <c r="P185" s="9">
        <v>130.15</v>
      </c>
      <c r="Q185" s="9">
        <v>117.0</v>
      </c>
      <c r="R185" s="9">
        <v>0.0</v>
      </c>
      <c r="S185" s="9">
        <v>0.94</v>
      </c>
      <c r="T185" s="9">
        <v>0.9773</v>
      </c>
      <c r="U185" s="2" t="s">
        <v>451</v>
      </c>
      <c r="V185" s="9">
        <v>0.525</v>
      </c>
      <c r="W185" s="2" t="s">
        <v>82</v>
      </c>
      <c r="X185" s="2" t="s">
        <v>84</v>
      </c>
      <c r="Y185" s="2" t="s">
        <v>2577</v>
      </c>
      <c r="Z185" s="9">
        <v>0.758</v>
      </c>
      <c r="AA185" s="9">
        <v>0.94</v>
      </c>
      <c r="AB185" s="9">
        <v>0.525</v>
      </c>
      <c r="AC185" s="9">
        <v>0.8379</v>
      </c>
      <c r="AD185" s="9" t="str">
        <f t="shared" si="1"/>
        <v>#REF!</v>
      </c>
    </row>
    <row r="186" hidden="1">
      <c r="A186" s="2" t="s">
        <v>1951</v>
      </c>
      <c r="B186" s="2" t="s">
        <v>170</v>
      </c>
      <c r="C186" s="15"/>
      <c r="D186" s="2" t="s">
        <v>64</v>
      </c>
      <c r="E186" s="7" t="b">
        <v>1</v>
      </c>
      <c r="F186" s="9">
        <v>9.0</v>
      </c>
      <c r="G186" s="9">
        <v>21.78088285295884</v>
      </c>
      <c r="H186" s="9">
        <v>0.0474653333333333</v>
      </c>
      <c r="I186" s="7" t="b">
        <v>1</v>
      </c>
      <c r="J186" s="9">
        <v>0.0</v>
      </c>
      <c r="K186" s="7" t="b">
        <v>0</v>
      </c>
      <c r="L186" s="9">
        <v>174.0</v>
      </c>
      <c r="M186" s="9">
        <v>19.3333</v>
      </c>
      <c r="N186" s="2" t="s">
        <v>2580</v>
      </c>
      <c r="O186" s="2" t="s">
        <v>2581</v>
      </c>
      <c r="P186" s="9">
        <v>128.8</v>
      </c>
      <c r="Q186" s="9">
        <v>114.5</v>
      </c>
      <c r="R186" s="9">
        <v>0.0</v>
      </c>
      <c r="S186" s="9">
        <v>0.8861</v>
      </c>
      <c r="T186" s="9">
        <v>0.9531</v>
      </c>
      <c r="U186" s="2" t="s">
        <v>1540</v>
      </c>
      <c r="V186" s="9">
        <v>0.1159</v>
      </c>
      <c r="W186" s="2" t="s">
        <v>157</v>
      </c>
      <c r="X186" s="2" t="s">
        <v>517</v>
      </c>
      <c r="Y186" s="2" t="s">
        <v>608</v>
      </c>
      <c r="Z186" s="9">
        <v>0.6874</v>
      </c>
      <c r="AA186" s="9">
        <v>0.8861</v>
      </c>
      <c r="AB186" s="9">
        <v>0.1159</v>
      </c>
      <c r="AC186" s="9">
        <v>0.1579</v>
      </c>
      <c r="AD186" s="9" t="str">
        <f t="shared" si="1"/>
        <v>#REF!</v>
      </c>
    </row>
    <row r="187" hidden="1">
      <c r="A187" s="2" t="s">
        <v>1951</v>
      </c>
      <c r="B187" s="2" t="s">
        <v>176</v>
      </c>
      <c r="C187" s="15"/>
      <c r="D187" s="2" t="s">
        <v>64</v>
      </c>
      <c r="E187" s="7" t="b">
        <v>1</v>
      </c>
      <c r="F187" s="9">
        <v>6.0</v>
      </c>
      <c r="G187" s="9">
        <v>22.88090567840943</v>
      </c>
      <c r="H187" s="9">
        <v>0.045152</v>
      </c>
      <c r="I187" s="7" t="b">
        <v>1</v>
      </c>
      <c r="J187" s="9">
        <v>0.0</v>
      </c>
      <c r="K187" s="7" t="b">
        <v>0</v>
      </c>
      <c r="L187" s="9">
        <v>206.0</v>
      </c>
      <c r="M187" s="9">
        <v>34.3333</v>
      </c>
      <c r="N187" s="2" t="s">
        <v>2586</v>
      </c>
      <c r="O187" s="2" t="s">
        <v>2587</v>
      </c>
      <c r="P187" s="9">
        <v>131.4</v>
      </c>
      <c r="Q187" s="9">
        <v>117.0</v>
      </c>
      <c r="R187" s="9">
        <v>0.03125</v>
      </c>
      <c r="S187" s="9">
        <v>0.8982</v>
      </c>
      <c r="T187" s="9">
        <v>0.9607</v>
      </c>
      <c r="U187" s="2" t="s">
        <v>1489</v>
      </c>
      <c r="V187" s="9">
        <v>0.7243</v>
      </c>
      <c r="W187" s="2" t="s">
        <v>134</v>
      </c>
      <c r="X187" s="2" t="s">
        <v>237</v>
      </c>
      <c r="Y187" s="2" t="s">
        <v>2590</v>
      </c>
      <c r="Z187" s="9">
        <v>0.7032</v>
      </c>
      <c r="AA187" s="9">
        <v>0.8982</v>
      </c>
      <c r="AB187" s="9">
        <v>0.7243</v>
      </c>
      <c r="AC187" s="9">
        <v>0.1372</v>
      </c>
      <c r="AD187" s="9" t="str">
        <f t="shared" si="1"/>
        <v>#REF!</v>
      </c>
    </row>
    <row r="188" hidden="1">
      <c r="A188" s="2" t="s">
        <v>1951</v>
      </c>
      <c r="B188" s="2" t="s">
        <v>1015</v>
      </c>
      <c r="C188" s="15"/>
      <c r="D188" s="2" t="s">
        <v>64</v>
      </c>
      <c r="E188" s="7" t="b">
        <v>1</v>
      </c>
      <c r="F188" s="9">
        <v>212.0</v>
      </c>
      <c r="G188" s="9">
        <v>41.27283926953299</v>
      </c>
      <c r="H188" s="9">
        <v>0.0882850047169811</v>
      </c>
      <c r="I188" s="7" t="b">
        <v>1</v>
      </c>
      <c r="J188" s="9">
        <v>0.0</v>
      </c>
      <c r="K188" s="7" t="b">
        <v>0</v>
      </c>
      <c r="L188" s="9">
        <v>109.0</v>
      </c>
      <c r="M188" s="9">
        <v>0.5142</v>
      </c>
      <c r="N188" s="2" t="s">
        <v>1425</v>
      </c>
      <c r="O188" s="2" t="s">
        <v>2090</v>
      </c>
      <c r="P188" s="9">
        <v>89.95</v>
      </c>
      <c r="Q188" s="9">
        <v>80.0</v>
      </c>
      <c r="R188" s="9">
        <v>0.083333</v>
      </c>
      <c r="S188" s="9">
        <v>0.5806</v>
      </c>
      <c r="T188" s="9">
        <v>1.0017</v>
      </c>
      <c r="U188" s="2" t="s">
        <v>1741</v>
      </c>
      <c r="V188" s="9">
        <v>0.675</v>
      </c>
      <c r="W188" s="2" t="s">
        <v>82</v>
      </c>
      <c r="X188" s="2" t="s">
        <v>84</v>
      </c>
      <c r="Y188" s="2" t="s">
        <v>2340</v>
      </c>
      <c r="Z188" s="9">
        <v>0.4563</v>
      </c>
      <c r="AA188" s="9">
        <v>0.5806</v>
      </c>
      <c r="AB188" s="9">
        <v>0.675</v>
      </c>
      <c r="AC188" s="9">
        <v>0.698</v>
      </c>
      <c r="AD188" s="9" t="str">
        <f t="shared" si="1"/>
        <v>#REF!</v>
      </c>
    </row>
    <row r="189" hidden="1">
      <c r="A189" s="2" t="s">
        <v>1988</v>
      </c>
      <c r="B189" s="2" t="s">
        <v>1015</v>
      </c>
      <c r="C189" s="15"/>
      <c r="D189" s="2" t="s">
        <v>64</v>
      </c>
      <c r="E189" s="7" t="b">
        <v>1</v>
      </c>
      <c r="F189" s="9">
        <v>230.0</v>
      </c>
      <c r="G189" s="9">
        <v>41.24018396682799</v>
      </c>
      <c r="H189" s="9">
        <v>0.0954414782608695</v>
      </c>
      <c r="I189" s="7" t="b">
        <v>1</v>
      </c>
      <c r="J189" s="9">
        <v>0.0</v>
      </c>
      <c r="K189" s="7" t="b">
        <v>0</v>
      </c>
      <c r="L189" s="9">
        <v>145.0</v>
      </c>
      <c r="M189" s="9">
        <v>0.6304</v>
      </c>
      <c r="N189" s="2" t="s">
        <v>509</v>
      </c>
      <c r="O189" s="2" t="s">
        <v>1598</v>
      </c>
      <c r="P189" s="9">
        <v>83.14</v>
      </c>
      <c r="Q189" s="9">
        <v>71.0</v>
      </c>
      <c r="R189" s="9">
        <v>0.095238</v>
      </c>
      <c r="S189" s="9">
        <v>0.621</v>
      </c>
      <c r="T189" s="9">
        <v>0.9969</v>
      </c>
      <c r="U189" s="2" t="s">
        <v>1496</v>
      </c>
      <c r="V189" s="9">
        <v>0.718</v>
      </c>
      <c r="W189" s="2" t="s">
        <v>82</v>
      </c>
      <c r="X189" s="2" t="s">
        <v>84</v>
      </c>
      <c r="Y189" s="2" t="s">
        <v>2340</v>
      </c>
      <c r="Z189" s="9">
        <v>0.4851</v>
      </c>
      <c r="AA189" s="9">
        <v>0.621</v>
      </c>
      <c r="AB189" s="9">
        <v>0.718</v>
      </c>
      <c r="AC189" s="9">
        <v>0.7369</v>
      </c>
      <c r="AD189" s="9" t="str">
        <f t="shared" si="1"/>
        <v>#REF!</v>
      </c>
    </row>
    <row r="190" hidden="1">
      <c r="A190" s="2" t="s">
        <v>1988</v>
      </c>
      <c r="B190" s="2" t="s">
        <v>1027</v>
      </c>
      <c r="C190" s="15"/>
      <c r="D190" s="2" t="s">
        <v>64</v>
      </c>
      <c r="E190" s="7" t="b">
        <v>1</v>
      </c>
      <c r="F190" s="9">
        <v>149.0</v>
      </c>
      <c r="G190" s="9">
        <v>17.02124020609509</v>
      </c>
      <c r="H190" s="9">
        <v>0.0044947999999999</v>
      </c>
      <c r="I190" s="7" t="b">
        <v>1</v>
      </c>
      <c r="J190" s="9">
        <v>0.0</v>
      </c>
      <c r="K190" s="7" t="b">
        <v>0</v>
      </c>
      <c r="L190" s="9">
        <v>26.0</v>
      </c>
      <c r="M190" s="9">
        <v>0.1745</v>
      </c>
      <c r="N190" s="2" t="s">
        <v>2024</v>
      </c>
      <c r="O190" s="2" t="s">
        <v>2025</v>
      </c>
      <c r="P190" s="9">
        <v>76.15</v>
      </c>
      <c r="Q190" s="9">
        <v>65.0</v>
      </c>
      <c r="R190" s="9">
        <v>0.0</v>
      </c>
      <c r="S190" s="9">
        <v>0.4073</v>
      </c>
      <c r="T190" s="9">
        <v>0.9747</v>
      </c>
      <c r="U190" s="2" t="s">
        <v>2602</v>
      </c>
      <c r="V190" s="9">
        <v>0.55</v>
      </c>
      <c r="W190" s="2" t="s">
        <v>82</v>
      </c>
      <c r="X190" s="2" t="s">
        <v>517</v>
      </c>
      <c r="Y190" s="2" t="s">
        <v>1835</v>
      </c>
      <c r="Z190" s="9">
        <v>0.3135</v>
      </c>
      <c r="AA190" s="9">
        <v>0.4073</v>
      </c>
      <c r="AB190" s="9">
        <v>0.55</v>
      </c>
      <c r="AC190" s="9">
        <v>0.0476</v>
      </c>
      <c r="AD190" s="9" t="str">
        <f t="shared" si="1"/>
        <v>#REF!</v>
      </c>
    </row>
    <row r="191" hidden="1">
      <c r="A191" s="2" t="s">
        <v>1988</v>
      </c>
      <c r="B191" s="2" t="s">
        <v>1031</v>
      </c>
      <c r="C191" s="15"/>
      <c r="D191" s="2" t="s">
        <v>64</v>
      </c>
      <c r="E191" s="7" t="b">
        <v>1</v>
      </c>
      <c r="F191" s="9">
        <v>65.0</v>
      </c>
      <c r="G191" s="9">
        <v>32.83810128849671</v>
      </c>
      <c r="H191" s="9">
        <v>0.0178180923076923</v>
      </c>
      <c r="I191" s="7" t="b">
        <v>1</v>
      </c>
      <c r="J191" s="9">
        <v>0.0</v>
      </c>
      <c r="K191" s="7" t="b">
        <v>0</v>
      </c>
      <c r="L191" s="9">
        <v>55.0</v>
      </c>
      <c r="M191" s="9">
        <v>0.8462</v>
      </c>
      <c r="N191" s="2" t="s">
        <v>1450</v>
      </c>
      <c r="O191" s="2" t="s">
        <v>1451</v>
      </c>
      <c r="P191" s="9">
        <v>73.62</v>
      </c>
      <c r="Q191" s="9">
        <v>66.0</v>
      </c>
      <c r="R191" s="9">
        <v>0.0</v>
      </c>
      <c r="S191" s="9">
        <v>0.521</v>
      </c>
      <c r="T191" s="9">
        <v>1.0009</v>
      </c>
      <c r="U191" s="2" t="s">
        <v>109</v>
      </c>
      <c r="V191" s="9">
        <v>0.0</v>
      </c>
      <c r="W191" s="2" t="s">
        <v>157</v>
      </c>
      <c r="X191" s="2" t="s">
        <v>517</v>
      </c>
      <c r="Y191" s="2" t="s">
        <v>1375</v>
      </c>
      <c r="Z191" s="9">
        <v>0.401</v>
      </c>
      <c r="AA191" s="9">
        <v>0.521</v>
      </c>
      <c r="AB191" s="9">
        <v>0.0</v>
      </c>
      <c r="AC191" s="9">
        <v>0.8538</v>
      </c>
      <c r="AD191" s="9" t="str">
        <f t="shared" si="1"/>
        <v>#REF!</v>
      </c>
    </row>
    <row r="192" hidden="1">
      <c r="A192" s="2" t="s">
        <v>1994</v>
      </c>
      <c r="B192" s="2" t="s">
        <v>1009</v>
      </c>
      <c r="C192" s="15"/>
      <c r="D192" s="2" t="s">
        <v>64</v>
      </c>
      <c r="E192" s="7" t="b">
        <v>1</v>
      </c>
      <c r="F192" s="9">
        <v>108.0</v>
      </c>
      <c r="G192" s="9">
        <v>16.49139417645535</v>
      </c>
      <c r="H192" s="9">
        <v>0.0079718194444444</v>
      </c>
      <c r="I192" s="7" t="b">
        <v>1</v>
      </c>
      <c r="J192" s="9">
        <v>0.0</v>
      </c>
      <c r="K192" s="7" t="b">
        <v>0</v>
      </c>
      <c r="L192" s="9">
        <v>31.0</v>
      </c>
      <c r="M192" s="9">
        <v>0.287</v>
      </c>
      <c r="N192" s="2" t="s">
        <v>1952</v>
      </c>
      <c r="O192" s="2" t="s">
        <v>1953</v>
      </c>
      <c r="P192" s="9">
        <v>82.03</v>
      </c>
      <c r="Q192" s="9">
        <v>74.0</v>
      </c>
      <c r="R192" s="9">
        <v>0.0</v>
      </c>
      <c r="S192" s="9">
        <v>0.4378</v>
      </c>
      <c r="T192" s="9">
        <v>1.0005</v>
      </c>
      <c r="U192" s="2" t="s">
        <v>1192</v>
      </c>
      <c r="V192" s="9">
        <v>0.0</v>
      </c>
      <c r="W192" s="2" t="s">
        <v>134</v>
      </c>
      <c r="X192" s="2" t="s">
        <v>1521</v>
      </c>
      <c r="Y192" s="2" t="s">
        <v>1491</v>
      </c>
      <c r="Z192" s="9">
        <v>0.3385</v>
      </c>
      <c r="AA192" s="9">
        <v>0.4378</v>
      </c>
      <c r="AB192" s="9">
        <v>0.0</v>
      </c>
      <c r="AC192" s="9">
        <v>0.1009</v>
      </c>
      <c r="AD192" s="9" t="str">
        <f t="shared" si="1"/>
        <v>#REF!</v>
      </c>
    </row>
    <row r="193" hidden="1">
      <c r="A193" s="2" t="s">
        <v>1994</v>
      </c>
      <c r="B193" s="2" t="s">
        <v>1015</v>
      </c>
      <c r="C193" s="15"/>
      <c r="D193" s="2" t="s">
        <v>64</v>
      </c>
      <c r="E193" s="7" t="b">
        <v>1</v>
      </c>
      <c r="F193" s="9">
        <v>1330.0</v>
      </c>
      <c r="G193" s="9">
        <v>43.90371570760981</v>
      </c>
      <c r="H193" s="9">
        <v>0.5622579248120302</v>
      </c>
      <c r="I193" s="7" t="b">
        <v>1</v>
      </c>
      <c r="J193" s="9">
        <v>0.0</v>
      </c>
      <c r="K193" s="7" t="b">
        <v>0</v>
      </c>
      <c r="L193" s="9">
        <v>745.0</v>
      </c>
      <c r="M193" s="9">
        <v>0.5602</v>
      </c>
      <c r="N193" s="2" t="s">
        <v>431</v>
      </c>
      <c r="O193" s="2" t="s">
        <v>432</v>
      </c>
      <c r="P193" s="9">
        <v>80.73</v>
      </c>
      <c r="Q193" s="9">
        <v>71.0</v>
      </c>
      <c r="R193" s="9">
        <v>0.016393</v>
      </c>
      <c r="S193" s="9">
        <v>0.803</v>
      </c>
      <c r="T193" s="9">
        <v>0.9966</v>
      </c>
      <c r="U193" s="2" t="s">
        <v>1957</v>
      </c>
      <c r="V193" s="9">
        <v>0.1779</v>
      </c>
      <c r="W193" s="2" t="s">
        <v>82</v>
      </c>
      <c r="X193" s="2" t="s">
        <v>84</v>
      </c>
      <c r="Y193" s="2" t="s">
        <v>2614</v>
      </c>
      <c r="Z193" s="9">
        <v>0.6402</v>
      </c>
      <c r="AA193" s="9">
        <v>0.803</v>
      </c>
      <c r="AB193" s="9">
        <v>0.1779</v>
      </c>
      <c r="AC193" s="9">
        <v>0.7037</v>
      </c>
      <c r="AD193" s="9" t="str">
        <f t="shared" si="1"/>
        <v>#REF!</v>
      </c>
    </row>
    <row r="194" hidden="1">
      <c r="A194" s="2" t="s">
        <v>1994</v>
      </c>
      <c r="B194" s="2" t="s">
        <v>1024</v>
      </c>
      <c r="C194" s="15"/>
      <c r="D194" s="2" t="s">
        <v>64</v>
      </c>
      <c r="E194" s="7" t="b">
        <v>1</v>
      </c>
      <c r="F194" s="9">
        <v>281.0</v>
      </c>
      <c r="G194" s="9">
        <v>14.3329581186549</v>
      </c>
      <c r="H194" s="9">
        <v>0.001929421708185</v>
      </c>
      <c r="I194" s="7" t="b">
        <v>1</v>
      </c>
      <c r="J194" s="9">
        <v>0.0</v>
      </c>
      <c r="K194" s="7" t="b">
        <v>0</v>
      </c>
      <c r="L194" s="9">
        <v>24.0</v>
      </c>
      <c r="M194" s="9">
        <v>0.0854</v>
      </c>
      <c r="N194" s="2" t="s">
        <v>2619</v>
      </c>
      <c r="O194" s="2" t="s">
        <v>1552</v>
      </c>
      <c r="P194" s="9">
        <v>89.67</v>
      </c>
      <c r="Q194" s="9">
        <v>72.5</v>
      </c>
      <c r="R194" s="9">
        <v>0.0</v>
      </c>
      <c r="S194" s="9">
        <v>0.3845</v>
      </c>
      <c r="T194" s="9">
        <v>1.0003</v>
      </c>
      <c r="U194" s="2" t="s">
        <v>1599</v>
      </c>
      <c r="V194" s="9">
        <v>0.0</v>
      </c>
      <c r="W194" s="2" t="s">
        <v>157</v>
      </c>
      <c r="X194" s="2" t="s">
        <v>1521</v>
      </c>
      <c r="Y194" s="2" t="s">
        <v>1491</v>
      </c>
      <c r="Z194" s="9">
        <v>0.3007</v>
      </c>
      <c r="AA194" s="9">
        <v>0.3845</v>
      </c>
      <c r="AB194" s="9">
        <v>0.0</v>
      </c>
      <c r="AC194" s="9">
        <v>0.0</v>
      </c>
      <c r="AD194" s="9" t="str">
        <f t="shared" si="1"/>
        <v>#REF!</v>
      </c>
    </row>
    <row r="195" hidden="1">
      <c r="A195" s="2" t="s">
        <v>2622</v>
      </c>
      <c r="B195" s="2" t="s">
        <v>623</v>
      </c>
      <c r="C195" s="15"/>
      <c r="D195" s="2" t="s">
        <v>64</v>
      </c>
      <c r="E195" s="7" t="b">
        <v>1</v>
      </c>
      <c r="F195" s="9">
        <v>246.0</v>
      </c>
      <c r="G195" s="9">
        <v>14.12874319848807</v>
      </c>
      <c r="H195" s="9">
        <v>0.0057365414634146</v>
      </c>
      <c r="I195" s="7" t="b">
        <v>1</v>
      </c>
      <c r="J195" s="9">
        <v>0.0</v>
      </c>
      <c r="K195" s="7" t="b">
        <v>0</v>
      </c>
      <c r="L195" s="9">
        <v>66.0</v>
      </c>
      <c r="M195" s="9">
        <v>0.2683</v>
      </c>
      <c r="N195" s="2" t="s">
        <v>1394</v>
      </c>
      <c r="O195" s="2" t="s">
        <v>1953</v>
      </c>
      <c r="P195" s="9">
        <v>48.59</v>
      </c>
      <c r="Q195" s="9">
        <v>44.0</v>
      </c>
      <c r="R195" s="9">
        <v>0.0</v>
      </c>
      <c r="S195" s="9">
        <v>0.4242</v>
      </c>
      <c r="T195" s="9">
        <v>0.6986</v>
      </c>
      <c r="U195" s="2" t="s">
        <v>1562</v>
      </c>
      <c r="V195" s="9">
        <v>0.87</v>
      </c>
      <c r="W195" s="2" t="s">
        <v>82</v>
      </c>
      <c r="X195" s="2" t="s">
        <v>1466</v>
      </c>
      <c r="Y195" s="2" t="s">
        <v>2625</v>
      </c>
      <c r="Z195" s="9">
        <v>0.3557</v>
      </c>
      <c r="AA195" s="9">
        <v>0.4242</v>
      </c>
      <c r="AB195" s="9">
        <v>0.87</v>
      </c>
      <c r="AC195" s="9">
        <v>0.2266</v>
      </c>
      <c r="AD195" s="9" t="str">
        <f t="shared" si="1"/>
        <v>#REF!</v>
      </c>
    </row>
    <row r="196" hidden="1">
      <c r="A196" s="2" t="s">
        <v>2622</v>
      </c>
      <c r="B196" s="2" t="s">
        <v>915</v>
      </c>
      <c r="C196" s="15"/>
      <c r="D196" s="2" t="s">
        <v>64</v>
      </c>
      <c r="E196" s="7" t="b">
        <v>1</v>
      </c>
      <c r="F196" s="9">
        <v>108.0</v>
      </c>
      <c r="G196" s="9">
        <v>8.554831163299085</v>
      </c>
      <c r="H196" s="9">
        <v>0.0037639796296296</v>
      </c>
      <c r="I196" s="7" t="b">
        <v>1</v>
      </c>
      <c r="J196" s="9">
        <v>0.0</v>
      </c>
      <c r="K196" s="7" t="b">
        <v>0</v>
      </c>
      <c r="L196" s="9">
        <v>446.0</v>
      </c>
      <c r="M196" s="9">
        <v>4.1296</v>
      </c>
      <c r="N196" s="2" t="s">
        <v>2628</v>
      </c>
      <c r="O196" s="2" t="s">
        <v>2629</v>
      </c>
      <c r="P196" s="9">
        <v>59.91</v>
      </c>
      <c r="Q196" s="9">
        <v>51.0</v>
      </c>
      <c r="R196" s="9">
        <v>0.076923</v>
      </c>
      <c r="S196" s="9">
        <v>0.5297</v>
      </c>
      <c r="T196" s="9">
        <v>0.6007</v>
      </c>
      <c r="U196" s="2" t="s">
        <v>1192</v>
      </c>
      <c r="V196" s="9">
        <v>0.8507</v>
      </c>
      <c r="W196" s="2" t="s">
        <v>157</v>
      </c>
      <c r="X196" s="2" t="s">
        <v>517</v>
      </c>
      <c r="Y196" s="2" t="s">
        <v>1593</v>
      </c>
      <c r="Z196" s="9">
        <v>0.5225</v>
      </c>
      <c r="AA196" s="9">
        <v>0.5297</v>
      </c>
      <c r="AB196" s="9">
        <v>0.8507</v>
      </c>
      <c r="AC196" s="9">
        <v>0.2328</v>
      </c>
      <c r="AD196" s="9" t="str">
        <f t="shared" si="1"/>
        <v>#REF!</v>
      </c>
    </row>
    <row r="197" hidden="1">
      <c r="A197" s="2" t="s">
        <v>2622</v>
      </c>
      <c r="B197" s="2" t="s">
        <v>963</v>
      </c>
      <c r="C197" s="15"/>
      <c r="D197" s="2" t="s">
        <v>64</v>
      </c>
      <c r="E197" s="7" t="b">
        <v>1</v>
      </c>
      <c r="F197" s="9">
        <v>80.0</v>
      </c>
      <c r="G197" s="9">
        <v>9.373303516150138</v>
      </c>
      <c r="H197" s="9">
        <v>0.0022863225</v>
      </c>
      <c r="I197" s="7" t="b">
        <v>1</v>
      </c>
      <c r="J197" s="9">
        <v>0.0</v>
      </c>
      <c r="K197" s="7" t="b">
        <v>0</v>
      </c>
      <c r="L197" s="9">
        <v>350.0</v>
      </c>
      <c r="M197" s="9">
        <v>4.375</v>
      </c>
      <c r="N197" s="2" t="s">
        <v>2634</v>
      </c>
      <c r="O197" s="2" t="s">
        <v>2635</v>
      </c>
      <c r="P197" s="9">
        <v>60.53</v>
      </c>
      <c r="Q197" s="9">
        <v>52.5</v>
      </c>
      <c r="R197" s="9">
        <v>0.029851</v>
      </c>
      <c r="S197" s="9">
        <v>0.4812</v>
      </c>
      <c r="T197" s="9">
        <v>0.5409</v>
      </c>
      <c r="U197" s="2" t="s">
        <v>553</v>
      </c>
      <c r="V197" s="9">
        <v>0.832</v>
      </c>
      <c r="W197" s="2" t="s">
        <v>82</v>
      </c>
      <c r="X197" s="2" t="s">
        <v>237</v>
      </c>
      <c r="Y197" s="2" t="s">
        <v>2637</v>
      </c>
      <c r="Z197" s="9">
        <v>0.4903</v>
      </c>
      <c r="AA197" s="9">
        <v>0.4812</v>
      </c>
      <c r="AB197" s="9">
        <v>0.832</v>
      </c>
      <c r="AC197" s="9">
        <v>0.6932</v>
      </c>
      <c r="AD197" s="9" t="str">
        <f t="shared" si="1"/>
        <v>#REF!</v>
      </c>
    </row>
    <row r="198" hidden="1">
      <c r="A198" s="2" t="s">
        <v>2622</v>
      </c>
      <c r="B198" s="2" t="s">
        <v>969</v>
      </c>
      <c r="C198" s="15"/>
      <c r="D198" s="2" t="s">
        <v>64</v>
      </c>
      <c r="E198" s="7" t="b">
        <v>1</v>
      </c>
      <c r="F198" s="9">
        <v>68.0</v>
      </c>
      <c r="G198" s="9">
        <v>11.74261191650497</v>
      </c>
      <c r="H198" s="9">
        <v>0.0015490588235294</v>
      </c>
      <c r="I198" s="7" t="b">
        <v>1</v>
      </c>
      <c r="J198" s="9">
        <v>0.0</v>
      </c>
      <c r="K198" s="7" t="b">
        <v>0</v>
      </c>
      <c r="L198" s="9">
        <v>5.0</v>
      </c>
      <c r="M198" s="9">
        <v>0.0735</v>
      </c>
      <c r="N198" s="2" t="s">
        <v>1664</v>
      </c>
      <c r="O198" s="2" t="s">
        <v>1665</v>
      </c>
      <c r="P198" s="9">
        <v>45.8</v>
      </c>
      <c r="Q198" s="9">
        <v>39.0</v>
      </c>
      <c r="R198" s="9">
        <v>0.0</v>
      </c>
      <c r="S198" s="9">
        <v>0.2156</v>
      </c>
      <c r="T198" s="9">
        <v>1.0001</v>
      </c>
      <c r="U198" s="2" t="s">
        <v>2641</v>
      </c>
      <c r="V198" s="15"/>
      <c r="W198" s="2" t="s">
        <v>1124</v>
      </c>
      <c r="X198" s="2" t="s">
        <v>182</v>
      </c>
      <c r="Y198" s="2" t="s">
        <v>1491</v>
      </c>
      <c r="Z198" s="9">
        <v>0.1648</v>
      </c>
      <c r="AA198" s="9">
        <v>0.2156</v>
      </c>
      <c r="AB198" s="15"/>
      <c r="AC198" s="9">
        <v>0.1028</v>
      </c>
      <c r="AD198" s="9" t="str">
        <f t="shared" si="1"/>
        <v>#REF!</v>
      </c>
    </row>
    <row r="199" hidden="1">
      <c r="A199" s="2" t="s">
        <v>2622</v>
      </c>
      <c r="B199" s="2" t="s">
        <v>1015</v>
      </c>
      <c r="C199" s="15"/>
      <c r="D199" s="2" t="s">
        <v>64</v>
      </c>
      <c r="E199" s="7" t="b">
        <v>1</v>
      </c>
      <c r="F199" s="9">
        <v>308.0</v>
      </c>
      <c r="G199" s="9">
        <v>52.7344413219475</v>
      </c>
      <c r="H199" s="9">
        <v>0.2058226623376623</v>
      </c>
      <c r="I199" s="7" t="b">
        <v>1</v>
      </c>
      <c r="J199" s="9">
        <v>0.0</v>
      </c>
      <c r="K199" s="7" t="b">
        <v>0</v>
      </c>
      <c r="L199" s="9">
        <v>209.0</v>
      </c>
      <c r="M199" s="9">
        <v>0.6786</v>
      </c>
      <c r="N199" s="2" t="s">
        <v>230</v>
      </c>
      <c r="O199" s="2" t="s">
        <v>2646</v>
      </c>
      <c r="P199" s="9">
        <v>90.14</v>
      </c>
      <c r="Q199" s="9">
        <v>73.0</v>
      </c>
      <c r="R199" s="9">
        <v>0.026316</v>
      </c>
      <c r="S199" s="9">
        <v>0.664</v>
      </c>
      <c r="T199" s="9">
        <v>1.0033</v>
      </c>
      <c r="U199" s="2" t="s">
        <v>1779</v>
      </c>
      <c r="V199" s="9">
        <v>0.3491</v>
      </c>
      <c r="W199" s="2" t="s">
        <v>82</v>
      </c>
      <c r="X199" s="2" t="s">
        <v>495</v>
      </c>
      <c r="Y199" s="2" t="s">
        <v>2571</v>
      </c>
      <c r="Z199" s="9">
        <v>0.5194</v>
      </c>
      <c r="AA199" s="9">
        <v>0.664</v>
      </c>
      <c r="AB199" s="9">
        <v>0.3491</v>
      </c>
      <c r="AC199" s="9">
        <v>0.2331</v>
      </c>
      <c r="AD199" s="9" t="str">
        <f t="shared" si="1"/>
        <v>#REF!</v>
      </c>
    </row>
    <row r="200" hidden="1">
      <c r="A200" s="2" t="s">
        <v>2622</v>
      </c>
      <c r="B200" s="2" t="s">
        <v>1027</v>
      </c>
      <c r="C200" s="15"/>
      <c r="D200" s="2" t="s">
        <v>64</v>
      </c>
      <c r="E200" s="7" t="b">
        <v>1</v>
      </c>
      <c r="F200" s="9">
        <v>439.0</v>
      </c>
      <c r="G200" s="9">
        <v>13.66667055859773</v>
      </c>
      <c r="H200" s="9">
        <v>0.008509701594533</v>
      </c>
      <c r="I200" s="7" t="b">
        <v>1</v>
      </c>
      <c r="J200" s="9">
        <v>0.0</v>
      </c>
      <c r="K200" s="7" t="b">
        <v>0</v>
      </c>
      <c r="L200" s="9">
        <v>56.0</v>
      </c>
      <c r="M200" s="9">
        <v>0.1276</v>
      </c>
      <c r="N200" s="2" t="s">
        <v>2651</v>
      </c>
      <c r="O200" s="2" t="s">
        <v>2172</v>
      </c>
      <c r="P200" s="9">
        <v>66.12</v>
      </c>
      <c r="Q200" s="9">
        <v>65.0</v>
      </c>
      <c r="R200" s="9">
        <v>0.0</v>
      </c>
      <c r="S200" s="9">
        <v>0.5063</v>
      </c>
      <c r="T200" s="9">
        <v>0.9887</v>
      </c>
      <c r="U200" s="2" t="s">
        <v>2063</v>
      </c>
      <c r="V200" s="9">
        <v>0.8625</v>
      </c>
      <c r="W200" s="2" t="s">
        <v>82</v>
      </c>
      <c r="X200" s="2" t="s">
        <v>517</v>
      </c>
      <c r="Y200" s="2" t="s">
        <v>1835</v>
      </c>
      <c r="Z200" s="9">
        <v>0.4029</v>
      </c>
      <c r="AA200" s="9">
        <v>0.5063</v>
      </c>
      <c r="AB200" s="9">
        <v>0.8625</v>
      </c>
      <c r="AC200" s="9">
        <v>0.1243</v>
      </c>
      <c r="AD200" s="9" t="str">
        <f t="shared" si="1"/>
        <v>#REF!</v>
      </c>
    </row>
    <row r="201" hidden="1">
      <c r="A201" s="2" t="s">
        <v>2622</v>
      </c>
      <c r="B201" s="2" t="s">
        <v>1031</v>
      </c>
      <c r="C201" s="15"/>
      <c r="D201" s="2" t="s">
        <v>64</v>
      </c>
      <c r="E201" s="7" t="b">
        <v>1</v>
      </c>
      <c r="F201" s="9">
        <v>205.0</v>
      </c>
      <c r="G201" s="9">
        <v>21.57764865772681</v>
      </c>
      <c r="H201" s="9">
        <v>0.0241248780487804</v>
      </c>
      <c r="I201" s="7" t="b">
        <v>1</v>
      </c>
      <c r="J201" s="9">
        <v>0.0</v>
      </c>
      <c r="K201" s="7" t="b">
        <v>0</v>
      </c>
      <c r="L201" s="9">
        <v>119.0</v>
      </c>
      <c r="M201" s="9">
        <v>0.5805</v>
      </c>
      <c r="N201" s="2" t="s">
        <v>2397</v>
      </c>
      <c r="O201" s="2" t="s">
        <v>2655</v>
      </c>
      <c r="P201" s="9">
        <v>66.87</v>
      </c>
      <c r="Q201" s="9">
        <v>58.0</v>
      </c>
      <c r="R201" s="9">
        <v>0.043478</v>
      </c>
      <c r="S201" s="9">
        <v>0.5511</v>
      </c>
      <c r="T201" s="9">
        <v>0.9745</v>
      </c>
      <c r="U201" s="2" t="s">
        <v>2656</v>
      </c>
      <c r="V201" s="9">
        <v>0.7981</v>
      </c>
      <c r="W201" s="2" t="s">
        <v>157</v>
      </c>
      <c r="X201" s="2" t="s">
        <v>237</v>
      </c>
      <c r="Y201" s="2" t="s">
        <v>1703</v>
      </c>
      <c r="Z201" s="9">
        <v>0.47</v>
      </c>
      <c r="AA201" s="9">
        <v>0.5511</v>
      </c>
      <c r="AB201" s="9">
        <v>0.7981</v>
      </c>
      <c r="AC201" s="9">
        <v>0.7647</v>
      </c>
      <c r="AD201" s="9" t="str">
        <f t="shared" si="1"/>
        <v>#REF!</v>
      </c>
    </row>
    <row r="202" hidden="1">
      <c r="A202" s="2" t="s">
        <v>1218</v>
      </c>
      <c r="B202" s="2" t="s">
        <v>915</v>
      </c>
      <c r="C202" s="15"/>
      <c r="D202" s="2" t="s">
        <v>64</v>
      </c>
      <c r="E202" s="7" t="b">
        <v>1</v>
      </c>
      <c r="F202" s="9">
        <v>53.0</v>
      </c>
      <c r="G202" s="9">
        <v>11.80911048293256</v>
      </c>
      <c r="H202" s="9">
        <v>0.0035247641509433</v>
      </c>
      <c r="I202" s="7" t="b">
        <v>1</v>
      </c>
      <c r="J202" s="9">
        <v>0.0</v>
      </c>
      <c r="K202" s="7" t="b">
        <v>0</v>
      </c>
      <c r="L202" s="9">
        <v>47.0</v>
      </c>
      <c r="M202" s="9">
        <v>0.8868</v>
      </c>
      <c r="N202" s="2" t="s">
        <v>1952</v>
      </c>
      <c r="O202" s="2" t="s">
        <v>2025</v>
      </c>
      <c r="P202" s="9">
        <v>59.11</v>
      </c>
      <c r="Q202" s="9">
        <v>49.0</v>
      </c>
      <c r="R202" s="9">
        <v>0.153846</v>
      </c>
      <c r="S202" s="9">
        <v>0.4512</v>
      </c>
      <c r="T202" s="9">
        <v>0.897</v>
      </c>
      <c r="U202" s="2" t="s">
        <v>1540</v>
      </c>
      <c r="V202" s="9">
        <v>0.0</v>
      </c>
      <c r="W202" s="2" t="s">
        <v>134</v>
      </c>
      <c r="X202" s="2" t="s">
        <v>517</v>
      </c>
      <c r="Y202" s="2" t="s">
        <v>1399</v>
      </c>
      <c r="Z202" s="9">
        <v>0.3564</v>
      </c>
      <c r="AA202" s="9">
        <v>0.4512</v>
      </c>
      <c r="AB202" s="9">
        <v>0.0</v>
      </c>
      <c r="AC202" s="9">
        <v>0.1568</v>
      </c>
      <c r="AD202" s="9" t="str">
        <f t="shared" si="1"/>
        <v>#REF!</v>
      </c>
    </row>
    <row r="203" hidden="1">
      <c r="A203" s="2" t="s">
        <v>1218</v>
      </c>
      <c r="B203" s="2" t="s">
        <v>963</v>
      </c>
      <c r="C203" s="15"/>
      <c r="D203" s="2" t="s">
        <v>64</v>
      </c>
      <c r="E203" s="7" t="b">
        <v>1</v>
      </c>
      <c r="F203" s="9">
        <v>88.0</v>
      </c>
      <c r="G203" s="9">
        <v>22.62587786811907</v>
      </c>
      <c r="H203" s="9">
        <v>0.0146010284090909</v>
      </c>
      <c r="I203" s="7" t="b">
        <v>1</v>
      </c>
      <c r="J203" s="9">
        <v>0.0</v>
      </c>
      <c r="K203" s="7" t="b">
        <v>0</v>
      </c>
      <c r="L203" s="9">
        <v>38.0</v>
      </c>
      <c r="M203" s="9">
        <v>0.4318</v>
      </c>
      <c r="N203" s="2" t="s">
        <v>1984</v>
      </c>
      <c r="O203" s="2" t="s">
        <v>1985</v>
      </c>
      <c r="P203" s="9">
        <v>69.55</v>
      </c>
      <c r="Q203" s="9">
        <v>53.5</v>
      </c>
      <c r="R203" s="9">
        <v>0.0</v>
      </c>
      <c r="S203" s="9">
        <v>0.4295</v>
      </c>
      <c r="T203" s="9">
        <v>0.9449</v>
      </c>
      <c r="U203" s="2" t="s">
        <v>1779</v>
      </c>
      <c r="V203" s="9">
        <v>0.0</v>
      </c>
      <c r="W203" s="2" t="s">
        <v>82</v>
      </c>
      <c r="X203" s="2" t="s">
        <v>1466</v>
      </c>
      <c r="Y203" s="2" t="s">
        <v>1542</v>
      </c>
      <c r="Z203" s="9">
        <v>0.3471</v>
      </c>
      <c r="AA203" s="9">
        <v>0.4295</v>
      </c>
      <c r="AB203" s="9">
        <v>0.0</v>
      </c>
      <c r="AC203" s="9">
        <v>0.1859</v>
      </c>
      <c r="AD203" s="9" t="str">
        <f t="shared" si="1"/>
        <v>#REF!</v>
      </c>
    </row>
    <row r="204" hidden="1">
      <c r="A204" s="2" t="s">
        <v>1218</v>
      </c>
      <c r="B204" s="2" t="s">
        <v>982</v>
      </c>
      <c r="C204" s="15"/>
      <c r="D204" s="2" t="s">
        <v>64</v>
      </c>
      <c r="E204" s="7" t="b">
        <v>1</v>
      </c>
      <c r="F204" s="9">
        <v>253.0</v>
      </c>
      <c r="G204" s="9">
        <v>19.84382555526098</v>
      </c>
      <c r="H204" s="9">
        <v>0.0470108458498023</v>
      </c>
      <c r="I204" s="7" t="b">
        <v>1</v>
      </c>
      <c r="J204" s="9">
        <v>0.0</v>
      </c>
      <c r="K204" s="7" t="b">
        <v>0</v>
      </c>
      <c r="L204" s="9">
        <v>541.0</v>
      </c>
      <c r="M204" s="9">
        <v>2.1383</v>
      </c>
      <c r="N204" s="2" t="s">
        <v>2669</v>
      </c>
      <c r="O204" s="2" t="s">
        <v>2670</v>
      </c>
      <c r="P204" s="9">
        <v>86.73</v>
      </c>
      <c r="Q204" s="9">
        <v>71.0</v>
      </c>
      <c r="R204" s="9">
        <v>0.106796</v>
      </c>
      <c r="S204" s="9">
        <v>0.7924</v>
      </c>
      <c r="T204" s="9">
        <v>0.9877</v>
      </c>
      <c r="U204" s="2" t="s">
        <v>1701</v>
      </c>
      <c r="V204" s="9">
        <v>0.4051</v>
      </c>
      <c r="W204" s="2" t="s">
        <v>1657</v>
      </c>
      <c r="X204" s="2" t="s">
        <v>517</v>
      </c>
      <c r="Y204" s="2" t="s">
        <v>1399</v>
      </c>
      <c r="Z204" s="9">
        <v>0.6346</v>
      </c>
      <c r="AA204" s="9">
        <v>0.7924</v>
      </c>
      <c r="AB204" s="9">
        <v>0.4051</v>
      </c>
      <c r="AC204" s="9">
        <v>0.2914</v>
      </c>
      <c r="AD204" s="9" t="str">
        <f t="shared" si="1"/>
        <v>#REF!</v>
      </c>
    </row>
    <row r="205" hidden="1">
      <c r="A205" s="2" t="s">
        <v>1218</v>
      </c>
      <c r="B205" s="2" t="s">
        <v>992</v>
      </c>
      <c r="C205" s="15"/>
      <c r="D205" s="2" t="s">
        <v>64</v>
      </c>
      <c r="E205" s="7" t="b">
        <v>1</v>
      </c>
      <c r="F205" s="9">
        <v>544.0</v>
      </c>
      <c r="G205" s="9">
        <v>16.71079432347446</v>
      </c>
      <c r="H205" s="9">
        <v>0.0726723933823529</v>
      </c>
      <c r="I205" s="7" t="b">
        <v>1</v>
      </c>
      <c r="J205" s="9">
        <v>0.0</v>
      </c>
      <c r="K205" s="7" t="b">
        <v>0</v>
      </c>
      <c r="L205" s="9">
        <v>911.0</v>
      </c>
      <c r="M205" s="9">
        <v>1.6746</v>
      </c>
      <c r="N205" s="2" t="s">
        <v>2673</v>
      </c>
      <c r="O205" s="2" t="s">
        <v>2674</v>
      </c>
      <c r="P205" s="9">
        <v>71.66</v>
      </c>
      <c r="Q205" s="9">
        <v>65.0</v>
      </c>
      <c r="R205" s="9">
        <v>0.141176</v>
      </c>
      <c r="S205" s="9">
        <v>0.8379</v>
      </c>
      <c r="T205" s="9">
        <v>0.9917</v>
      </c>
      <c r="U205" s="2" t="s">
        <v>1151</v>
      </c>
      <c r="V205" s="9">
        <v>0.8248</v>
      </c>
      <c r="W205" s="2" t="s">
        <v>157</v>
      </c>
      <c r="X205" s="2" t="s">
        <v>84</v>
      </c>
      <c r="Y205" s="2" t="s">
        <v>2675</v>
      </c>
      <c r="Z205" s="9">
        <v>0.6752</v>
      </c>
      <c r="AA205" s="9">
        <v>0.8379</v>
      </c>
      <c r="AB205" s="9">
        <v>0.8248</v>
      </c>
      <c r="AC205" s="9">
        <v>0.6912</v>
      </c>
      <c r="AD205" s="9" t="str">
        <f t="shared" si="1"/>
        <v>#REF!</v>
      </c>
    </row>
    <row r="206" hidden="1">
      <c r="A206" s="2" t="s">
        <v>1218</v>
      </c>
      <c r="B206" s="2" t="s">
        <v>1027</v>
      </c>
      <c r="C206" s="15"/>
      <c r="D206" s="2" t="s">
        <v>64</v>
      </c>
      <c r="E206" s="7" t="b">
        <v>1</v>
      </c>
      <c r="F206" s="9">
        <v>59.0</v>
      </c>
      <c r="G206" s="9">
        <v>14.00570298738866</v>
      </c>
      <c r="H206" s="9">
        <v>0.00120736</v>
      </c>
      <c r="I206" s="7" t="b">
        <v>1</v>
      </c>
      <c r="J206" s="9">
        <v>0.0</v>
      </c>
      <c r="K206" s="7" t="b">
        <v>0</v>
      </c>
      <c r="L206" s="9">
        <v>5.0</v>
      </c>
      <c r="M206" s="9">
        <v>0.0847</v>
      </c>
      <c r="N206" s="2" t="s">
        <v>1485</v>
      </c>
      <c r="O206" s="2" t="s">
        <v>1486</v>
      </c>
      <c r="P206" s="9">
        <v>82.8</v>
      </c>
      <c r="Q206" s="9">
        <v>81.0</v>
      </c>
      <c r="R206" s="9">
        <v>0.0</v>
      </c>
      <c r="S206" s="9">
        <v>0.2094</v>
      </c>
      <c r="T206" s="9">
        <v>1.0001</v>
      </c>
      <c r="U206" s="2" t="s">
        <v>2679</v>
      </c>
      <c r="V206" s="15"/>
      <c r="W206" s="2" t="s">
        <v>157</v>
      </c>
      <c r="X206" s="2" t="s">
        <v>182</v>
      </c>
      <c r="Y206" s="2" t="s">
        <v>1491</v>
      </c>
      <c r="Z206" s="9">
        <v>0.1611</v>
      </c>
      <c r="AA206" s="9">
        <v>0.2094</v>
      </c>
      <c r="AB206" s="15"/>
      <c r="AC206" s="9">
        <v>0.0</v>
      </c>
      <c r="AD206" s="9" t="str">
        <f t="shared" si="1"/>
        <v>#REF!</v>
      </c>
    </row>
    <row r="207" hidden="1">
      <c r="A207" s="2" t="s">
        <v>1218</v>
      </c>
      <c r="B207" s="2" t="s">
        <v>1031</v>
      </c>
      <c r="C207" s="15"/>
      <c r="D207" s="2" t="s">
        <v>64</v>
      </c>
      <c r="E207" s="7" t="b">
        <v>1</v>
      </c>
      <c r="F207" s="9">
        <v>139.0</v>
      </c>
      <c r="G207" s="9">
        <v>38.67295572168212</v>
      </c>
      <c r="H207" s="9">
        <v>0.0524493884892086</v>
      </c>
      <c r="I207" s="7" t="b">
        <v>1</v>
      </c>
      <c r="J207" s="9">
        <v>0.0</v>
      </c>
      <c r="K207" s="7" t="b">
        <v>0</v>
      </c>
      <c r="L207" s="9">
        <v>85.0</v>
      </c>
      <c r="M207" s="9">
        <v>0.6115</v>
      </c>
      <c r="N207" s="2" t="s">
        <v>2397</v>
      </c>
      <c r="O207" s="2" t="s">
        <v>2683</v>
      </c>
      <c r="P207" s="9">
        <v>93.35</v>
      </c>
      <c r="Q207" s="9">
        <v>80.0</v>
      </c>
      <c r="R207" s="9">
        <v>0.05</v>
      </c>
      <c r="S207" s="9">
        <v>0.5754</v>
      </c>
      <c r="T207" s="9">
        <v>1.0018</v>
      </c>
      <c r="U207" s="2" t="s">
        <v>1850</v>
      </c>
      <c r="V207" s="9">
        <v>0.7515</v>
      </c>
      <c r="W207" s="2" t="s">
        <v>82</v>
      </c>
      <c r="X207" s="2" t="s">
        <v>84</v>
      </c>
      <c r="Y207" s="2" t="s">
        <v>2340</v>
      </c>
      <c r="Z207" s="9">
        <v>0.4445</v>
      </c>
      <c r="AA207" s="9">
        <v>0.5754</v>
      </c>
      <c r="AB207" s="9">
        <v>0.7515</v>
      </c>
      <c r="AC207" s="9">
        <v>0.7435</v>
      </c>
      <c r="AD207" s="9" t="str">
        <f t="shared" si="1"/>
        <v>#REF!</v>
      </c>
    </row>
    <row r="208">
      <c r="A208" s="2" t="s">
        <v>2107</v>
      </c>
      <c r="B208" s="2" t="s">
        <v>306</v>
      </c>
      <c r="C208" s="2" t="s">
        <v>1675</v>
      </c>
      <c r="D208" s="2" t="s">
        <v>64</v>
      </c>
      <c r="E208" s="7" t="b">
        <v>1</v>
      </c>
      <c r="F208" s="9">
        <v>1831.0</v>
      </c>
      <c r="G208" s="9">
        <v>25.65110690794052</v>
      </c>
      <c r="H208" s="9">
        <v>0.384722501365374</v>
      </c>
      <c r="I208" s="7" t="b">
        <v>1</v>
      </c>
      <c r="J208" s="9">
        <v>0.0</v>
      </c>
      <c r="K208" s="7" t="b">
        <v>0</v>
      </c>
      <c r="L208" s="9">
        <v>1946.0</v>
      </c>
      <c r="M208" s="9">
        <v>1.0628</v>
      </c>
      <c r="N208" s="2" t="s">
        <v>2687</v>
      </c>
      <c r="O208" s="2" t="s">
        <v>2690</v>
      </c>
      <c r="P208" s="9">
        <v>57.09</v>
      </c>
      <c r="Q208" s="9">
        <v>51.0</v>
      </c>
      <c r="R208" s="9">
        <v>0.014245</v>
      </c>
      <c r="S208" s="9">
        <v>0.9236</v>
      </c>
      <c r="T208" s="9">
        <v>0.998</v>
      </c>
      <c r="U208" s="2" t="s">
        <v>451</v>
      </c>
      <c r="V208" s="9">
        <v>0.875</v>
      </c>
      <c r="W208" s="2" t="s">
        <v>82</v>
      </c>
      <c r="X208" s="2" t="s">
        <v>99</v>
      </c>
      <c r="Y208" s="2" t="s">
        <v>1515</v>
      </c>
      <c r="Z208" s="9">
        <v>0.7661</v>
      </c>
      <c r="AA208" s="9">
        <v>0.9236</v>
      </c>
      <c r="AB208" s="9">
        <v>0.875</v>
      </c>
      <c r="AC208" s="9">
        <v>0.8639</v>
      </c>
      <c r="AD208" s="9" t="str">
        <f t="shared" si="1"/>
        <v>#REF!</v>
      </c>
    </row>
    <row r="209" hidden="1">
      <c r="A209" s="2" t="s">
        <v>2692</v>
      </c>
      <c r="B209" s="2" t="s">
        <v>441</v>
      </c>
      <c r="C209" s="2" t="s">
        <v>1675</v>
      </c>
      <c r="D209" s="2" t="s">
        <v>64</v>
      </c>
      <c r="E209" s="7" t="b">
        <v>1</v>
      </c>
      <c r="F209" s="9">
        <v>64.0</v>
      </c>
      <c r="G209" s="9">
        <v>27.07780313730666</v>
      </c>
      <c r="H209" s="9">
        <v>0.0164511</v>
      </c>
      <c r="I209" s="7" t="b">
        <v>1</v>
      </c>
      <c r="J209" s="9">
        <v>0.0</v>
      </c>
      <c r="K209" s="7" t="b">
        <v>0</v>
      </c>
      <c r="L209" s="9">
        <v>54.0</v>
      </c>
      <c r="M209" s="9">
        <v>0.8438</v>
      </c>
      <c r="N209" s="2" t="s">
        <v>1952</v>
      </c>
      <c r="O209" s="2" t="s">
        <v>1953</v>
      </c>
      <c r="P209" s="9">
        <v>64.61</v>
      </c>
      <c r="Q209" s="9">
        <v>61.0</v>
      </c>
      <c r="R209" s="9">
        <v>0.0</v>
      </c>
      <c r="S209" s="9">
        <v>0.4906</v>
      </c>
      <c r="T209" s="9">
        <v>1.0005</v>
      </c>
      <c r="U209" s="2" t="s">
        <v>2696</v>
      </c>
      <c r="V209" s="15"/>
      <c r="W209" s="2" t="s">
        <v>134</v>
      </c>
      <c r="X209" s="2" t="s">
        <v>1455</v>
      </c>
      <c r="Y209" s="2" t="s">
        <v>1456</v>
      </c>
      <c r="Z209" s="9">
        <v>0.3823</v>
      </c>
      <c r="AA209" s="9">
        <v>0.4906</v>
      </c>
      <c r="AB209" s="15"/>
      <c r="AC209" s="9">
        <v>0.8889</v>
      </c>
      <c r="AD209" s="9" t="str">
        <f t="shared" si="1"/>
        <v>#REF!</v>
      </c>
    </row>
    <row r="210" hidden="1">
      <c r="A210" s="2" t="s">
        <v>2698</v>
      </c>
      <c r="B210" s="2" t="s">
        <v>997</v>
      </c>
      <c r="C210" s="2" t="s">
        <v>1675</v>
      </c>
      <c r="D210" s="2" t="s">
        <v>64</v>
      </c>
      <c r="E210" s="7" t="b">
        <v>1</v>
      </c>
      <c r="F210" s="9">
        <v>122.0</v>
      </c>
      <c r="G210" s="9">
        <v>23.80893557032621</v>
      </c>
      <c r="H210" s="9">
        <v>0.0046669868852459</v>
      </c>
      <c r="I210" s="7" t="b">
        <v>1</v>
      </c>
      <c r="J210" s="9">
        <v>0.0</v>
      </c>
      <c r="K210" s="7" t="b">
        <v>0</v>
      </c>
      <c r="L210" s="9">
        <v>85.0</v>
      </c>
      <c r="M210" s="9">
        <v>0.6967</v>
      </c>
      <c r="N210" s="2" t="s">
        <v>1460</v>
      </c>
      <c r="O210" s="2" t="s">
        <v>1912</v>
      </c>
      <c r="P210" s="9">
        <v>60.39</v>
      </c>
      <c r="Q210" s="9">
        <v>60.0</v>
      </c>
      <c r="R210" s="9">
        <v>0.0</v>
      </c>
      <c r="S210" s="9">
        <v>0.5448</v>
      </c>
      <c r="T210" s="9">
        <v>0.9974</v>
      </c>
      <c r="U210" s="2" t="s">
        <v>194</v>
      </c>
      <c r="V210" s="15"/>
      <c r="W210" s="2" t="s">
        <v>157</v>
      </c>
      <c r="X210" s="2" t="s">
        <v>1455</v>
      </c>
      <c r="Y210" s="2" t="s">
        <v>1456</v>
      </c>
      <c r="Z210" s="9">
        <v>0.4259</v>
      </c>
      <c r="AA210" s="9">
        <v>0.5448</v>
      </c>
      <c r="AB210" s="15"/>
      <c r="AC210" s="9">
        <v>0.8375</v>
      </c>
      <c r="AD210" s="9" t="str">
        <f t="shared" si="1"/>
        <v>#REF!</v>
      </c>
    </row>
    <row r="211" hidden="1">
      <c r="A211" s="2" t="s">
        <v>2084</v>
      </c>
      <c r="B211" s="2" t="s">
        <v>503</v>
      </c>
      <c r="C211" s="2" t="s">
        <v>1675</v>
      </c>
      <c r="D211" s="2" t="s">
        <v>64</v>
      </c>
      <c r="E211" s="7" t="b">
        <v>1</v>
      </c>
      <c r="F211" s="9">
        <v>115.0</v>
      </c>
      <c r="G211" s="9">
        <v>29.19763839267363</v>
      </c>
      <c r="H211" s="9">
        <v>0.0087003060869565</v>
      </c>
      <c r="I211" s="7" t="b">
        <v>1</v>
      </c>
      <c r="J211" s="9">
        <v>0.0</v>
      </c>
      <c r="K211" s="7" t="b">
        <v>0</v>
      </c>
      <c r="L211" s="9">
        <v>78.0</v>
      </c>
      <c r="M211" s="9">
        <v>0.6783</v>
      </c>
      <c r="N211" s="2" t="s">
        <v>1984</v>
      </c>
      <c r="O211" s="2" t="s">
        <v>2025</v>
      </c>
      <c r="P211" s="9">
        <v>65.86</v>
      </c>
      <c r="Q211" s="9">
        <v>55.0</v>
      </c>
      <c r="R211" s="9">
        <v>0.0</v>
      </c>
      <c r="S211" s="9">
        <v>0.4402</v>
      </c>
      <c r="T211" s="9">
        <v>0.8498</v>
      </c>
      <c r="U211" s="2" t="s">
        <v>1964</v>
      </c>
      <c r="V211" s="9">
        <v>0.0</v>
      </c>
      <c r="W211" s="2" t="s">
        <v>157</v>
      </c>
      <c r="X211" s="2" t="s">
        <v>1466</v>
      </c>
      <c r="Y211" s="2" t="s">
        <v>1456</v>
      </c>
      <c r="Z211" s="9">
        <v>0.3474</v>
      </c>
      <c r="AA211" s="9">
        <v>0.4402</v>
      </c>
      <c r="AB211" s="9">
        <v>0.0</v>
      </c>
      <c r="AC211" s="9">
        <v>0.2883</v>
      </c>
      <c r="AD211" s="9" t="str">
        <f t="shared" si="1"/>
        <v>#REF!</v>
      </c>
    </row>
    <row r="212" hidden="1">
      <c r="A212" s="2" t="s">
        <v>2084</v>
      </c>
      <c r="B212" s="2" t="s">
        <v>623</v>
      </c>
      <c r="C212" s="2" t="s">
        <v>1675</v>
      </c>
      <c r="D212" s="2" t="s">
        <v>64</v>
      </c>
      <c r="E212" s="7" t="b">
        <v>1</v>
      </c>
      <c r="F212" s="9">
        <v>113.0</v>
      </c>
      <c r="G212" s="9">
        <v>11.35318838038158</v>
      </c>
      <c r="H212" s="9">
        <v>0.0017051734513274</v>
      </c>
      <c r="I212" s="7" t="b">
        <v>1</v>
      </c>
      <c r="J212" s="9">
        <v>0.0</v>
      </c>
      <c r="K212" s="7" t="b">
        <v>0</v>
      </c>
      <c r="L212" s="9">
        <v>222.0</v>
      </c>
      <c r="M212" s="9">
        <v>1.9646</v>
      </c>
      <c r="N212" s="2" t="s">
        <v>1948</v>
      </c>
      <c r="O212" s="2" t="s">
        <v>2710</v>
      </c>
      <c r="P212" s="9">
        <v>47.23</v>
      </c>
      <c r="Q212" s="9">
        <v>45.0</v>
      </c>
      <c r="R212" s="9">
        <v>0.0</v>
      </c>
      <c r="S212" s="9">
        <v>0.6843</v>
      </c>
      <c r="T212" s="9">
        <v>0.9843</v>
      </c>
      <c r="U212" s="2" t="s">
        <v>1936</v>
      </c>
      <c r="V212" s="9">
        <v>0.0</v>
      </c>
      <c r="W212" s="2" t="s">
        <v>82</v>
      </c>
      <c r="X212" s="2" t="s">
        <v>495</v>
      </c>
      <c r="Y212" s="2" t="s">
        <v>1408</v>
      </c>
      <c r="Z212" s="9">
        <v>0.5341</v>
      </c>
      <c r="AA212" s="9">
        <v>0.6843</v>
      </c>
      <c r="AB212" s="9">
        <v>0.0</v>
      </c>
      <c r="AC212" s="9">
        <v>0.8551</v>
      </c>
      <c r="AD212" s="9" t="str">
        <f t="shared" si="1"/>
        <v>#REF!</v>
      </c>
    </row>
    <row r="213" hidden="1">
      <c r="A213" s="2" t="s">
        <v>2084</v>
      </c>
      <c r="B213" s="2" t="s">
        <v>942</v>
      </c>
      <c r="C213" s="2" t="s">
        <v>1675</v>
      </c>
      <c r="D213" s="2" t="s">
        <v>64</v>
      </c>
      <c r="E213" s="7" t="b">
        <v>1</v>
      </c>
      <c r="F213" s="9">
        <v>1450.0</v>
      </c>
      <c r="G213" s="9">
        <v>4.244580814367438</v>
      </c>
      <c r="H213" s="9">
        <v>0.0018442943448275</v>
      </c>
      <c r="I213" s="7" t="b">
        <v>1</v>
      </c>
      <c r="J213" s="9">
        <v>0.0</v>
      </c>
      <c r="K213" s="7" t="b">
        <v>0</v>
      </c>
      <c r="L213" s="9">
        <v>4435.0</v>
      </c>
      <c r="M213" s="9">
        <v>3.0586</v>
      </c>
      <c r="N213" s="2" t="s">
        <v>2714</v>
      </c>
      <c r="O213" s="2" t="s">
        <v>2716</v>
      </c>
      <c r="P213" s="9">
        <v>55.28</v>
      </c>
      <c r="Q213" s="9">
        <v>44.0</v>
      </c>
      <c r="R213" s="9">
        <v>0.01147</v>
      </c>
      <c r="S213" s="9">
        <v>0.7892</v>
      </c>
      <c r="T213" s="9">
        <v>0.613</v>
      </c>
      <c r="U213" s="2" t="s">
        <v>2718</v>
      </c>
      <c r="V213" s="9">
        <v>0.7968</v>
      </c>
      <c r="W213" s="2" t="s">
        <v>1780</v>
      </c>
      <c r="X213" s="2" t="s">
        <v>517</v>
      </c>
      <c r="Y213" s="2" t="s">
        <v>2719</v>
      </c>
      <c r="Z213" s="9">
        <v>0.7032</v>
      </c>
      <c r="AA213" s="9">
        <v>0.7892</v>
      </c>
      <c r="AB213" s="9">
        <v>0.7968</v>
      </c>
      <c r="AC213" s="9">
        <v>0.1646</v>
      </c>
      <c r="AD213" s="9" t="str">
        <f t="shared" si="1"/>
        <v>#REF!</v>
      </c>
    </row>
    <row r="214" hidden="1">
      <c r="A214" s="2" t="s">
        <v>2084</v>
      </c>
      <c r="B214" s="2" t="s">
        <v>1009</v>
      </c>
      <c r="C214" s="2" t="s">
        <v>1675</v>
      </c>
      <c r="D214" s="2" t="s">
        <v>64</v>
      </c>
      <c r="E214" s="7" t="b">
        <v>1</v>
      </c>
      <c r="F214" s="9">
        <v>132.0</v>
      </c>
      <c r="G214" s="9">
        <v>10.32108799316177</v>
      </c>
      <c r="H214" s="9">
        <v>0.0038203636363636</v>
      </c>
      <c r="I214" s="7" t="b">
        <v>1</v>
      </c>
      <c r="J214" s="9">
        <v>0.0</v>
      </c>
      <c r="K214" s="7" t="b">
        <v>0</v>
      </c>
      <c r="L214" s="9">
        <v>10.0</v>
      </c>
      <c r="M214" s="9">
        <v>0.0758</v>
      </c>
      <c r="N214" s="2" t="s">
        <v>1485</v>
      </c>
      <c r="O214" s="2" t="s">
        <v>1665</v>
      </c>
      <c r="P214" s="9">
        <v>40.2</v>
      </c>
      <c r="Q214" s="9">
        <v>36.5</v>
      </c>
      <c r="R214" s="9">
        <v>0.0</v>
      </c>
      <c r="S214" s="9">
        <v>0.2759</v>
      </c>
      <c r="T214" s="9">
        <v>0.9155</v>
      </c>
      <c r="U214" s="2" t="s">
        <v>2724</v>
      </c>
      <c r="V214" s="15"/>
      <c r="W214" s="2" t="s">
        <v>134</v>
      </c>
      <c r="X214" s="2" t="s">
        <v>182</v>
      </c>
      <c r="Y214" s="2" t="s">
        <v>1491</v>
      </c>
      <c r="Z214" s="9">
        <v>0.2133</v>
      </c>
      <c r="AA214" s="9">
        <v>0.2759</v>
      </c>
      <c r="AB214" s="15"/>
      <c r="AC214" s="9">
        <v>0.0138</v>
      </c>
      <c r="AD214" s="9" t="str">
        <f t="shared" si="1"/>
        <v>#REF!</v>
      </c>
    </row>
    <row r="215" hidden="1">
      <c r="A215" s="2" t="s">
        <v>2084</v>
      </c>
      <c r="B215" s="2" t="s">
        <v>396</v>
      </c>
      <c r="C215" s="2" t="s">
        <v>1675</v>
      </c>
      <c r="D215" s="2" t="s">
        <v>64</v>
      </c>
      <c r="E215" s="7" t="b">
        <v>1</v>
      </c>
      <c r="F215" s="9">
        <v>51.0</v>
      </c>
      <c r="G215" s="9">
        <v>9.750230818785129</v>
      </c>
      <c r="H215" s="9">
        <v>0.0010865784313725</v>
      </c>
      <c r="I215" s="7" t="b">
        <v>1</v>
      </c>
      <c r="J215" s="9">
        <v>0.0</v>
      </c>
      <c r="K215" s="7" t="b">
        <v>0</v>
      </c>
      <c r="L215" s="9">
        <v>48.0</v>
      </c>
      <c r="M215" s="9">
        <v>0.9412</v>
      </c>
      <c r="N215" s="2" t="s">
        <v>2016</v>
      </c>
      <c r="O215" s="2" t="s">
        <v>1462</v>
      </c>
      <c r="P215" s="9">
        <v>42.02</v>
      </c>
      <c r="Q215" s="9">
        <v>39.0</v>
      </c>
      <c r="R215" s="9">
        <v>0.0</v>
      </c>
      <c r="S215" s="9">
        <v>0.4543</v>
      </c>
      <c r="T215" s="9">
        <v>0.9824</v>
      </c>
      <c r="U215" s="2" t="s">
        <v>1827</v>
      </c>
      <c r="V215" s="15"/>
      <c r="W215" s="2" t="s">
        <v>157</v>
      </c>
      <c r="X215" s="2" t="s">
        <v>1455</v>
      </c>
      <c r="Y215" s="2" t="s">
        <v>1456</v>
      </c>
      <c r="Z215" s="9">
        <v>0.3548</v>
      </c>
      <c r="AA215" s="9">
        <v>0.4543</v>
      </c>
      <c r="AB215" s="15"/>
      <c r="AC215" s="9">
        <v>0.7237</v>
      </c>
      <c r="AD215" s="9" t="str">
        <f t="shared" si="1"/>
        <v>#REF!</v>
      </c>
    </row>
    <row r="216" hidden="1">
      <c r="A216" s="2" t="s">
        <v>2731</v>
      </c>
      <c r="B216" s="2" t="s">
        <v>48</v>
      </c>
      <c r="C216" s="2" t="s">
        <v>1675</v>
      </c>
      <c r="D216" s="2" t="s">
        <v>64</v>
      </c>
      <c r="E216" s="7" t="b">
        <v>1</v>
      </c>
      <c r="F216" s="9">
        <v>128.0</v>
      </c>
      <c r="G216" s="9">
        <v>13.45281985205086</v>
      </c>
      <c r="H216" s="9">
        <v>0.0015892359375</v>
      </c>
      <c r="I216" s="7" t="b">
        <v>1</v>
      </c>
      <c r="J216" s="9">
        <v>0.0</v>
      </c>
      <c r="K216" s="7" t="b">
        <v>0</v>
      </c>
      <c r="L216" s="9">
        <v>24.0</v>
      </c>
      <c r="M216" s="9">
        <v>0.1875</v>
      </c>
      <c r="N216" s="2" t="s">
        <v>1485</v>
      </c>
      <c r="O216" s="2" t="s">
        <v>1486</v>
      </c>
      <c r="P216" s="9">
        <v>37.5</v>
      </c>
      <c r="Q216" s="9">
        <v>34.0</v>
      </c>
      <c r="R216" s="9">
        <v>0.0</v>
      </c>
      <c r="S216" s="9">
        <v>0.3519</v>
      </c>
      <c r="T216" s="9">
        <v>0.9112</v>
      </c>
      <c r="U216" s="2" t="s">
        <v>2735</v>
      </c>
      <c r="V216" s="15"/>
      <c r="W216" s="2" t="s">
        <v>82</v>
      </c>
      <c r="X216" s="2" t="s">
        <v>1455</v>
      </c>
      <c r="Y216" s="2" t="s">
        <v>1542</v>
      </c>
      <c r="Z216" s="9">
        <v>0.2871</v>
      </c>
      <c r="AA216" s="9">
        <v>0.3519</v>
      </c>
      <c r="AB216" s="15"/>
      <c r="AC216" s="9">
        <v>0.1407</v>
      </c>
      <c r="AD216" s="9" t="str">
        <f t="shared" si="1"/>
        <v>#REF!</v>
      </c>
    </row>
    <row r="217" hidden="1">
      <c r="A217" s="2" t="s">
        <v>2737</v>
      </c>
      <c r="B217" s="2" t="s">
        <v>534</v>
      </c>
      <c r="C217" s="2" t="s">
        <v>1675</v>
      </c>
      <c r="D217" s="2" t="s">
        <v>64</v>
      </c>
      <c r="E217" s="7" t="b">
        <v>1</v>
      </c>
      <c r="F217" s="9">
        <v>291.0</v>
      </c>
      <c r="G217" s="9">
        <v>11.38321237651064</v>
      </c>
      <c r="H217" s="9">
        <v>0.002556230927835</v>
      </c>
      <c r="I217" s="7" t="b">
        <v>1</v>
      </c>
      <c r="J217" s="9">
        <v>0.0</v>
      </c>
      <c r="K217" s="7" t="b">
        <v>0</v>
      </c>
      <c r="L217" s="9">
        <v>104.0</v>
      </c>
      <c r="M217" s="9">
        <v>0.3574</v>
      </c>
      <c r="N217" s="2" t="s">
        <v>1784</v>
      </c>
      <c r="O217" s="2" t="s">
        <v>2008</v>
      </c>
      <c r="P217" s="9">
        <v>79.6</v>
      </c>
      <c r="Q217" s="9">
        <v>84.5</v>
      </c>
      <c r="R217" s="9">
        <v>0.045455</v>
      </c>
      <c r="S217" s="9">
        <v>0.4984</v>
      </c>
      <c r="T217" s="9">
        <v>0.8487</v>
      </c>
      <c r="U217" s="2" t="s">
        <v>249</v>
      </c>
      <c r="V217" s="9">
        <v>0.0</v>
      </c>
      <c r="W217" s="2" t="s">
        <v>82</v>
      </c>
      <c r="X217" s="2" t="s">
        <v>517</v>
      </c>
      <c r="Y217" s="2" t="s">
        <v>2742</v>
      </c>
      <c r="Z217" s="9">
        <v>0.4239</v>
      </c>
      <c r="AA217" s="9">
        <v>0.4984</v>
      </c>
      <c r="AB217" s="9">
        <v>0.0</v>
      </c>
      <c r="AC217" s="9">
        <v>0.4483</v>
      </c>
      <c r="AD217" s="9" t="str">
        <f t="shared" si="1"/>
        <v>#REF!</v>
      </c>
    </row>
    <row r="218" hidden="1">
      <c r="A218" s="2" t="s">
        <v>1403</v>
      </c>
      <c r="B218" s="2" t="s">
        <v>503</v>
      </c>
      <c r="C218" s="2" t="s">
        <v>1316</v>
      </c>
      <c r="D218" s="2" t="s">
        <v>64</v>
      </c>
      <c r="E218" s="7" t="b">
        <v>1</v>
      </c>
      <c r="F218" s="9">
        <v>65.0</v>
      </c>
      <c r="G218" s="9">
        <v>14.86757414661565</v>
      </c>
      <c r="H218" s="9">
        <v>0.001277795076923</v>
      </c>
      <c r="I218" s="7" t="b">
        <v>1</v>
      </c>
      <c r="J218" s="9">
        <v>0.0</v>
      </c>
      <c r="K218" s="7" t="b">
        <v>0</v>
      </c>
      <c r="L218" s="9">
        <v>62.0</v>
      </c>
      <c r="M218" s="9">
        <v>0.9538</v>
      </c>
      <c r="N218" s="2" t="s">
        <v>1628</v>
      </c>
      <c r="O218" s="2" t="s">
        <v>1629</v>
      </c>
      <c r="P218" s="9">
        <v>50.56</v>
      </c>
      <c r="Q218" s="9">
        <v>42.0</v>
      </c>
      <c r="R218" s="9">
        <v>0.0</v>
      </c>
      <c r="S218" s="9">
        <v>0.4899</v>
      </c>
      <c r="T218" s="9">
        <v>1.0003</v>
      </c>
      <c r="U218" s="2" t="s">
        <v>1636</v>
      </c>
      <c r="V218" s="9">
        <v>0.3</v>
      </c>
      <c r="W218" s="2" t="s">
        <v>82</v>
      </c>
      <c r="X218" s="2" t="s">
        <v>495</v>
      </c>
      <c r="Y218" s="2" t="s">
        <v>1408</v>
      </c>
      <c r="Z218" s="9">
        <v>0.3848</v>
      </c>
      <c r="AA218" s="9">
        <v>0.4899</v>
      </c>
      <c r="AB218" s="9">
        <v>0.3</v>
      </c>
      <c r="AC218" s="9">
        <v>0.8351</v>
      </c>
      <c r="AD218" s="9" t="str">
        <f t="shared" si="1"/>
        <v>#REF!</v>
      </c>
    </row>
    <row r="219" hidden="1">
      <c r="A219" s="2" t="s">
        <v>2748</v>
      </c>
      <c r="B219" s="2" t="s">
        <v>542</v>
      </c>
      <c r="C219" s="2" t="s">
        <v>1675</v>
      </c>
      <c r="D219" s="2" t="s">
        <v>64</v>
      </c>
      <c r="E219" s="7" t="b">
        <v>1</v>
      </c>
      <c r="F219" s="9">
        <v>66.0</v>
      </c>
      <c r="G219" s="9">
        <v>14.53926759014967</v>
      </c>
      <c r="H219" s="9">
        <v>0.0018976575757575</v>
      </c>
      <c r="I219" s="7" t="b">
        <v>1</v>
      </c>
      <c r="J219" s="9">
        <v>0.0</v>
      </c>
      <c r="K219" s="7" t="b">
        <v>0</v>
      </c>
      <c r="L219" s="9">
        <v>106.0</v>
      </c>
      <c r="M219" s="9">
        <v>1.6061</v>
      </c>
      <c r="N219" s="2" t="s">
        <v>1266</v>
      </c>
      <c r="O219" s="2" t="s">
        <v>1267</v>
      </c>
      <c r="P219" s="9">
        <v>82.62</v>
      </c>
      <c r="Q219" s="9">
        <v>94.0</v>
      </c>
      <c r="R219" s="9">
        <v>0.0</v>
      </c>
      <c r="S219" s="9">
        <v>0.599</v>
      </c>
      <c r="T219" s="9">
        <v>1.0021</v>
      </c>
      <c r="U219" s="2" t="s">
        <v>2751</v>
      </c>
      <c r="V219" s="9">
        <v>0.55</v>
      </c>
      <c r="W219" s="2" t="s">
        <v>2753</v>
      </c>
      <c r="X219" s="2" t="s">
        <v>517</v>
      </c>
      <c r="Y219" s="2" t="s">
        <v>1711</v>
      </c>
      <c r="Z219" s="9">
        <v>0.4683</v>
      </c>
      <c r="AA219" s="9">
        <v>0.599</v>
      </c>
      <c r="AB219" s="9">
        <v>0.55</v>
      </c>
      <c r="AC219" s="9">
        <v>0.1001</v>
      </c>
      <c r="AD219" s="9" t="str">
        <f t="shared" si="1"/>
        <v>#REF!</v>
      </c>
    </row>
    <row r="220" hidden="1">
      <c r="A220" s="2" t="s">
        <v>2748</v>
      </c>
      <c r="B220" s="2" t="s">
        <v>942</v>
      </c>
      <c r="C220" s="2" t="s">
        <v>1675</v>
      </c>
      <c r="D220" s="2" t="s">
        <v>64</v>
      </c>
      <c r="E220" s="7" t="b">
        <v>1</v>
      </c>
      <c r="F220" s="9">
        <v>845.0</v>
      </c>
      <c r="G220" s="9">
        <v>5.020132175607351</v>
      </c>
      <c r="H220" s="9">
        <v>0.0015054092307692</v>
      </c>
      <c r="I220" s="7" t="b">
        <v>1</v>
      </c>
      <c r="J220" s="9">
        <v>0.0</v>
      </c>
      <c r="K220" s="7" t="b">
        <v>0</v>
      </c>
      <c r="L220" s="9">
        <v>2839.0</v>
      </c>
      <c r="M220" s="9">
        <v>3.3598</v>
      </c>
      <c r="N220" s="2" t="s">
        <v>2756</v>
      </c>
      <c r="O220" s="2" t="s">
        <v>2757</v>
      </c>
      <c r="P220" s="9">
        <v>56.78</v>
      </c>
      <c r="Q220" s="9">
        <v>49.0</v>
      </c>
      <c r="R220" s="9">
        <v>0.004251</v>
      </c>
      <c r="S220" s="9">
        <v>0.7802</v>
      </c>
      <c r="T220" s="9">
        <v>0.7147</v>
      </c>
      <c r="U220" s="2" t="s">
        <v>2759</v>
      </c>
      <c r="V220" s="9">
        <v>0.3288</v>
      </c>
      <c r="W220" s="2" t="s">
        <v>2760</v>
      </c>
      <c r="X220" s="2" t="s">
        <v>1521</v>
      </c>
      <c r="Y220" s="2" t="s">
        <v>2762</v>
      </c>
      <c r="Z220" s="9">
        <v>0.6874</v>
      </c>
      <c r="AA220" s="9">
        <v>0.7802</v>
      </c>
      <c r="AB220" s="9">
        <v>0.3288</v>
      </c>
      <c r="AC220" s="9">
        <v>0.1589</v>
      </c>
      <c r="AD220" s="9" t="str">
        <f t="shared" si="1"/>
        <v>#REF!</v>
      </c>
    </row>
    <row r="221" hidden="1">
      <c r="A221" s="2" t="s">
        <v>2764</v>
      </c>
      <c r="B221" s="2" t="s">
        <v>942</v>
      </c>
      <c r="C221" s="2" t="s">
        <v>1675</v>
      </c>
      <c r="D221" s="2" t="s">
        <v>64</v>
      </c>
      <c r="E221" s="7" t="b">
        <v>1</v>
      </c>
      <c r="F221" s="9">
        <v>565.0</v>
      </c>
      <c r="G221" s="9">
        <v>5.760246484470727</v>
      </c>
      <c r="H221" s="9">
        <v>0.0013257175221238</v>
      </c>
      <c r="I221" s="7" t="b">
        <v>1</v>
      </c>
      <c r="J221" s="9">
        <v>0.0</v>
      </c>
      <c r="K221" s="7" t="b">
        <v>0</v>
      </c>
      <c r="L221" s="9">
        <v>2056.0</v>
      </c>
      <c r="M221" s="9">
        <v>3.6389</v>
      </c>
      <c r="N221" s="2" t="s">
        <v>2766</v>
      </c>
      <c r="O221" s="2" t="s">
        <v>2767</v>
      </c>
      <c r="P221" s="9">
        <v>58.4</v>
      </c>
      <c r="Q221" s="9">
        <v>50.0</v>
      </c>
      <c r="R221" s="9">
        <v>0.01746</v>
      </c>
      <c r="S221" s="9">
        <v>0.7637</v>
      </c>
      <c r="T221" s="9">
        <v>0.7514</v>
      </c>
      <c r="U221" s="2" t="s">
        <v>2770</v>
      </c>
      <c r="V221" s="9">
        <v>0.7936</v>
      </c>
      <c r="W221" s="2" t="s">
        <v>1884</v>
      </c>
      <c r="X221" s="2" t="s">
        <v>517</v>
      </c>
      <c r="Y221" s="2" t="s">
        <v>2719</v>
      </c>
      <c r="Z221" s="9">
        <v>0.6629</v>
      </c>
      <c r="AA221" s="9">
        <v>0.7637</v>
      </c>
      <c r="AB221" s="9">
        <v>0.7936</v>
      </c>
      <c r="AC221" s="9">
        <v>0.1396</v>
      </c>
      <c r="AD221" s="9" t="str">
        <f t="shared" si="1"/>
        <v>#REF!</v>
      </c>
    </row>
    <row r="222">
      <c r="A222" s="2" t="s">
        <v>1313</v>
      </c>
      <c r="B222" s="2" t="s">
        <v>306</v>
      </c>
      <c r="C222" s="2" t="s">
        <v>2773</v>
      </c>
      <c r="D222" s="2" t="s">
        <v>64</v>
      </c>
      <c r="E222" s="7" t="b">
        <v>1</v>
      </c>
      <c r="F222" s="9">
        <v>428.0</v>
      </c>
      <c r="G222" s="9">
        <v>25.01383790111206</v>
      </c>
      <c r="H222" s="9">
        <v>0.0960388084112149</v>
      </c>
      <c r="I222" s="7" t="b">
        <v>1</v>
      </c>
      <c r="J222" s="9">
        <v>0.0</v>
      </c>
      <c r="K222" s="7" t="b">
        <v>0</v>
      </c>
      <c r="L222" s="9">
        <v>416.0</v>
      </c>
      <c r="M222" s="9">
        <v>0.972</v>
      </c>
      <c r="N222" s="2" t="s">
        <v>2776</v>
      </c>
      <c r="O222" s="2" t="s">
        <v>2777</v>
      </c>
      <c r="P222" s="9">
        <v>60.87</v>
      </c>
      <c r="Q222" s="9">
        <v>61.0</v>
      </c>
      <c r="R222" s="9">
        <v>0.104651</v>
      </c>
      <c r="S222" s="9">
        <v>0.781</v>
      </c>
      <c r="T222" s="9">
        <v>0.9917</v>
      </c>
      <c r="U222" s="2" t="s">
        <v>2778</v>
      </c>
      <c r="V222" s="9">
        <v>0.8274</v>
      </c>
      <c r="W222" s="2" t="s">
        <v>82</v>
      </c>
      <c r="X222" s="2" t="s">
        <v>84</v>
      </c>
      <c r="Y222" s="2" t="s">
        <v>2340</v>
      </c>
      <c r="Z222" s="9">
        <v>0.6131</v>
      </c>
      <c r="AA222" s="9">
        <v>0.781</v>
      </c>
      <c r="AB222" s="9">
        <v>0.8274</v>
      </c>
      <c r="AC222" s="9">
        <v>0.8426</v>
      </c>
      <c r="AD222" s="9" t="str">
        <f t="shared" si="1"/>
        <v>#REF!</v>
      </c>
    </row>
    <row r="223" hidden="1">
      <c r="A223" s="2" t="s">
        <v>1313</v>
      </c>
      <c r="B223" s="2" t="s">
        <v>997</v>
      </c>
      <c r="C223" s="2" t="s">
        <v>2773</v>
      </c>
      <c r="D223" s="2" t="s">
        <v>64</v>
      </c>
      <c r="E223" s="7" t="b">
        <v>1</v>
      </c>
      <c r="F223" s="9">
        <v>296.0</v>
      </c>
      <c r="G223" s="9">
        <v>18.60018043856641</v>
      </c>
      <c r="H223" s="9">
        <v>0.0068997081081081</v>
      </c>
      <c r="I223" s="7" t="b">
        <v>1</v>
      </c>
      <c r="J223" s="9">
        <v>0.0</v>
      </c>
      <c r="K223" s="7" t="b">
        <v>0</v>
      </c>
      <c r="L223" s="9">
        <v>228.0</v>
      </c>
      <c r="M223" s="9">
        <v>0.7703</v>
      </c>
      <c r="N223" s="2" t="s">
        <v>2782</v>
      </c>
      <c r="O223" s="2" t="s">
        <v>2655</v>
      </c>
      <c r="P223" s="9">
        <v>51.0</v>
      </c>
      <c r="Q223" s="9">
        <v>49.0</v>
      </c>
      <c r="R223" s="9">
        <v>0.02381</v>
      </c>
      <c r="S223" s="9">
        <v>0.6616</v>
      </c>
      <c r="T223" s="9">
        <v>1.0013</v>
      </c>
      <c r="U223" s="2" t="s">
        <v>2783</v>
      </c>
      <c r="V223" s="9">
        <v>0.8625</v>
      </c>
      <c r="W223" s="2" t="s">
        <v>82</v>
      </c>
      <c r="X223" s="2" t="s">
        <v>84</v>
      </c>
      <c r="Y223" s="2" t="s">
        <v>2340</v>
      </c>
      <c r="Z223" s="9">
        <v>0.5212</v>
      </c>
      <c r="AA223" s="9">
        <v>0.6616</v>
      </c>
      <c r="AB223" s="9">
        <v>0.8625</v>
      </c>
      <c r="AC223" s="9">
        <v>0.821</v>
      </c>
      <c r="AD223" s="9" t="str">
        <f t="shared" si="1"/>
        <v>#REF!</v>
      </c>
    </row>
    <row r="224" hidden="1">
      <c r="A224" s="2" t="s">
        <v>1640</v>
      </c>
      <c r="B224" s="2" t="s">
        <v>997</v>
      </c>
      <c r="C224" s="2" t="s">
        <v>1316</v>
      </c>
      <c r="D224" s="2" t="s">
        <v>64</v>
      </c>
      <c r="E224" s="7" t="b">
        <v>1</v>
      </c>
      <c r="F224" s="9">
        <v>58.0</v>
      </c>
      <c r="G224" s="9">
        <v>24.94254958491116</v>
      </c>
      <c r="H224" s="9">
        <v>0.0024377565517241</v>
      </c>
      <c r="I224" s="7" t="b">
        <v>1</v>
      </c>
      <c r="J224" s="9">
        <v>0.0</v>
      </c>
      <c r="K224" s="7" t="b">
        <v>0</v>
      </c>
      <c r="L224" s="9">
        <v>45.0</v>
      </c>
      <c r="M224" s="9">
        <v>0.7759</v>
      </c>
      <c r="N224" s="2" t="s">
        <v>2329</v>
      </c>
      <c r="O224" s="2" t="s">
        <v>2330</v>
      </c>
      <c r="P224" s="9">
        <v>62.6</v>
      </c>
      <c r="Q224" s="9">
        <v>60.0</v>
      </c>
      <c r="R224" s="9">
        <v>0.0</v>
      </c>
      <c r="S224" s="9">
        <v>0.4698</v>
      </c>
      <c r="T224" s="9">
        <v>1.0004</v>
      </c>
      <c r="U224" s="2" t="s">
        <v>1636</v>
      </c>
      <c r="V224" s="9">
        <v>0.3</v>
      </c>
      <c r="W224" s="2" t="s">
        <v>82</v>
      </c>
      <c r="X224" s="2" t="s">
        <v>495</v>
      </c>
      <c r="Y224" s="2" t="s">
        <v>1408</v>
      </c>
      <c r="Z224" s="9">
        <v>0.3659</v>
      </c>
      <c r="AA224" s="9">
        <v>0.4698</v>
      </c>
      <c r="AB224" s="9">
        <v>0.3</v>
      </c>
      <c r="AC224" s="9">
        <v>0.7302</v>
      </c>
      <c r="AD224" s="9" t="str">
        <f t="shared" si="1"/>
        <v>#REF!</v>
      </c>
    </row>
    <row r="225" hidden="1">
      <c r="A225" s="2" t="s">
        <v>2788</v>
      </c>
      <c r="B225" s="2" t="s">
        <v>856</v>
      </c>
      <c r="C225" s="2" t="s">
        <v>1675</v>
      </c>
      <c r="D225" s="2" t="s">
        <v>64</v>
      </c>
      <c r="E225" s="7" t="b">
        <v>1</v>
      </c>
      <c r="F225" s="9">
        <v>380.0</v>
      </c>
      <c r="G225" s="9">
        <v>8.188180218046574</v>
      </c>
      <c r="H225" s="9">
        <v>0.0019539505263157</v>
      </c>
      <c r="I225" s="7" t="b">
        <v>1</v>
      </c>
      <c r="J225" s="9">
        <v>0.0</v>
      </c>
      <c r="K225" s="7" t="b">
        <v>0</v>
      </c>
      <c r="L225" s="9">
        <v>1.0</v>
      </c>
      <c r="M225" s="9">
        <v>0.0026</v>
      </c>
      <c r="N225" s="2" t="s">
        <v>175</v>
      </c>
      <c r="O225" s="2" t="s">
        <v>177</v>
      </c>
      <c r="P225" s="9">
        <v>32.0</v>
      </c>
      <c r="Q225" s="9">
        <v>32.0</v>
      </c>
      <c r="R225" s="9">
        <v>0.0</v>
      </c>
      <c r="S225" s="9">
        <v>0.0</v>
      </c>
      <c r="T225" s="9">
        <v>1.0</v>
      </c>
      <c r="U225" s="2" t="s">
        <v>1630</v>
      </c>
      <c r="V225" s="15"/>
      <c r="W225" s="2" t="s">
        <v>82</v>
      </c>
      <c r="X225" s="2" t="s">
        <v>1455</v>
      </c>
      <c r="Y225" s="2" t="s">
        <v>1542</v>
      </c>
      <c r="Z225" s="9">
        <v>0.0</v>
      </c>
      <c r="AA225" s="9">
        <v>0.0</v>
      </c>
      <c r="AB225" s="15"/>
      <c r="AC225" s="9">
        <v>0.0</v>
      </c>
      <c r="AD225" s="9" t="str">
        <f t="shared" si="1"/>
        <v>#REF!</v>
      </c>
    </row>
    <row r="226" hidden="1">
      <c r="A226" s="2" t="s">
        <v>1614</v>
      </c>
      <c r="B226" s="2" t="s">
        <v>503</v>
      </c>
      <c r="C226" s="2" t="s">
        <v>1675</v>
      </c>
      <c r="D226" s="2" t="s">
        <v>64</v>
      </c>
      <c r="E226" s="7" t="b">
        <v>1</v>
      </c>
      <c r="F226" s="9">
        <v>378.0</v>
      </c>
      <c r="G226" s="9">
        <v>8.591066124432913</v>
      </c>
      <c r="H226" s="9">
        <v>0.0024760047619047</v>
      </c>
      <c r="I226" s="7" t="b">
        <v>1</v>
      </c>
      <c r="J226" s="9">
        <v>0.0</v>
      </c>
      <c r="K226" s="7" t="b">
        <v>0</v>
      </c>
      <c r="L226" s="9">
        <v>461.0</v>
      </c>
      <c r="M226" s="9">
        <v>1.2196</v>
      </c>
      <c r="N226" s="2" t="s">
        <v>2235</v>
      </c>
      <c r="O226" s="2" t="s">
        <v>1725</v>
      </c>
      <c r="P226" s="9">
        <v>52.76</v>
      </c>
      <c r="Q226" s="9">
        <v>44.0</v>
      </c>
      <c r="R226" s="9">
        <v>0.028302</v>
      </c>
      <c r="S226" s="9">
        <v>0.5041</v>
      </c>
      <c r="T226" s="9">
        <v>0.611</v>
      </c>
      <c r="U226" s="2" t="s">
        <v>2134</v>
      </c>
      <c r="V226" s="9">
        <v>0.8706</v>
      </c>
      <c r="W226" s="2" t="s">
        <v>134</v>
      </c>
      <c r="X226" s="2" t="s">
        <v>517</v>
      </c>
      <c r="Y226" s="2" t="s">
        <v>1593</v>
      </c>
      <c r="Z226" s="9">
        <v>0.4203</v>
      </c>
      <c r="AA226" s="9">
        <v>0.5041</v>
      </c>
      <c r="AB226" s="9">
        <v>0.8706</v>
      </c>
      <c r="AC226" s="9">
        <v>0.1616</v>
      </c>
      <c r="AD226" s="9" t="str">
        <f t="shared" si="1"/>
        <v>#REF!</v>
      </c>
    </row>
    <row r="227" hidden="1">
      <c r="A227" s="2" t="s">
        <v>1614</v>
      </c>
      <c r="B227" s="2" t="s">
        <v>542</v>
      </c>
      <c r="C227" s="2" t="s">
        <v>1675</v>
      </c>
      <c r="D227" s="2" t="s">
        <v>64</v>
      </c>
      <c r="E227" s="7" t="b">
        <v>1</v>
      </c>
      <c r="F227" s="9">
        <v>171.0</v>
      </c>
      <c r="G227" s="9">
        <v>12.08034223433933</v>
      </c>
      <c r="H227" s="9">
        <v>0.0033888695906432</v>
      </c>
      <c r="I227" s="7" t="b">
        <v>1</v>
      </c>
      <c r="J227" s="9">
        <v>0.0</v>
      </c>
      <c r="K227" s="7" t="b">
        <v>0</v>
      </c>
      <c r="L227" s="9">
        <v>224.0</v>
      </c>
      <c r="M227" s="9">
        <v>1.3099</v>
      </c>
      <c r="N227" s="2" t="s">
        <v>1586</v>
      </c>
      <c r="O227" s="2" t="s">
        <v>2799</v>
      </c>
      <c r="P227" s="9">
        <v>72.99</v>
      </c>
      <c r="Q227" s="9">
        <v>73.5</v>
      </c>
      <c r="R227" s="9">
        <v>0.0</v>
      </c>
      <c r="S227" s="9">
        <v>0.6734</v>
      </c>
      <c r="T227" s="9">
        <v>0.9725</v>
      </c>
      <c r="U227" s="2" t="s">
        <v>2801</v>
      </c>
      <c r="V227" s="9">
        <v>0.3</v>
      </c>
      <c r="W227" s="2" t="s">
        <v>198</v>
      </c>
      <c r="X227" s="2" t="s">
        <v>1466</v>
      </c>
      <c r="Y227" s="2" t="s">
        <v>1456</v>
      </c>
      <c r="Z227" s="9">
        <v>0.5358</v>
      </c>
      <c r="AA227" s="9">
        <v>0.6734</v>
      </c>
      <c r="AB227" s="9">
        <v>0.3</v>
      </c>
      <c r="AC227" s="9">
        <v>0.158</v>
      </c>
      <c r="AD227" s="9" t="str">
        <f t="shared" si="1"/>
        <v>#REF!</v>
      </c>
    </row>
    <row r="228" hidden="1">
      <c r="A228" s="2" t="s">
        <v>1614</v>
      </c>
      <c r="B228" s="2" t="s">
        <v>501</v>
      </c>
      <c r="C228" s="2" t="s">
        <v>1675</v>
      </c>
      <c r="D228" s="2" t="s">
        <v>64</v>
      </c>
      <c r="E228" s="7" t="b">
        <v>1</v>
      </c>
      <c r="F228" s="9">
        <v>6165.0</v>
      </c>
      <c r="G228" s="9">
        <v>1.816889056819294</v>
      </c>
      <c r="H228" s="9">
        <v>0.0026738501216545</v>
      </c>
      <c r="I228" s="7" t="b">
        <v>1</v>
      </c>
      <c r="J228" s="9">
        <v>0.0</v>
      </c>
      <c r="K228" s="7" t="b">
        <v>0</v>
      </c>
      <c r="L228" s="9">
        <v>16523.0</v>
      </c>
      <c r="M228" s="9">
        <v>2.6801</v>
      </c>
      <c r="N228" s="2" t="s">
        <v>2807</v>
      </c>
      <c r="O228" s="2" t="s">
        <v>2808</v>
      </c>
      <c r="P228" s="9">
        <v>48.33</v>
      </c>
      <c r="Q228" s="9">
        <v>40.0</v>
      </c>
      <c r="R228" s="9">
        <v>0.012445</v>
      </c>
      <c r="S228" s="9">
        <v>0.6988</v>
      </c>
      <c r="T228" s="9">
        <v>0.2445</v>
      </c>
      <c r="U228" s="2" t="s">
        <v>2809</v>
      </c>
      <c r="V228" s="9">
        <v>0.8518</v>
      </c>
      <c r="W228" s="15"/>
      <c r="X228" s="2" t="s">
        <v>517</v>
      </c>
      <c r="Y228" s="2" t="s">
        <v>1593</v>
      </c>
      <c r="Z228" s="9">
        <v>0.6617</v>
      </c>
      <c r="AA228" s="9">
        <v>0.6988</v>
      </c>
      <c r="AB228" s="9">
        <v>0.8518</v>
      </c>
      <c r="AC228" s="9">
        <v>0.156</v>
      </c>
      <c r="AD228" s="9" t="str">
        <f t="shared" si="1"/>
        <v>#REF!</v>
      </c>
    </row>
    <row r="229">
      <c r="A229" s="2" t="s">
        <v>1614</v>
      </c>
      <c r="B229" s="2" t="s">
        <v>306</v>
      </c>
      <c r="C229" s="2" t="s">
        <v>1675</v>
      </c>
      <c r="D229" s="2" t="s">
        <v>64</v>
      </c>
      <c r="E229" s="7" t="b">
        <v>1</v>
      </c>
      <c r="F229" s="9">
        <v>550.0</v>
      </c>
      <c r="G229" s="9">
        <v>18.886555948324</v>
      </c>
      <c r="H229" s="9">
        <v>0.0704378018181818</v>
      </c>
      <c r="I229" s="7" t="b">
        <v>1</v>
      </c>
      <c r="J229" s="9">
        <v>0.0</v>
      </c>
      <c r="K229" s="7" t="b">
        <v>0</v>
      </c>
      <c r="L229" s="9">
        <v>532.0</v>
      </c>
      <c r="M229" s="9">
        <v>0.9673</v>
      </c>
      <c r="N229" s="2" t="s">
        <v>2812</v>
      </c>
      <c r="O229" s="2" t="s">
        <v>2813</v>
      </c>
      <c r="P229" s="9">
        <v>53.06</v>
      </c>
      <c r="Q229" s="9">
        <v>48.0</v>
      </c>
      <c r="R229" s="9">
        <v>0.025316</v>
      </c>
      <c r="S229" s="9">
        <v>0.7835</v>
      </c>
      <c r="T229" s="9">
        <v>0.9686</v>
      </c>
      <c r="U229" s="2" t="s">
        <v>2129</v>
      </c>
      <c r="V229" s="9">
        <v>0.8679</v>
      </c>
      <c r="W229" s="2" t="s">
        <v>82</v>
      </c>
      <c r="X229" s="2" t="s">
        <v>84</v>
      </c>
      <c r="Y229" s="2" t="s">
        <v>2340</v>
      </c>
      <c r="Z229" s="9">
        <v>0.6249</v>
      </c>
      <c r="AA229" s="9">
        <v>0.7835</v>
      </c>
      <c r="AB229" s="9">
        <v>0.8679</v>
      </c>
      <c r="AC229" s="9">
        <v>0.8596</v>
      </c>
      <c r="AD229" s="9" t="str">
        <f t="shared" si="1"/>
        <v>#REF!</v>
      </c>
    </row>
    <row r="230" hidden="1">
      <c r="A230" s="2" t="s">
        <v>1614</v>
      </c>
      <c r="B230" s="2" t="s">
        <v>1053</v>
      </c>
      <c r="C230" s="2" t="s">
        <v>1675</v>
      </c>
      <c r="D230" s="2" t="s">
        <v>64</v>
      </c>
      <c r="E230" s="7" t="b">
        <v>1</v>
      </c>
      <c r="F230" s="9">
        <v>344.0</v>
      </c>
      <c r="G230" s="9">
        <v>1.412335768987672</v>
      </c>
      <c r="H230" s="9">
        <v>0.0011326162790697</v>
      </c>
      <c r="I230" s="7" t="b">
        <v>1</v>
      </c>
      <c r="J230" s="9">
        <v>0.0</v>
      </c>
      <c r="K230" s="7" t="b">
        <v>0</v>
      </c>
      <c r="L230" s="9">
        <v>13798.0</v>
      </c>
      <c r="M230" s="9">
        <v>40.1105</v>
      </c>
      <c r="N230" s="2" t="s">
        <v>2818</v>
      </c>
      <c r="O230" s="2" t="s">
        <v>2819</v>
      </c>
      <c r="P230" s="9">
        <v>39.63</v>
      </c>
      <c r="Q230" s="9">
        <v>36.0</v>
      </c>
      <c r="R230" s="9">
        <v>0.009531</v>
      </c>
      <c r="S230" s="9">
        <v>0.7547</v>
      </c>
      <c r="T230" s="9">
        <v>0.2651</v>
      </c>
      <c r="U230" s="2" t="s">
        <v>2820</v>
      </c>
      <c r="V230" s="9">
        <v>0.8756</v>
      </c>
      <c r="W230" s="2" t="s">
        <v>1771</v>
      </c>
      <c r="X230" s="2" t="s">
        <v>1466</v>
      </c>
      <c r="Y230" s="2" t="s">
        <v>2821</v>
      </c>
      <c r="Z230" s="9">
        <v>0.6784</v>
      </c>
      <c r="AA230" s="9">
        <v>0.7547</v>
      </c>
      <c r="AB230" s="9">
        <v>0.8756</v>
      </c>
      <c r="AC230" s="9">
        <v>0.1414</v>
      </c>
      <c r="AD230" s="9" t="str">
        <f t="shared" si="1"/>
        <v>#REF!</v>
      </c>
    </row>
    <row r="231" hidden="1">
      <c r="A231" s="2" t="s">
        <v>1614</v>
      </c>
      <c r="B231" s="2" t="s">
        <v>1093</v>
      </c>
      <c r="C231" s="2" t="s">
        <v>1675</v>
      </c>
      <c r="D231" s="2" t="s">
        <v>64</v>
      </c>
      <c r="E231" s="7" t="b">
        <v>1</v>
      </c>
      <c r="F231" s="9">
        <v>86.0</v>
      </c>
      <c r="G231" s="9">
        <v>7.622124251405431</v>
      </c>
      <c r="H231" s="9">
        <v>0.0061503488372093</v>
      </c>
      <c r="I231" s="7" t="b">
        <v>1</v>
      </c>
      <c r="J231" s="9">
        <v>0.0</v>
      </c>
      <c r="K231" s="7" t="b">
        <v>0</v>
      </c>
      <c r="L231" s="9">
        <v>1532.0</v>
      </c>
      <c r="M231" s="9">
        <v>17.814</v>
      </c>
      <c r="N231" s="2" t="s">
        <v>2826</v>
      </c>
      <c r="O231" s="2" t="s">
        <v>2827</v>
      </c>
      <c r="P231" s="9">
        <v>56.33</v>
      </c>
      <c r="Q231" s="9">
        <v>51.0</v>
      </c>
      <c r="R231" s="9">
        <v>0.015075</v>
      </c>
      <c r="S231" s="9">
        <v>0.211</v>
      </c>
      <c r="T231" s="9">
        <v>0.0699</v>
      </c>
      <c r="U231" s="2" t="s">
        <v>2828</v>
      </c>
      <c r="V231" s="9">
        <v>0.7193</v>
      </c>
      <c r="W231" s="2" t="s">
        <v>134</v>
      </c>
      <c r="X231" s="2" t="s">
        <v>517</v>
      </c>
      <c r="Y231" s="2" t="s">
        <v>1593</v>
      </c>
      <c r="Z231" s="9">
        <v>0.1356</v>
      </c>
      <c r="AA231" s="9">
        <v>0.211</v>
      </c>
      <c r="AB231" s="9">
        <v>0.7193</v>
      </c>
      <c r="AC231" s="9">
        <v>0.1219</v>
      </c>
      <c r="AD231" s="9" t="str">
        <f t="shared" si="1"/>
        <v>#REF!</v>
      </c>
    </row>
    <row r="232" hidden="1">
      <c r="A232" s="2" t="s">
        <v>2831</v>
      </c>
      <c r="B232" s="2" t="s">
        <v>503</v>
      </c>
      <c r="C232" s="2" t="s">
        <v>1675</v>
      </c>
      <c r="D232" s="2" t="s">
        <v>64</v>
      </c>
      <c r="E232" s="7" t="b">
        <v>1</v>
      </c>
      <c r="F232" s="9">
        <v>572.0</v>
      </c>
      <c r="G232" s="9">
        <v>16.99207644269525</v>
      </c>
      <c r="H232" s="9">
        <v>0.014580923076923</v>
      </c>
      <c r="I232" s="7" t="b">
        <v>1</v>
      </c>
      <c r="J232" s="9">
        <v>0.0</v>
      </c>
      <c r="K232" s="7" t="b">
        <v>0</v>
      </c>
      <c r="L232" s="9">
        <v>364.0</v>
      </c>
      <c r="M232" s="9">
        <v>0.6364</v>
      </c>
      <c r="N232" s="2" t="s">
        <v>509</v>
      </c>
      <c r="O232" s="2" t="s">
        <v>231</v>
      </c>
      <c r="P232" s="9">
        <v>53.68</v>
      </c>
      <c r="Q232" s="9">
        <v>46.0</v>
      </c>
      <c r="R232" s="9">
        <v>0.011905</v>
      </c>
      <c r="S232" s="9">
        <v>0.5797</v>
      </c>
      <c r="T232" s="9">
        <v>0.7933</v>
      </c>
      <c r="U232" s="2" t="s">
        <v>1245</v>
      </c>
      <c r="V232" s="9">
        <v>0.8864</v>
      </c>
      <c r="W232" s="2" t="s">
        <v>82</v>
      </c>
      <c r="X232" s="2" t="s">
        <v>495</v>
      </c>
      <c r="Y232" s="2" t="s">
        <v>1479</v>
      </c>
      <c r="Z232" s="9">
        <v>0.4636</v>
      </c>
      <c r="AA232" s="9">
        <v>0.5797</v>
      </c>
      <c r="AB232" s="9">
        <v>0.8864</v>
      </c>
      <c r="AC232" s="9">
        <v>0.2525</v>
      </c>
      <c r="AD232" s="9" t="str">
        <f t="shared" si="1"/>
        <v>#REF!</v>
      </c>
    </row>
    <row r="233" hidden="1">
      <c r="A233" s="2" t="s">
        <v>2831</v>
      </c>
      <c r="B233" s="2" t="s">
        <v>534</v>
      </c>
      <c r="C233" s="2" t="s">
        <v>1675</v>
      </c>
      <c r="D233" s="2" t="s">
        <v>64</v>
      </c>
      <c r="E233" s="7" t="b">
        <v>1</v>
      </c>
      <c r="F233" s="9">
        <v>420.0</v>
      </c>
      <c r="G233" s="9">
        <v>9.423846687847472</v>
      </c>
      <c r="H233" s="9">
        <v>0.0025270964285714</v>
      </c>
      <c r="I233" s="7" t="b">
        <v>1</v>
      </c>
      <c r="J233" s="9">
        <v>0.0</v>
      </c>
      <c r="K233" s="7" t="b">
        <v>0</v>
      </c>
      <c r="L233" s="9">
        <v>112.0</v>
      </c>
      <c r="M233" s="9">
        <v>0.2667</v>
      </c>
      <c r="N233" s="2" t="s">
        <v>2379</v>
      </c>
      <c r="O233" s="2" t="s">
        <v>1373</v>
      </c>
      <c r="P233" s="9">
        <v>67.68</v>
      </c>
      <c r="Q233" s="9">
        <v>54.5</v>
      </c>
      <c r="R233" s="9">
        <v>0.0</v>
      </c>
      <c r="S233" s="9">
        <v>0.5283</v>
      </c>
      <c r="T233" s="9">
        <v>0.8895</v>
      </c>
      <c r="U233" s="2" t="s">
        <v>1995</v>
      </c>
      <c r="V233" s="9">
        <v>0.0</v>
      </c>
      <c r="W233" s="2" t="s">
        <v>1193</v>
      </c>
      <c r="X233" s="2" t="s">
        <v>1466</v>
      </c>
      <c r="Y233" s="2" t="s">
        <v>2836</v>
      </c>
      <c r="Z233" s="9">
        <v>0.4254</v>
      </c>
      <c r="AA233" s="9">
        <v>0.5283</v>
      </c>
      <c r="AB233" s="9">
        <v>0.0</v>
      </c>
      <c r="AC233" s="9">
        <v>0.739</v>
      </c>
      <c r="AD233" s="9" t="str">
        <f t="shared" si="1"/>
        <v>#REF!</v>
      </c>
    </row>
    <row r="234" hidden="1">
      <c r="A234" s="2" t="s">
        <v>2831</v>
      </c>
      <c r="B234" s="2" t="s">
        <v>542</v>
      </c>
      <c r="C234" s="2" t="s">
        <v>1675</v>
      </c>
      <c r="D234" s="2" t="s">
        <v>64</v>
      </c>
      <c r="E234" s="7" t="b">
        <v>1</v>
      </c>
      <c r="F234" s="9">
        <v>213.0</v>
      </c>
      <c r="G234" s="9">
        <v>10.86118996717289</v>
      </c>
      <c r="H234" s="9">
        <v>0.0034107746478873</v>
      </c>
      <c r="I234" s="7" t="b">
        <v>1</v>
      </c>
      <c r="J234" s="9">
        <v>0.0</v>
      </c>
      <c r="K234" s="7" t="b">
        <v>0</v>
      </c>
      <c r="L234" s="9">
        <v>156.0</v>
      </c>
      <c r="M234" s="9">
        <v>0.7324</v>
      </c>
      <c r="N234" s="2" t="s">
        <v>2840</v>
      </c>
      <c r="O234" s="2" t="s">
        <v>1716</v>
      </c>
      <c r="P234" s="9">
        <v>77.83</v>
      </c>
      <c r="Q234" s="9">
        <v>65.5</v>
      </c>
      <c r="R234" s="9">
        <v>0.0</v>
      </c>
      <c r="S234" s="9">
        <v>0.6395</v>
      </c>
      <c r="T234" s="9">
        <v>0.9837</v>
      </c>
      <c r="U234" s="2" t="s">
        <v>2843</v>
      </c>
      <c r="V234" s="9">
        <v>0.65</v>
      </c>
      <c r="W234" s="2" t="s">
        <v>1124</v>
      </c>
      <c r="X234" s="2" t="s">
        <v>517</v>
      </c>
      <c r="Y234" s="2" t="s">
        <v>1711</v>
      </c>
      <c r="Z234" s="9">
        <v>0.5045</v>
      </c>
      <c r="AA234" s="9">
        <v>0.6395</v>
      </c>
      <c r="AB234" s="9">
        <v>0.65</v>
      </c>
      <c r="AC234" s="9">
        <v>0.1555</v>
      </c>
      <c r="AD234" s="9" t="str">
        <f t="shared" si="1"/>
        <v>#REF!</v>
      </c>
    </row>
    <row r="235" hidden="1">
      <c r="A235" s="2" t="s">
        <v>2831</v>
      </c>
      <c r="B235" s="2" t="s">
        <v>997</v>
      </c>
      <c r="C235" s="2" t="s">
        <v>1675</v>
      </c>
      <c r="D235" s="2" t="s">
        <v>64</v>
      </c>
      <c r="E235" s="7" t="b">
        <v>1</v>
      </c>
      <c r="F235" s="9">
        <v>768.0</v>
      </c>
      <c r="G235" s="9">
        <v>8.883878256326966</v>
      </c>
      <c r="H235" s="9">
        <v>0.0040812541666666</v>
      </c>
      <c r="I235" s="7" t="b">
        <v>1</v>
      </c>
      <c r="J235" s="9">
        <v>0.0</v>
      </c>
      <c r="K235" s="7" t="b">
        <v>0</v>
      </c>
      <c r="L235" s="9">
        <v>71.0</v>
      </c>
      <c r="M235" s="9">
        <v>0.0924</v>
      </c>
      <c r="N235" s="2" t="s">
        <v>1450</v>
      </c>
      <c r="O235" s="2" t="s">
        <v>1451</v>
      </c>
      <c r="P235" s="9">
        <v>84.97</v>
      </c>
      <c r="Q235" s="9">
        <v>75.0</v>
      </c>
      <c r="R235" s="9">
        <v>0.0</v>
      </c>
      <c r="S235" s="9">
        <v>0.5244</v>
      </c>
      <c r="T235" s="9">
        <v>1.0009</v>
      </c>
      <c r="U235" s="2" t="s">
        <v>1850</v>
      </c>
      <c r="V235" s="9">
        <v>0.0</v>
      </c>
      <c r="W235" s="2" t="s">
        <v>157</v>
      </c>
      <c r="X235" s="2" t="s">
        <v>1466</v>
      </c>
      <c r="Y235" s="2" t="s">
        <v>2849</v>
      </c>
      <c r="Z235" s="9">
        <v>0.4083</v>
      </c>
      <c r="AA235" s="9">
        <v>0.5244</v>
      </c>
      <c r="AB235" s="9">
        <v>0.0</v>
      </c>
      <c r="AC235" s="9">
        <v>0.7235</v>
      </c>
      <c r="AD235" s="9" t="str">
        <f t="shared" si="1"/>
        <v>#REF!</v>
      </c>
    </row>
    <row r="236" hidden="1">
      <c r="A236" s="2" t="s">
        <v>2850</v>
      </c>
      <c r="B236" s="2" t="s">
        <v>997</v>
      </c>
      <c r="C236" s="2" t="s">
        <v>1316</v>
      </c>
      <c r="D236" s="2" t="s">
        <v>64</v>
      </c>
      <c r="E236" s="7" t="b">
        <v>1</v>
      </c>
      <c r="F236" s="9">
        <v>51.0</v>
      </c>
      <c r="G236" s="9">
        <v>22.55730171503588</v>
      </c>
      <c r="H236" s="9">
        <v>0.0017534117647058</v>
      </c>
      <c r="I236" s="7" t="b">
        <v>1</v>
      </c>
      <c r="J236" s="9">
        <v>0.0</v>
      </c>
      <c r="K236" s="7" t="b">
        <v>0</v>
      </c>
      <c r="L236" s="9">
        <v>30.0</v>
      </c>
      <c r="M236" s="9">
        <v>0.5882</v>
      </c>
      <c r="N236" s="2" t="s">
        <v>2016</v>
      </c>
      <c r="O236" s="2" t="s">
        <v>1462</v>
      </c>
      <c r="P236" s="9">
        <v>61.23</v>
      </c>
      <c r="Q236" s="9">
        <v>63.0</v>
      </c>
      <c r="R236" s="9">
        <v>0.0</v>
      </c>
      <c r="S236" s="9">
        <v>0.4198</v>
      </c>
      <c r="T236" s="9">
        <v>1.0003</v>
      </c>
      <c r="U236" s="2" t="s">
        <v>704</v>
      </c>
      <c r="V236" s="9">
        <v>0.3</v>
      </c>
      <c r="W236" s="2" t="s">
        <v>82</v>
      </c>
      <c r="X236" s="2" t="s">
        <v>495</v>
      </c>
      <c r="Y236" s="2" t="s">
        <v>1408</v>
      </c>
      <c r="Z236" s="9">
        <v>0.3269</v>
      </c>
      <c r="AA236" s="9">
        <v>0.4198</v>
      </c>
      <c r="AB236" s="9">
        <v>0.3</v>
      </c>
      <c r="AC236" s="9">
        <v>0.7092</v>
      </c>
      <c r="AD236" s="9" t="str">
        <f t="shared" si="1"/>
        <v>#REF!</v>
      </c>
    </row>
    <row r="237" hidden="1">
      <c r="A237" s="2" t="s">
        <v>2855</v>
      </c>
      <c r="B237" s="2" t="s">
        <v>503</v>
      </c>
      <c r="C237" s="2" t="s">
        <v>1675</v>
      </c>
      <c r="D237" s="2" t="s">
        <v>64</v>
      </c>
      <c r="E237" s="7" t="b">
        <v>1</v>
      </c>
      <c r="F237" s="9">
        <v>408.0</v>
      </c>
      <c r="G237" s="9">
        <v>7.320447419080322</v>
      </c>
      <c r="H237" s="9">
        <v>0.0019411433823529</v>
      </c>
      <c r="I237" s="7" t="b">
        <v>1</v>
      </c>
      <c r="J237" s="9">
        <v>0.0</v>
      </c>
      <c r="K237" s="7" t="b">
        <v>0</v>
      </c>
      <c r="L237" s="9">
        <v>1549.0</v>
      </c>
      <c r="M237" s="9">
        <v>3.7966</v>
      </c>
      <c r="N237" s="2" t="s">
        <v>2857</v>
      </c>
      <c r="O237" s="2" t="s">
        <v>1920</v>
      </c>
      <c r="P237" s="9">
        <v>51.1</v>
      </c>
      <c r="Q237" s="9">
        <v>43.0</v>
      </c>
      <c r="R237" s="9">
        <v>0.01519</v>
      </c>
      <c r="S237" s="9">
        <v>0.5855</v>
      </c>
      <c r="T237" s="9">
        <v>0.3718</v>
      </c>
      <c r="U237" s="2" t="s">
        <v>2858</v>
      </c>
      <c r="V237" s="9">
        <v>0.8473</v>
      </c>
      <c r="W237" s="2" t="s">
        <v>82</v>
      </c>
      <c r="X237" s="2" t="s">
        <v>495</v>
      </c>
      <c r="Y237" s="2" t="s">
        <v>1479</v>
      </c>
      <c r="Z237" s="9">
        <v>0.5231</v>
      </c>
      <c r="AA237" s="9">
        <v>0.5855</v>
      </c>
      <c r="AB237" s="9">
        <v>0.8473</v>
      </c>
      <c r="AC237" s="9">
        <v>0.1687</v>
      </c>
      <c r="AD237" s="9" t="str">
        <f t="shared" si="1"/>
        <v>#REF!</v>
      </c>
    </row>
    <row r="238" hidden="1">
      <c r="A238" s="2" t="s">
        <v>2855</v>
      </c>
      <c r="B238" s="2" t="s">
        <v>885</v>
      </c>
      <c r="C238" s="2" t="s">
        <v>1675</v>
      </c>
      <c r="D238" s="2" t="s">
        <v>64</v>
      </c>
      <c r="E238" s="7" t="b">
        <v>1</v>
      </c>
      <c r="F238" s="9">
        <v>779.0</v>
      </c>
      <c r="G238" s="9">
        <v>11.96251112240961</v>
      </c>
      <c r="H238" s="9">
        <v>0.0105236867779204</v>
      </c>
      <c r="I238" s="7" t="b">
        <v>1</v>
      </c>
      <c r="J238" s="9">
        <v>0.0</v>
      </c>
      <c r="K238" s="7" t="b">
        <v>0</v>
      </c>
      <c r="L238" s="9">
        <v>2366.0</v>
      </c>
      <c r="M238" s="9">
        <v>3.0372</v>
      </c>
      <c r="N238" s="2" t="s">
        <v>1715</v>
      </c>
      <c r="O238" s="2" t="s">
        <v>2866</v>
      </c>
      <c r="P238" s="9">
        <v>70.92</v>
      </c>
      <c r="Q238" s="9">
        <v>70.0</v>
      </c>
      <c r="R238" s="9">
        <v>0.006309</v>
      </c>
      <c r="S238" s="9">
        <v>0.5704</v>
      </c>
      <c r="T238" s="9">
        <v>0.3263</v>
      </c>
      <c r="U238" s="2" t="s">
        <v>194</v>
      </c>
      <c r="V238" s="9">
        <v>0.7667</v>
      </c>
      <c r="W238" s="2" t="s">
        <v>1657</v>
      </c>
      <c r="X238" s="2" t="s">
        <v>517</v>
      </c>
      <c r="Y238" s="2" t="s">
        <v>2869</v>
      </c>
      <c r="Z238" s="9">
        <v>0.4587</v>
      </c>
      <c r="AA238" s="9">
        <v>0.5704</v>
      </c>
      <c r="AB238" s="9">
        <v>0.7667</v>
      </c>
      <c r="AC238" s="9">
        <v>0.8424</v>
      </c>
      <c r="AD238" s="9" t="str">
        <f t="shared" si="1"/>
        <v>#REF!</v>
      </c>
    </row>
    <row r="239" hidden="1">
      <c r="A239" s="2" t="s">
        <v>2855</v>
      </c>
      <c r="B239" s="2" t="s">
        <v>937</v>
      </c>
      <c r="C239" s="2" t="s">
        <v>1675</v>
      </c>
      <c r="D239" s="2" t="s">
        <v>64</v>
      </c>
      <c r="E239" s="7" t="b">
        <v>1</v>
      </c>
      <c r="F239" s="9">
        <v>87.0</v>
      </c>
      <c r="G239" s="9">
        <v>2.413048385547589</v>
      </c>
      <c r="H239" s="9">
        <v>0.0022711333333333</v>
      </c>
      <c r="I239" s="7" t="b">
        <v>1</v>
      </c>
      <c r="J239" s="9">
        <v>0.0</v>
      </c>
      <c r="K239" s="7" t="b">
        <v>0</v>
      </c>
      <c r="L239" s="9">
        <v>28053.0</v>
      </c>
      <c r="M239" s="9">
        <v>322.4483</v>
      </c>
      <c r="N239" s="2" t="s">
        <v>2874</v>
      </c>
      <c r="O239" s="2" t="s">
        <v>2876</v>
      </c>
      <c r="P239" s="9">
        <v>52.38</v>
      </c>
      <c r="Q239" s="9">
        <v>42.0</v>
      </c>
      <c r="R239" s="9">
        <v>0.011412</v>
      </c>
      <c r="S239" s="9">
        <v>0.8274</v>
      </c>
      <c r="T239" s="9">
        <v>0.3025</v>
      </c>
      <c r="U239" s="2" t="s">
        <v>2878</v>
      </c>
      <c r="V239" s="9">
        <v>0.8382</v>
      </c>
      <c r="W239" s="2" t="s">
        <v>2879</v>
      </c>
      <c r="X239" s="2" t="s">
        <v>495</v>
      </c>
      <c r="Y239" s="2" t="s">
        <v>2880</v>
      </c>
      <c r="Z239" s="9">
        <v>0.7664</v>
      </c>
      <c r="AA239" s="9">
        <v>0.8274</v>
      </c>
      <c r="AB239" s="9">
        <v>0.8382</v>
      </c>
      <c r="AC239" s="9">
        <v>0.1535</v>
      </c>
      <c r="AD239" s="9" t="str">
        <f t="shared" si="1"/>
        <v>#REF!</v>
      </c>
    </row>
    <row r="240" hidden="1">
      <c r="A240" s="2" t="s">
        <v>2855</v>
      </c>
      <c r="B240" s="2" t="s">
        <v>942</v>
      </c>
      <c r="C240" s="2" t="s">
        <v>1675</v>
      </c>
      <c r="D240" s="2" t="s">
        <v>64</v>
      </c>
      <c r="E240" s="7" t="b">
        <v>1</v>
      </c>
      <c r="F240" s="9">
        <v>6573.0</v>
      </c>
      <c r="G240" s="9">
        <v>1.600770569513553</v>
      </c>
      <c r="H240" s="9">
        <v>0.0011855244180739</v>
      </c>
      <c r="I240" s="7" t="b">
        <v>1</v>
      </c>
      <c r="J240" s="9">
        <v>0.0</v>
      </c>
      <c r="K240" s="7" t="b">
        <v>0</v>
      </c>
      <c r="L240" s="9">
        <v>29534.0</v>
      </c>
      <c r="M240" s="9">
        <v>4.4932</v>
      </c>
      <c r="N240" s="2" t="s">
        <v>2885</v>
      </c>
      <c r="O240" s="2" t="s">
        <v>2886</v>
      </c>
      <c r="P240" s="9">
        <v>52.59</v>
      </c>
      <c r="Q240" s="9">
        <v>42.0</v>
      </c>
      <c r="R240" s="9">
        <v>0.010874</v>
      </c>
      <c r="S240" s="9">
        <v>0.821</v>
      </c>
      <c r="T240" s="9">
        <v>0.2998</v>
      </c>
      <c r="U240" s="2" t="s">
        <v>2759</v>
      </c>
      <c r="V240" s="9">
        <v>0.8375</v>
      </c>
      <c r="W240" s="2" t="s">
        <v>2760</v>
      </c>
      <c r="X240" s="2" t="s">
        <v>495</v>
      </c>
      <c r="Y240" s="2" t="s">
        <v>2889</v>
      </c>
      <c r="Z240" s="9">
        <v>0.7632</v>
      </c>
      <c r="AA240" s="9">
        <v>0.821</v>
      </c>
      <c r="AB240" s="9">
        <v>0.8375</v>
      </c>
      <c r="AC240" s="9">
        <v>0.1534</v>
      </c>
      <c r="AD240" s="9" t="str">
        <f t="shared" si="1"/>
        <v>#REF!</v>
      </c>
    </row>
    <row r="241" hidden="1">
      <c r="A241" s="2" t="s">
        <v>2855</v>
      </c>
      <c r="B241" s="2" t="s">
        <v>1040</v>
      </c>
      <c r="C241" s="2" t="s">
        <v>1675</v>
      </c>
      <c r="D241" s="2" t="s">
        <v>64</v>
      </c>
      <c r="E241" s="7" t="b">
        <v>1</v>
      </c>
      <c r="F241" s="9">
        <v>2590.0</v>
      </c>
      <c r="G241" s="9">
        <v>2.021286670290846</v>
      </c>
      <c r="H241" s="9">
        <v>0.0025377034749034</v>
      </c>
      <c r="I241" s="7" t="b">
        <v>1</v>
      </c>
      <c r="J241" s="9">
        <v>0.0</v>
      </c>
      <c r="K241" s="7" t="b">
        <v>0</v>
      </c>
      <c r="L241" s="9">
        <v>21482.0</v>
      </c>
      <c r="M241" s="9">
        <v>8.2942</v>
      </c>
      <c r="N241" s="2" t="s">
        <v>2892</v>
      </c>
      <c r="O241" s="2" t="s">
        <v>2893</v>
      </c>
      <c r="P241" s="9">
        <v>41.35</v>
      </c>
      <c r="Q241" s="9">
        <v>37.0</v>
      </c>
      <c r="R241" s="9">
        <v>0.013075</v>
      </c>
      <c r="S241" s="9">
        <v>0.7763</v>
      </c>
      <c r="T241" s="9">
        <v>0.2856</v>
      </c>
      <c r="U241" s="2" t="s">
        <v>2106</v>
      </c>
      <c r="V241" s="9">
        <v>0.8664</v>
      </c>
      <c r="W241" s="2" t="s">
        <v>1821</v>
      </c>
      <c r="X241" s="2" t="s">
        <v>517</v>
      </c>
      <c r="Y241" s="2" t="s">
        <v>1593</v>
      </c>
      <c r="Z241" s="9">
        <v>0.7113</v>
      </c>
      <c r="AA241" s="9">
        <v>0.7763</v>
      </c>
      <c r="AB241" s="9">
        <v>0.8664</v>
      </c>
      <c r="AC241" s="9">
        <v>0.1513</v>
      </c>
      <c r="AD241" s="9" t="str">
        <f t="shared" si="1"/>
        <v>#REF!</v>
      </c>
    </row>
    <row r="242" hidden="1">
      <c r="A242" s="2" t="s">
        <v>2855</v>
      </c>
      <c r="B242" s="2" t="s">
        <v>1047</v>
      </c>
      <c r="C242" s="2" t="s">
        <v>1675</v>
      </c>
      <c r="D242" s="2" t="s">
        <v>64</v>
      </c>
      <c r="E242" s="7" t="b">
        <v>1</v>
      </c>
      <c r="F242" s="9">
        <v>261.0</v>
      </c>
      <c r="G242" s="9">
        <v>1.622653408329883</v>
      </c>
      <c r="H242" s="9">
        <v>0.0012249318007662</v>
      </c>
      <c r="I242" s="7" t="b">
        <v>1</v>
      </c>
      <c r="J242" s="9">
        <v>0.0</v>
      </c>
      <c r="K242" s="7" t="b">
        <v>0</v>
      </c>
      <c r="L242" s="9">
        <v>20023.0</v>
      </c>
      <c r="M242" s="9">
        <v>76.7165</v>
      </c>
      <c r="N242" s="2" t="s">
        <v>2901</v>
      </c>
      <c r="O242" s="2" t="s">
        <v>2902</v>
      </c>
      <c r="P242" s="9">
        <v>41.44</v>
      </c>
      <c r="Q242" s="9">
        <v>37.0</v>
      </c>
      <c r="R242" s="9">
        <v>0.013975</v>
      </c>
      <c r="S242" s="9">
        <v>0.779</v>
      </c>
      <c r="T242" s="9">
        <v>0.2769</v>
      </c>
      <c r="U242" s="2" t="s">
        <v>2106</v>
      </c>
      <c r="V242" s="9">
        <v>0.8647</v>
      </c>
      <c r="W242" s="2" t="s">
        <v>1600</v>
      </c>
      <c r="X242" s="2" t="s">
        <v>517</v>
      </c>
      <c r="Y242" s="2" t="s">
        <v>1593</v>
      </c>
      <c r="Z242" s="9">
        <v>0.7155</v>
      </c>
      <c r="AA242" s="9">
        <v>0.779</v>
      </c>
      <c r="AB242" s="9">
        <v>0.8647</v>
      </c>
      <c r="AC242" s="9">
        <v>0.1486</v>
      </c>
      <c r="AD242" s="9" t="str">
        <f t="shared" si="1"/>
        <v>#REF!</v>
      </c>
    </row>
    <row r="243" hidden="1">
      <c r="A243" s="2" t="s">
        <v>2855</v>
      </c>
      <c r="B243" s="2" t="s">
        <v>1053</v>
      </c>
      <c r="C243" s="2" t="s">
        <v>1675</v>
      </c>
      <c r="D243" s="2" t="s">
        <v>64</v>
      </c>
      <c r="E243" s="7" t="b">
        <v>1</v>
      </c>
      <c r="F243" s="9">
        <v>346.0</v>
      </c>
      <c r="G243" s="9">
        <v>1.721874428877671</v>
      </c>
      <c r="H243" s="9">
        <v>0.0016903927745664</v>
      </c>
      <c r="I243" s="7" t="b">
        <v>1</v>
      </c>
      <c r="J243" s="9">
        <v>0.0</v>
      </c>
      <c r="K243" s="7" t="b">
        <v>0</v>
      </c>
      <c r="L243" s="9">
        <v>20942.0</v>
      </c>
      <c r="M243" s="9">
        <v>60.526</v>
      </c>
      <c r="N243" s="2" t="s">
        <v>2907</v>
      </c>
      <c r="O243" s="2" t="s">
        <v>2908</v>
      </c>
      <c r="P243" s="9">
        <v>41.35</v>
      </c>
      <c r="Q243" s="9">
        <v>37.0</v>
      </c>
      <c r="R243" s="9">
        <v>0.013241</v>
      </c>
      <c r="S243" s="9">
        <v>0.7781</v>
      </c>
      <c r="T243" s="9">
        <v>0.2846</v>
      </c>
      <c r="U243" s="2" t="s">
        <v>2106</v>
      </c>
      <c r="V243" s="9">
        <v>0.8657</v>
      </c>
      <c r="W243" s="2" t="s">
        <v>1771</v>
      </c>
      <c r="X243" s="2" t="s">
        <v>517</v>
      </c>
      <c r="Y243" s="2" t="s">
        <v>1593</v>
      </c>
      <c r="Z243" s="9">
        <v>0.7134</v>
      </c>
      <c r="AA243" s="9">
        <v>0.7781</v>
      </c>
      <c r="AB243" s="9">
        <v>0.8657</v>
      </c>
      <c r="AC243" s="9">
        <v>0.1513</v>
      </c>
      <c r="AD243" s="9" t="str">
        <f t="shared" si="1"/>
        <v>#REF!</v>
      </c>
    </row>
    <row r="244" hidden="1">
      <c r="A244" s="2" t="s">
        <v>2912</v>
      </c>
      <c r="B244" s="2" t="s">
        <v>70</v>
      </c>
      <c r="C244" s="2" t="s">
        <v>1675</v>
      </c>
      <c r="D244" s="2" t="s">
        <v>64</v>
      </c>
      <c r="E244" s="7" t="b">
        <v>1</v>
      </c>
      <c r="F244" s="9">
        <v>135.0</v>
      </c>
      <c r="G244" s="9">
        <v>12.5325412288557</v>
      </c>
      <c r="H244" s="9">
        <v>0.0060993066666666</v>
      </c>
      <c r="I244" s="7" t="b">
        <v>1</v>
      </c>
      <c r="J244" s="9">
        <v>0.0</v>
      </c>
      <c r="K244" s="7" t="b">
        <v>0</v>
      </c>
      <c r="L244" s="9">
        <v>1020.0</v>
      </c>
      <c r="M244" s="9">
        <v>7.5556</v>
      </c>
      <c r="N244" s="2" t="s">
        <v>2914</v>
      </c>
      <c r="O244" s="2" t="s">
        <v>550</v>
      </c>
      <c r="P244" s="9">
        <v>53.46</v>
      </c>
      <c r="Q244" s="9">
        <v>46.0</v>
      </c>
      <c r="R244" s="9">
        <v>0.03125</v>
      </c>
      <c r="S244" s="9">
        <v>0.5838</v>
      </c>
      <c r="T244" s="9">
        <v>0.5231</v>
      </c>
      <c r="U244" s="2" t="s">
        <v>2506</v>
      </c>
      <c r="V244" s="9">
        <v>0.8587</v>
      </c>
      <c r="W244" s="2" t="s">
        <v>1094</v>
      </c>
      <c r="X244" s="2" t="s">
        <v>517</v>
      </c>
      <c r="Y244" s="2" t="s">
        <v>1593</v>
      </c>
      <c r="Z244" s="9">
        <v>0.5305</v>
      </c>
      <c r="AA244" s="9">
        <v>0.5838</v>
      </c>
      <c r="AB244" s="9">
        <v>0.8587</v>
      </c>
      <c r="AC244" s="9">
        <v>0.2376</v>
      </c>
      <c r="AD244" s="9" t="str">
        <f t="shared" si="1"/>
        <v>#REF!</v>
      </c>
    </row>
    <row r="245" hidden="1">
      <c r="A245" s="2" t="s">
        <v>2912</v>
      </c>
      <c r="B245" s="2" t="s">
        <v>503</v>
      </c>
      <c r="C245" s="2" t="s">
        <v>1675</v>
      </c>
      <c r="D245" s="2" t="s">
        <v>64</v>
      </c>
      <c r="E245" s="7" t="b">
        <v>1</v>
      </c>
      <c r="F245" s="9">
        <v>634.0</v>
      </c>
      <c r="G245" s="9">
        <v>14.85340230125418</v>
      </c>
      <c r="H245" s="9">
        <v>0.0123523059936908</v>
      </c>
      <c r="I245" s="7" t="b">
        <v>1</v>
      </c>
      <c r="J245" s="9">
        <v>0.0</v>
      </c>
      <c r="K245" s="7" t="b">
        <v>0</v>
      </c>
      <c r="L245" s="9">
        <v>1317.0</v>
      </c>
      <c r="M245" s="9">
        <v>2.0773</v>
      </c>
      <c r="N245" s="2" t="s">
        <v>2920</v>
      </c>
      <c r="O245" s="2" t="s">
        <v>2922</v>
      </c>
      <c r="P245" s="9">
        <v>55.5</v>
      </c>
      <c r="Q245" s="9">
        <v>46.0</v>
      </c>
      <c r="R245" s="9">
        <v>0.019293</v>
      </c>
      <c r="S245" s="9">
        <v>0.6272</v>
      </c>
      <c r="T245" s="9">
        <v>0.5612</v>
      </c>
      <c r="U245" s="2" t="s">
        <v>2165</v>
      </c>
      <c r="V245" s="9">
        <v>0.4429</v>
      </c>
      <c r="W245" s="2" t="s">
        <v>157</v>
      </c>
      <c r="X245" s="2" t="s">
        <v>1466</v>
      </c>
      <c r="Y245" s="2" t="s">
        <v>1582</v>
      </c>
      <c r="Z245" s="9">
        <v>0.5564</v>
      </c>
      <c r="AA245" s="9">
        <v>0.6272</v>
      </c>
      <c r="AB245" s="9">
        <v>0.4429</v>
      </c>
      <c r="AC245" s="9">
        <v>0.226</v>
      </c>
      <c r="AD245" s="9" t="str">
        <f t="shared" si="1"/>
        <v>#REF!</v>
      </c>
    </row>
    <row r="246" hidden="1">
      <c r="A246" s="2" t="s">
        <v>2912</v>
      </c>
      <c r="B246" s="2" t="s">
        <v>526</v>
      </c>
      <c r="C246" s="2" t="s">
        <v>1675</v>
      </c>
      <c r="D246" s="2" t="s">
        <v>64</v>
      </c>
      <c r="E246" s="7" t="b">
        <v>1</v>
      </c>
      <c r="F246" s="9">
        <v>1375.0</v>
      </c>
      <c r="G246" s="9">
        <v>8.364197959884137</v>
      </c>
      <c r="H246" s="9">
        <v>0.0015042763636363</v>
      </c>
      <c r="I246" s="7" t="b">
        <v>1</v>
      </c>
      <c r="J246" s="9">
        <v>0.0</v>
      </c>
      <c r="K246" s="7" t="b">
        <v>0</v>
      </c>
      <c r="L246" s="9">
        <v>6310.0</v>
      </c>
      <c r="M246" s="9">
        <v>4.5891</v>
      </c>
      <c r="N246" s="2" t="s">
        <v>2927</v>
      </c>
      <c r="O246" s="2" t="s">
        <v>981</v>
      </c>
      <c r="P246" s="9">
        <v>61.96</v>
      </c>
      <c r="Q246" s="9">
        <v>52.0</v>
      </c>
      <c r="R246" s="9">
        <v>0.015883</v>
      </c>
      <c r="S246" s="9">
        <v>0.716</v>
      </c>
      <c r="T246" s="9">
        <v>0.402</v>
      </c>
      <c r="U246" s="2" t="s">
        <v>2063</v>
      </c>
      <c r="V246" s="9">
        <v>0.8324</v>
      </c>
      <c r="W246" s="2" t="s">
        <v>82</v>
      </c>
      <c r="X246" s="2" t="s">
        <v>495</v>
      </c>
      <c r="Y246" s="2" t="s">
        <v>2929</v>
      </c>
      <c r="Z246" s="9">
        <v>0.6712</v>
      </c>
      <c r="AA246" s="9">
        <v>0.716</v>
      </c>
      <c r="AB246" s="9">
        <v>0.8324</v>
      </c>
      <c r="AC246" s="9">
        <v>0.23</v>
      </c>
      <c r="AD246" s="9" t="str">
        <f t="shared" si="1"/>
        <v>#REF!</v>
      </c>
    </row>
    <row r="247" hidden="1">
      <c r="A247" s="2" t="s">
        <v>2912</v>
      </c>
      <c r="B247" s="2" t="s">
        <v>942</v>
      </c>
      <c r="C247" s="2" t="s">
        <v>1675</v>
      </c>
      <c r="D247" s="2" t="s">
        <v>64</v>
      </c>
      <c r="E247" s="7" t="b">
        <v>1</v>
      </c>
      <c r="F247" s="9">
        <v>972.0</v>
      </c>
      <c r="G247" s="9">
        <v>5.45409744962569</v>
      </c>
      <c r="H247" s="9">
        <v>0.0020422111111111</v>
      </c>
      <c r="I247" s="7" t="b">
        <v>1</v>
      </c>
      <c r="J247" s="9">
        <v>0.0</v>
      </c>
      <c r="K247" s="7" t="b">
        <v>0</v>
      </c>
      <c r="L247" s="9">
        <v>4230.0</v>
      </c>
      <c r="M247" s="9">
        <v>4.3519</v>
      </c>
      <c r="N247" s="2" t="s">
        <v>2933</v>
      </c>
      <c r="O247" s="2" t="s">
        <v>2934</v>
      </c>
      <c r="P247" s="9">
        <v>53.25</v>
      </c>
      <c r="Q247" s="9">
        <v>43.0</v>
      </c>
      <c r="R247" s="9">
        <v>0.008384</v>
      </c>
      <c r="S247" s="9">
        <v>0.786</v>
      </c>
      <c r="T247" s="9">
        <v>0.6347</v>
      </c>
      <c r="U247" s="2" t="s">
        <v>2081</v>
      </c>
      <c r="V247" s="9">
        <v>0.8251</v>
      </c>
      <c r="W247" s="2" t="s">
        <v>1884</v>
      </c>
      <c r="X247" s="2" t="s">
        <v>1466</v>
      </c>
      <c r="Y247" s="2" t="s">
        <v>2937</v>
      </c>
      <c r="Z247" s="9">
        <v>0.6937</v>
      </c>
      <c r="AA247" s="9">
        <v>0.786</v>
      </c>
      <c r="AB247" s="9">
        <v>0.8251</v>
      </c>
      <c r="AC247" s="9">
        <v>0.1633</v>
      </c>
      <c r="AD247" s="9" t="str">
        <f t="shared" si="1"/>
        <v>#REF!</v>
      </c>
    </row>
    <row r="248" hidden="1">
      <c r="A248" s="2" t="s">
        <v>2912</v>
      </c>
      <c r="B248" s="2" t="s">
        <v>997</v>
      </c>
      <c r="C248" s="2" t="s">
        <v>1675</v>
      </c>
      <c r="D248" s="2" t="s">
        <v>64</v>
      </c>
      <c r="E248" s="7" t="b">
        <v>1</v>
      </c>
      <c r="F248" s="9">
        <v>86.0</v>
      </c>
      <c r="G248" s="9">
        <v>29.97814032884524</v>
      </c>
      <c r="H248" s="9">
        <v>0.0052178976744186</v>
      </c>
      <c r="I248" s="7" t="b">
        <v>1</v>
      </c>
      <c r="J248" s="9">
        <v>0.0</v>
      </c>
      <c r="K248" s="7" t="b">
        <v>0</v>
      </c>
      <c r="L248" s="9">
        <v>31.0</v>
      </c>
      <c r="M248" s="9">
        <v>0.3605</v>
      </c>
      <c r="N248" s="2" t="s">
        <v>2329</v>
      </c>
      <c r="O248" s="2" t="s">
        <v>2330</v>
      </c>
      <c r="P248" s="9">
        <v>85.97</v>
      </c>
      <c r="Q248" s="9">
        <v>82.0</v>
      </c>
      <c r="R248" s="9">
        <v>0.0</v>
      </c>
      <c r="S248" s="9">
        <v>0.4238</v>
      </c>
      <c r="T248" s="9">
        <v>1.0004</v>
      </c>
      <c r="U248" s="2" t="s">
        <v>1717</v>
      </c>
      <c r="V248" s="9">
        <v>0.0</v>
      </c>
      <c r="W248" s="2" t="s">
        <v>157</v>
      </c>
      <c r="X248" s="2" t="s">
        <v>1466</v>
      </c>
      <c r="Y248" s="2" t="s">
        <v>2849</v>
      </c>
      <c r="Z248" s="9">
        <v>0.33</v>
      </c>
      <c r="AA248" s="9">
        <v>0.4238</v>
      </c>
      <c r="AB248" s="9">
        <v>0.0</v>
      </c>
      <c r="AC248" s="9">
        <v>0.7834</v>
      </c>
      <c r="AD248" s="9" t="str">
        <f t="shared" si="1"/>
        <v>#REF!</v>
      </c>
    </row>
    <row r="249" hidden="1">
      <c r="A249" s="2" t="s">
        <v>2912</v>
      </c>
      <c r="B249" s="2" t="s">
        <v>1040</v>
      </c>
      <c r="C249" s="2" t="s">
        <v>1675</v>
      </c>
      <c r="D249" s="2" t="s">
        <v>64</v>
      </c>
      <c r="E249" s="7" t="b">
        <v>1</v>
      </c>
      <c r="F249" s="9">
        <v>411.0</v>
      </c>
      <c r="G249" s="9">
        <v>3.941605976895882</v>
      </c>
      <c r="H249" s="9">
        <v>0.0015442153284671</v>
      </c>
      <c r="I249" s="7" t="b">
        <v>1</v>
      </c>
      <c r="J249" s="9">
        <v>0.0</v>
      </c>
      <c r="K249" s="7" t="b">
        <v>0</v>
      </c>
      <c r="L249" s="9">
        <v>2767.0</v>
      </c>
      <c r="M249" s="9">
        <v>6.7324</v>
      </c>
      <c r="N249" s="2" t="s">
        <v>2948</v>
      </c>
      <c r="O249" s="2" t="s">
        <v>2949</v>
      </c>
      <c r="P249" s="9">
        <v>39.94</v>
      </c>
      <c r="Q249" s="9">
        <v>37.0</v>
      </c>
      <c r="R249" s="9">
        <v>0.011727</v>
      </c>
      <c r="S249" s="9">
        <v>0.7326</v>
      </c>
      <c r="T249" s="9">
        <v>0.5581</v>
      </c>
      <c r="U249" s="2" t="s">
        <v>2735</v>
      </c>
      <c r="V249" s="9">
        <v>0.8939</v>
      </c>
      <c r="W249" s="2" t="s">
        <v>1821</v>
      </c>
      <c r="X249" s="2" t="s">
        <v>517</v>
      </c>
      <c r="Y249" s="2" t="s">
        <v>1593</v>
      </c>
      <c r="Z249" s="9">
        <v>0.6309</v>
      </c>
      <c r="AA249" s="9">
        <v>0.7326</v>
      </c>
      <c r="AB249" s="9">
        <v>0.8939</v>
      </c>
      <c r="AC249" s="9">
        <v>0.1622</v>
      </c>
      <c r="AD249" s="9" t="str">
        <f t="shared" si="1"/>
        <v>#REF!</v>
      </c>
    </row>
    <row r="250" hidden="1">
      <c r="A250" s="2" t="s">
        <v>2953</v>
      </c>
      <c r="B250" s="2" t="s">
        <v>441</v>
      </c>
      <c r="C250" s="2" t="s">
        <v>1675</v>
      </c>
      <c r="D250" s="2" t="s">
        <v>64</v>
      </c>
      <c r="E250" s="7" t="b">
        <v>1</v>
      </c>
      <c r="F250" s="9">
        <v>96.0</v>
      </c>
      <c r="G250" s="9">
        <v>29.96536376206741</v>
      </c>
      <c r="H250" s="9">
        <v>0.0300913229166666</v>
      </c>
      <c r="I250" s="7" t="b">
        <v>1</v>
      </c>
      <c r="J250" s="9">
        <v>0.0</v>
      </c>
      <c r="K250" s="7" t="b">
        <v>0</v>
      </c>
      <c r="L250" s="9">
        <v>101.0</v>
      </c>
      <c r="M250" s="9">
        <v>1.0521</v>
      </c>
      <c r="N250" s="2" t="s">
        <v>2958</v>
      </c>
      <c r="O250" s="2" t="s">
        <v>2866</v>
      </c>
      <c r="P250" s="9">
        <v>65.17</v>
      </c>
      <c r="Q250" s="9">
        <v>64.0</v>
      </c>
      <c r="R250" s="9">
        <v>0.0</v>
      </c>
      <c r="S250" s="9">
        <v>0.5608</v>
      </c>
      <c r="T250" s="9">
        <v>1.001</v>
      </c>
      <c r="U250" s="2" t="s">
        <v>2961</v>
      </c>
      <c r="V250" s="15"/>
      <c r="W250" s="2" t="s">
        <v>134</v>
      </c>
      <c r="X250" s="2" t="s">
        <v>1455</v>
      </c>
      <c r="Y250" s="2" t="s">
        <v>1456</v>
      </c>
      <c r="Z250" s="9">
        <v>0.441</v>
      </c>
      <c r="AA250" s="9">
        <v>0.5608</v>
      </c>
      <c r="AB250" s="15"/>
      <c r="AC250" s="9">
        <v>0.8829</v>
      </c>
      <c r="AD250" s="9" t="str">
        <f t="shared" si="1"/>
        <v>#REF!</v>
      </c>
    </row>
    <row r="251" hidden="1">
      <c r="A251" s="2" t="s">
        <v>2964</v>
      </c>
      <c r="B251" s="2" t="s">
        <v>997</v>
      </c>
      <c r="C251" s="2" t="s">
        <v>1675</v>
      </c>
      <c r="D251" s="2" t="s">
        <v>64</v>
      </c>
      <c r="E251" s="7" t="b">
        <v>1</v>
      </c>
      <c r="F251" s="9">
        <v>644.0</v>
      </c>
      <c r="G251" s="9">
        <v>24.56411397213889</v>
      </c>
      <c r="H251" s="9">
        <v>0.0260052173913043</v>
      </c>
      <c r="I251" s="7" t="b">
        <v>1</v>
      </c>
      <c r="J251" s="9">
        <v>0.0</v>
      </c>
      <c r="K251" s="7" t="b">
        <v>0</v>
      </c>
      <c r="L251" s="9">
        <v>314.0</v>
      </c>
      <c r="M251" s="9">
        <v>0.4876</v>
      </c>
      <c r="N251" s="2" t="s">
        <v>230</v>
      </c>
      <c r="O251" s="2" t="s">
        <v>2646</v>
      </c>
      <c r="P251" s="9">
        <v>70.19</v>
      </c>
      <c r="Q251" s="9">
        <v>60.0</v>
      </c>
      <c r="R251" s="9">
        <v>0.041667</v>
      </c>
      <c r="S251" s="9">
        <v>0.6978</v>
      </c>
      <c r="T251" s="9">
        <v>1.0009</v>
      </c>
      <c r="U251" s="2" t="s">
        <v>1693</v>
      </c>
      <c r="V251" s="9">
        <v>0.8727</v>
      </c>
      <c r="W251" s="2" t="s">
        <v>157</v>
      </c>
      <c r="X251" s="2" t="s">
        <v>495</v>
      </c>
      <c r="Y251" s="2" t="s">
        <v>2967</v>
      </c>
      <c r="Z251" s="9">
        <v>0.5513</v>
      </c>
      <c r="AA251" s="9">
        <v>0.6978</v>
      </c>
      <c r="AB251" s="9">
        <v>0.8727</v>
      </c>
      <c r="AC251" s="9">
        <v>0.7687</v>
      </c>
      <c r="AD251" s="9" t="str">
        <f t="shared" si="1"/>
        <v>#REF!</v>
      </c>
    </row>
    <row r="252" hidden="1">
      <c r="A252" s="2" t="s">
        <v>2950</v>
      </c>
      <c r="B252" s="2" t="s">
        <v>503</v>
      </c>
      <c r="C252" s="2" t="s">
        <v>1316</v>
      </c>
      <c r="D252" s="2" t="s">
        <v>64</v>
      </c>
      <c r="E252" s="7" t="b">
        <v>1</v>
      </c>
      <c r="F252" s="9">
        <v>166.0</v>
      </c>
      <c r="G252" s="9">
        <v>13.36183551747145</v>
      </c>
      <c r="H252" s="9">
        <v>0.0026325012048192</v>
      </c>
      <c r="I252" s="7" t="b">
        <v>1</v>
      </c>
      <c r="J252" s="9">
        <v>0.0</v>
      </c>
      <c r="K252" s="7" t="b">
        <v>0</v>
      </c>
      <c r="L252" s="9">
        <v>199.0</v>
      </c>
      <c r="M252" s="9">
        <v>1.1988</v>
      </c>
      <c r="N252" s="2" t="s">
        <v>2958</v>
      </c>
      <c r="O252" s="2" t="s">
        <v>1890</v>
      </c>
      <c r="P252" s="9">
        <v>44.2</v>
      </c>
      <c r="Q252" s="9">
        <v>40.0</v>
      </c>
      <c r="R252" s="9">
        <v>0.056604</v>
      </c>
      <c r="S252" s="9">
        <v>0.5444</v>
      </c>
      <c r="T252" s="9">
        <v>0.8315</v>
      </c>
      <c r="U252" s="2" t="s">
        <v>2973</v>
      </c>
      <c r="V252" s="9">
        <v>0.0</v>
      </c>
      <c r="W252" s="2" t="s">
        <v>82</v>
      </c>
      <c r="X252" s="2" t="s">
        <v>495</v>
      </c>
      <c r="Y252" s="2" t="s">
        <v>2571</v>
      </c>
      <c r="Z252" s="9">
        <v>0.4596</v>
      </c>
      <c r="AA252" s="9">
        <v>0.5444</v>
      </c>
      <c r="AB252" s="9">
        <v>0.0</v>
      </c>
      <c r="AC252" s="9">
        <v>0.2467</v>
      </c>
      <c r="AD252" s="9" t="str">
        <f t="shared" si="1"/>
        <v>#REF!</v>
      </c>
    </row>
    <row r="253" hidden="1">
      <c r="A253" s="2" t="s">
        <v>2761</v>
      </c>
      <c r="B253" s="2" t="s">
        <v>997</v>
      </c>
      <c r="C253" s="2" t="s">
        <v>1316</v>
      </c>
      <c r="D253" s="2" t="s">
        <v>64</v>
      </c>
      <c r="E253" s="7" t="b">
        <v>1</v>
      </c>
      <c r="F253" s="9">
        <v>3900.0</v>
      </c>
      <c r="G253" s="9">
        <v>30.11666029505994</v>
      </c>
      <c r="H253" s="9">
        <v>0.2224974666666666</v>
      </c>
      <c r="I253" s="7" t="b">
        <v>1</v>
      </c>
      <c r="J253" s="9">
        <v>0.0</v>
      </c>
      <c r="K253" s="7" t="b">
        <v>0</v>
      </c>
      <c r="L253" s="9">
        <v>3126.0</v>
      </c>
      <c r="M253" s="9">
        <v>0.8015</v>
      </c>
      <c r="N253" s="2" t="s">
        <v>2979</v>
      </c>
      <c r="O253" s="2" t="s">
        <v>2981</v>
      </c>
      <c r="P253" s="9">
        <v>64.41</v>
      </c>
      <c r="Q253" s="9">
        <v>67.0</v>
      </c>
      <c r="R253" s="9">
        <v>0.008869</v>
      </c>
      <c r="S253" s="9">
        <v>0.9203</v>
      </c>
      <c r="T253" s="9">
        <v>0.9898</v>
      </c>
      <c r="U253" s="2" t="s">
        <v>2982</v>
      </c>
      <c r="V253" s="9">
        <v>0.1755</v>
      </c>
      <c r="W253" s="2" t="s">
        <v>134</v>
      </c>
      <c r="X253" s="2" t="s">
        <v>495</v>
      </c>
      <c r="Y253" s="2" t="s">
        <v>1857</v>
      </c>
      <c r="Z253" s="9">
        <v>0.766</v>
      </c>
      <c r="AA253" s="9">
        <v>0.9203</v>
      </c>
      <c r="AB253" s="9">
        <v>0.1755</v>
      </c>
      <c r="AC253" s="9">
        <v>0.8441</v>
      </c>
      <c r="AD253" s="9" t="str">
        <f t="shared" si="1"/>
        <v>#REF!</v>
      </c>
    </row>
    <row r="254" hidden="1">
      <c r="A254" s="2" t="s">
        <v>2761</v>
      </c>
      <c r="B254" s="2" t="s">
        <v>1004</v>
      </c>
      <c r="C254" s="2" t="s">
        <v>1316</v>
      </c>
      <c r="D254" s="2" t="s">
        <v>64</v>
      </c>
      <c r="E254" s="7" t="b">
        <v>1</v>
      </c>
      <c r="F254" s="9">
        <v>157.0</v>
      </c>
      <c r="G254" s="9">
        <v>9.07542808310174</v>
      </c>
      <c r="H254" s="9">
        <v>0.0011355719745222</v>
      </c>
      <c r="I254" s="7" t="b">
        <v>1</v>
      </c>
      <c r="J254" s="9">
        <v>0.0</v>
      </c>
      <c r="K254" s="7" t="b">
        <v>0</v>
      </c>
      <c r="L254" s="9">
        <v>6.0</v>
      </c>
      <c r="M254" s="9">
        <v>0.0382</v>
      </c>
      <c r="N254" s="2" t="s">
        <v>1664</v>
      </c>
      <c r="O254" s="2" t="s">
        <v>1665</v>
      </c>
      <c r="P254" s="9">
        <v>44.17</v>
      </c>
      <c r="Q254" s="9">
        <v>42.0</v>
      </c>
      <c r="R254" s="9">
        <v>0.0</v>
      </c>
      <c r="S254" s="9">
        <v>0.2155</v>
      </c>
      <c r="T254" s="9">
        <v>1.0</v>
      </c>
      <c r="U254" s="2" t="s">
        <v>2987</v>
      </c>
      <c r="V254" s="15"/>
      <c r="W254" s="2" t="s">
        <v>82</v>
      </c>
      <c r="X254" s="2" t="s">
        <v>1455</v>
      </c>
      <c r="Y254" s="2" t="s">
        <v>1542</v>
      </c>
      <c r="Z254" s="9">
        <v>0.1687</v>
      </c>
      <c r="AA254" s="9">
        <v>0.2155</v>
      </c>
      <c r="AB254" s="15"/>
      <c r="AC254" s="9">
        <v>0.525</v>
      </c>
      <c r="AD254" s="9" t="str">
        <f t="shared" si="1"/>
        <v>#REF!</v>
      </c>
    </row>
    <row r="255" hidden="1">
      <c r="A255" s="2" t="s">
        <v>2761</v>
      </c>
      <c r="B255" s="2" t="s">
        <v>1009</v>
      </c>
      <c r="C255" s="2" t="s">
        <v>1316</v>
      </c>
      <c r="D255" s="2" t="s">
        <v>64</v>
      </c>
      <c r="E255" s="7" t="b">
        <v>1</v>
      </c>
      <c r="F255" s="9">
        <v>144.0</v>
      </c>
      <c r="G255" s="9">
        <v>6.876808789511488</v>
      </c>
      <c r="H255" s="9">
        <v>0.0018523145833333</v>
      </c>
      <c r="I255" s="7" t="b">
        <v>1</v>
      </c>
      <c r="J255" s="9">
        <v>0.0</v>
      </c>
      <c r="K255" s="7" t="b">
        <v>0</v>
      </c>
      <c r="L255" s="9">
        <v>46.0</v>
      </c>
      <c r="M255" s="9">
        <v>0.3194</v>
      </c>
      <c r="N255" s="2" t="s">
        <v>1952</v>
      </c>
      <c r="O255" s="2" t="s">
        <v>2330</v>
      </c>
      <c r="P255" s="9">
        <v>53.37</v>
      </c>
      <c r="Q255" s="9">
        <v>50.5</v>
      </c>
      <c r="R255" s="9">
        <v>0.0</v>
      </c>
      <c r="S255" s="9">
        <v>0.3975</v>
      </c>
      <c r="T255" s="9">
        <v>0.8758</v>
      </c>
      <c r="U255" s="2" t="s">
        <v>2991</v>
      </c>
      <c r="V255" s="9">
        <v>0.0</v>
      </c>
      <c r="W255" s="2" t="s">
        <v>181</v>
      </c>
      <c r="X255" s="2" t="s">
        <v>1521</v>
      </c>
      <c r="Y255" s="2" t="s">
        <v>1491</v>
      </c>
      <c r="Z255" s="9">
        <v>0.3536</v>
      </c>
      <c r="AA255" s="9">
        <v>0.3975</v>
      </c>
      <c r="AB255" s="9">
        <v>0.0</v>
      </c>
      <c r="AC255" s="9">
        <v>0.1695</v>
      </c>
      <c r="AD255" s="9" t="str">
        <f t="shared" si="1"/>
        <v>#REF!</v>
      </c>
    </row>
    <row r="256" hidden="1">
      <c r="A256" s="2" t="s">
        <v>2761</v>
      </c>
      <c r="B256" s="2" t="s">
        <v>1015</v>
      </c>
      <c r="C256" s="2" t="s">
        <v>1316</v>
      </c>
      <c r="D256" s="2" t="s">
        <v>64</v>
      </c>
      <c r="E256" s="7" t="b">
        <v>1</v>
      </c>
      <c r="F256" s="9">
        <v>1081.0</v>
      </c>
      <c r="G256" s="9">
        <v>9.216406141773962</v>
      </c>
      <c r="H256" s="9">
        <v>0.022383474560592</v>
      </c>
      <c r="I256" s="7" t="b">
        <v>1</v>
      </c>
      <c r="J256" s="9">
        <v>0.0</v>
      </c>
      <c r="K256" s="7" t="b">
        <v>0</v>
      </c>
      <c r="L256" s="9">
        <v>1681.0</v>
      </c>
      <c r="M256" s="9">
        <v>1.555</v>
      </c>
      <c r="N256" s="2" t="s">
        <v>2996</v>
      </c>
      <c r="O256" s="2" t="s">
        <v>2997</v>
      </c>
      <c r="P256" s="9">
        <v>59.0</v>
      </c>
      <c r="Q256" s="9">
        <v>58.0</v>
      </c>
      <c r="R256" s="9">
        <v>0.020576</v>
      </c>
      <c r="S256" s="9">
        <v>0.8048</v>
      </c>
      <c r="T256" s="9">
        <v>0.8134</v>
      </c>
      <c r="U256" s="2" t="s">
        <v>2998</v>
      </c>
      <c r="V256" s="9">
        <v>0.7009</v>
      </c>
      <c r="W256" s="2" t="s">
        <v>1193</v>
      </c>
      <c r="X256" s="2" t="s">
        <v>237</v>
      </c>
      <c r="Y256" s="2" t="s">
        <v>1752</v>
      </c>
      <c r="Z256" s="9">
        <v>0.6907</v>
      </c>
      <c r="AA256" s="9">
        <v>0.8048</v>
      </c>
      <c r="AB256" s="9">
        <v>0.7009</v>
      </c>
      <c r="AC256" s="9">
        <v>0.1558</v>
      </c>
      <c r="AD256" s="9" t="str">
        <f t="shared" si="1"/>
        <v>#REF!</v>
      </c>
    </row>
    <row r="257" hidden="1">
      <c r="A257" s="2" t="s">
        <v>2761</v>
      </c>
      <c r="B257" s="2" t="s">
        <v>1024</v>
      </c>
      <c r="C257" s="2" t="s">
        <v>1316</v>
      </c>
      <c r="D257" s="2" t="s">
        <v>64</v>
      </c>
      <c r="E257" s="7" t="b">
        <v>1</v>
      </c>
      <c r="F257" s="9">
        <v>24147.0</v>
      </c>
      <c r="G257" s="9">
        <v>5.637691502224413</v>
      </c>
      <c r="H257" s="9">
        <v>0.0246200422412722</v>
      </c>
      <c r="I257" s="7" t="b">
        <v>1</v>
      </c>
      <c r="J257" s="9">
        <v>0.0</v>
      </c>
      <c r="K257" s="7" t="b">
        <v>0</v>
      </c>
      <c r="L257" s="9">
        <v>7332.0</v>
      </c>
      <c r="M257" s="9">
        <v>0.3036</v>
      </c>
      <c r="N257" s="2" t="s">
        <v>3002</v>
      </c>
      <c r="O257" s="2" t="s">
        <v>3004</v>
      </c>
      <c r="P257" s="9">
        <v>57.1</v>
      </c>
      <c r="Q257" s="9">
        <v>56.0</v>
      </c>
      <c r="R257" s="9">
        <v>0.026753</v>
      </c>
      <c r="S257" s="9">
        <v>0.8518</v>
      </c>
      <c r="T257" s="9">
        <v>0.62</v>
      </c>
      <c r="U257" s="2" t="s">
        <v>3005</v>
      </c>
      <c r="V257" s="9">
        <v>0.7263</v>
      </c>
      <c r="W257" s="2" t="s">
        <v>157</v>
      </c>
      <c r="X257" s="2" t="s">
        <v>517</v>
      </c>
      <c r="Y257" s="2" t="s">
        <v>1503</v>
      </c>
      <c r="Z257" s="9">
        <v>0.7642</v>
      </c>
      <c r="AA257" s="9">
        <v>0.8518</v>
      </c>
      <c r="AB257" s="9">
        <v>0.7263</v>
      </c>
      <c r="AC257" s="9">
        <v>0.1701</v>
      </c>
      <c r="AD257" s="9" t="str">
        <f t="shared" si="1"/>
        <v>#REF!</v>
      </c>
    </row>
    <row r="258" hidden="1">
      <c r="A258" s="2" t="s">
        <v>3008</v>
      </c>
      <c r="B258" s="2" t="s">
        <v>70</v>
      </c>
      <c r="C258" s="2" t="s">
        <v>1675</v>
      </c>
      <c r="D258" s="2" t="s">
        <v>64</v>
      </c>
      <c r="E258" s="7" t="b">
        <v>1</v>
      </c>
      <c r="F258" s="9">
        <v>737.0</v>
      </c>
      <c r="G258" s="9">
        <v>8.470174643627036</v>
      </c>
      <c r="H258" s="9">
        <v>0.01502565807327</v>
      </c>
      <c r="I258" s="7" t="b">
        <v>1</v>
      </c>
      <c r="J258" s="9">
        <v>0.0</v>
      </c>
      <c r="K258" s="7" t="b">
        <v>0</v>
      </c>
      <c r="L258" s="9">
        <v>2088.0</v>
      </c>
      <c r="M258" s="9">
        <v>2.8331</v>
      </c>
      <c r="N258" s="2" t="s">
        <v>3011</v>
      </c>
      <c r="O258" s="2" t="s">
        <v>3012</v>
      </c>
      <c r="P258" s="9">
        <v>74.41</v>
      </c>
      <c r="Q258" s="9">
        <v>64.0</v>
      </c>
      <c r="R258" s="9">
        <v>0.009597</v>
      </c>
      <c r="S258" s="9">
        <v>0.686</v>
      </c>
      <c r="T258" s="9">
        <v>0.5591</v>
      </c>
      <c r="U258" s="2" t="s">
        <v>3013</v>
      </c>
      <c r="V258" s="9">
        <v>0.7819</v>
      </c>
      <c r="W258" s="2" t="s">
        <v>1193</v>
      </c>
      <c r="X258" s="2" t="s">
        <v>1466</v>
      </c>
      <c r="Y258" s="2" t="s">
        <v>2821</v>
      </c>
      <c r="Z258" s="9">
        <v>0.6338</v>
      </c>
      <c r="AA258" s="9">
        <v>0.686</v>
      </c>
      <c r="AB258" s="9">
        <v>0.7819</v>
      </c>
      <c r="AC258" s="9">
        <v>0.2425</v>
      </c>
      <c r="AD258" s="9" t="str">
        <f t="shared" si="1"/>
        <v>#REF!</v>
      </c>
    </row>
    <row r="259" hidden="1">
      <c r="A259" s="2" t="s">
        <v>3008</v>
      </c>
      <c r="B259" s="2" t="s">
        <v>503</v>
      </c>
      <c r="C259" s="2" t="s">
        <v>1675</v>
      </c>
      <c r="D259" s="2" t="s">
        <v>64</v>
      </c>
      <c r="E259" s="7" t="b">
        <v>1</v>
      </c>
      <c r="F259" s="9">
        <v>1400.0</v>
      </c>
      <c r="G259" s="9">
        <v>7.741457142634754</v>
      </c>
      <c r="H259" s="9">
        <v>0.0074004833571428</v>
      </c>
      <c r="I259" s="7" t="b">
        <v>1</v>
      </c>
      <c r="J259" s="9">
        <v>0.0</v>
      </c>
      <c r="K259" s="7" t="b">
        <v>0</v>
      </c>
      <c r="L259" s="9">
        <v>3588.0</v>
      </c>
      <c r="M259" s="9">
        <v>2.5629</v>
      </c>
      <c r="N259" s="2" t="s">
        <v>3018</v>
      </c>
      <c r="O259" s="2" t="s">
        <v>3019</v>
      </c>
      <c r="P259" s="9">
        <v>75.58</v>
      </c>
      <c r="Q259" s="9">
        <v>66.0</v>
      </c>
      <c r="R259" s="9">
        <v>0.013777</v>
      </c>
      <c r="S259" s="9">
        <v>0.7527</v>
      </c>
      <c r="T259" s="9">
        <v>0.5683</v>
      </c>
      <c r="U259" s="2" t="s">
        <v>2048</v>
      </c>
      <c r="V259" s="9">
        <v>0.8121</v>
      </c>
      <c r="W259" s="2" t="s">
        <v>157</v>
      </c>
      <c r="X259" s="2" t="s">
        <v>517</v>
      </c>
      <c r="Y259" s="2" t="s">
        <v>1593</v>
      </c>
      <c r="Z259" s="9">
        <v>0.687</v>
      </c>
      <c r="AA259" s="9">
        <v>0.7527</v>
      </c>
      <c r="AB259" s="9">
        <v>0.8121</v>
      </c>
      <c r="AC259" s="9">
        <v>0.2431</v>
      </c>
      <c r="AD259" s="9" t="str">
        <f t="shared" si="1"/>
        <v>#REF!</v>
      </c>
    </row>
    <row r="260" hidden="1">
      <c r="A260" s="2" t="s">
        <v>3022</v>
      </c>
      <c r="B260" s="2" t="s">
        <v>542</v>
      </c>
      <c r="C260" s="2" t="s">
        <v>1675</v>
      </c>
      <c r="D260" s="2" t="s">
        <v>64</v>
      </c>
      <c r="E260" s="7" t="b">
        <v>1</v>
      </c>
      <c r="F260" s="9">
        <v>95.0</v>
      </c>
      <c r="G260" s="9">
        <v>15.21411906425953</v>
      </c>
      <c r="H260" s="9">
        <v>0.00298832</v>
      </c>
      <c r="I260" s="7" t="b">
        <v>1</v>
      </c>
      <c r="J260" s="9">
        <v>0.0</v>
      </c>
      <c r="K260" s="7" t="b">
        <v>0</v>
      </c>
      <c r="L260" s="9">
        <v>108.0</v>
      </c>
      <c r="M260" s="9">
        <v>1.1368</v>
      </c>
      <c r="N260" s="2" t="s">
        <v>1266</v>
      </c>
      <c r="O260" s="2" t="s">
        <v>1267</v>
      </c>
      <c r="P260" s="9">
        <v>80.21</v>
      </c>
      <c r="Q260" s="9">
        <v>68.5</v>
      </c>
      <c r="R260" s="9">
        <v>0.0</v>
      </c>
      <c r="S260" s="9">
        <v>0.5859</v>
      </c>
      <c r="T260" s="9">
        <v>0.9966</v>
      </c>
      <c r="U260" s="2" t="s">
        <v>2426</v>
      </c>
      <c r="V260" s="9">
        <v>0.675</v>
      </c>
      <c r="W260" s="2" t="s">
        <v>134</v>
      </c>
      <c r="X260" s="2" t="s">
        <v>517</v>
      </c>
      <c r="Y260" s="2" t="s">
        <v>1711</v>
      </c>
      <c r="Z260" s="9">
        <v>0.4659</v>
      </c>
      <c r="AA260" s="9">
        <v>0.5859</v>
      </c>
      <c r="AB260" s="9">
        <v>0.675</v>
      </c>
      <c r="AC260" s="9">
        <v>0.1688</v>
      </c>
      <c r="AD260" s="9" t="str">
        <f t="shared" si="1"/>
        <v>#REF!</v>
      </c>
    </row>
    <row r="261">
      <c r="A261" s="2" t="s">
        <v>1548</v>
      </c>
      <c r="B261" s="2" t="s">
        <v>306</v>
      </c>
      <c r="C261" s="2" t="s">
        <v>1675</v>
      </c>
      <c r="D261" s="2" t="s">
        <v>64</v>
      </c>
      <c r="E261" s="7" t="b">
        <v>1</v>
      </c>
      <c r="F261" s="9">
        <v>2848733.0</v>
      </c>
      <c r="G261" s="9">
        <v>5.615074110521667</v>
      </c>
      <c r="H261" s="9">
        <v>0.2524212077790372</v>
      </c>
      <c r="I261" s="7" t="b">
        <v>1</v>
      </c>
      <c r="J261" s="9">
        <v>0.0</v>
      </c>
      <c r="K261" s="7" t="b">
        <v>0</v>
      </c>
      <c r="L261" s="9">
        <v>1569694.0</v>
      </c>
      <c r="M261" s="9">
        <v>0.551</v>
      </c>
      <c r="N261" s="2" t="s">
        <v>3029</v>
      </c>
      <c r="O261" s="2" t="s">
        <v>3031</v>
      </c>
      <c r="P261" s="9">
        <v>76.38</v>
      </c>
      <c r="Q261" s="9">
        <v>70.0</v>
      </c>
      <c r="R261" s="9">
        <v>0.025392</v>
      </c>
      <c r="S261" s="9">
        <v>0.9873</v>
      </c>
      <c r="T261" s="9">
        <v>0.9076</v>
      </c>
      <c r="U261" s="2" t="s">
        <v>1275</v>
      </c>
      <c r="V261" s="9">
        <v>0.8647</v>
      </c>
      <c r="W261" s="2" t="s">
        <v>82</v>
      </c>
      <c r="X261" s="2" t="s">
        <v>99</v>
      </c>
      <c r="Y261" s="2" t="s">
        <v>1515</v>
      </c>
      <c r="Z261" s="9">
        <v>0.9882</v>
      </c>
      <c r="AA261" s="9">
        <v>0.9873</v>
      </c>
      <c r="AB261" s="9">
        <v>0.8647</v>
      </c>
      <c r="AC261" s="9">
        <v>0.8563</v>
      </c>
      <c r="AD261" s="9" t="str">
        <f t="shared" si="1"/>
        <v>#REF!</v>
      </c>
    </row>
    <row r="262" hidden="1">
      <c r="A262" s="2" t="s">
        <v>1548</v>
      </c>
      <c r="B262" s="2" t="s">
        <v>1009</v>
      </c>
      <c r="C262" s="2" t="s">
        <v>1675</v>
      </c>
      <c r="D262" s="2" t="s">
        <v>64</v>
      </c>
      <c r="E262" s="7" t="b">
        <v>1</v>
      </c>
      <c r="F262" s="9">
        <v>4054.0</v>
      </c>
      <c r="G262" s="9">
        <v>12.52938636836017</v>
      </c>
      <c r="H262" s="9">
        <v>0.1534041193882585</v>
      </c>
      <c r="I262" s="7" t="b">
        <v>1</v>
      </c>
      <c r="J262" s="9">
        <v>0.0</v>
      </c>
      <c r="K262" s="7" t="b">
        <v>0</v>
      </c>
      <c r="L262" s="9">
        <v>290.0</v>
      </c>
      <c r="M262" s="9">
        <v>0.0715</v>
      </c>
      <c r="N262" s="2" t="s">
        <v>530</v>
      </c>
      <c r="O262" s="2" t="s">
        <v>2090</v>
      </c>
      <c r="P262" s="9">
        <v>44.35</v>
      </c>
      <c r="Q262" s="9">
        <v>40.0</v>
      </c>
      <c r="R262" s="9">
        <v>0.041667</v>
      </c>
      <c r="S262" s="9">
        <v>0.5766</v>
      </c>
      <c r="T262" s="9">
        <v>0.6695</v>
      </c>
      <c r="U262" s="2" t="s">
        <v>3035</v>
      </c>
      <c r="V262" s="9">
        <v>0.0</v>
      </c>
      <c r="W262" s="2" t="s">
        <v>1657</v>
      </c>
      <c r="X262" s="2" t="s">
        <v>1521</v>
      </c>
      <c r="Y262" s="2" t="s">
        <v>3037</v>
      </c>
      <c r="Z262" s="9">
        <v>0.4835</v>
      </c>
      <c r="AA262" s="9">
        <v>0.5766</v>
      </c>
      <c r="AB262" s="9">
        <v>0.0</v>
      </c>
      <c r="AC262" s="9">
        <v>0.1787</v>
      </c>
      <c r="AD262" s="9" t="str">
        <f t="shared" si="1"/>
        <v>#REF!</v>
      </c>
    </row>
    <row r="263" hidden="1">
      <c r="A263" s="2" t="s">
        <v>1548</v>
      </c>
      <c r="B263" s="2" t="s">
        <v>1015</v>
      </c>
      <c r="C263" s="2" t="s">
        <v>1675</v>
      </c>
      <c r="D263" s="2" t="s">
        <v>64</v>
      </c>
      <c r="E263" s="7" t="b">
        <v>1</v>
      </c>
      <c r="F263" s="9">
        <v>36673.0</v>
      </c>
      <c r="G263" s="9">
        <v>2.822263027038948</v>
      </c>
      <c r="H263" s="9">
        <v>0.0585690644343249</v>
      </c>
      <c r="I263" s="7" t="b">
        <v>1</v>
      </c>
      <c r="J263" s="9">
        <v>0.0</v>
      </c>
      <c r="K263" s="7" t="b">
        <v>0</v>
      </c>
      <c r="L263" s="9">
        <v>8421.0</v>
      </c>
      <c r="M263" s="9">
        <v>0.2296</v>
      </c>
      <c r="N263" s="2" t="s">
        <v>3040</v>
      </c>
      <c r="O263" s="2" t="s">
        <v>3041</v>
      </c>
      <c r="P263" s="9">
        <v>54.56</v>
      </c>
      <c r="Q263" s="9">
        <v>48.0</v>
      </c>
      <c r="R263" s="9">
        <v>0.020566</v>
      </c>
      <c r="S263" s="9">
        <v>0.8562</v>
      </c>
      <c r="T263" s="9">
        <v>0.4846</v>
      </c>
      <c r="U263" s="2" t="s">
        <v>3042</v>
      </c>
      <c r="V263" s="9">
        <v>0.8633</v>
      </c>
      <c r="W263" s="2" t="s">
        <v>157</v>
      </c>
      <c r="X263" s="2" t="s">
        <v>517</v>
      </c>
      <c r="Y263" s="2" t="s">
        <v>1503</v>
      </c>
      <c r="Z263" s="9">
        <v>0.7666</v>
      </c>
      <c r="AA263" s="9">
        <v>0.8562</v>
      </c>
      <c r="AB263" s="9">
        <v>0.8633</v>
      </c>
      <c r="AC263" s="9">
        <v>0.1816</v>
      </c>
      <c r="AD263" s="9" t="str">
        <f t="shared" si="1"/>
        <v>#REF!</v>
      </c>
    </row>
    <row r="264" hidden="1">
      <c r="A264" s="2" t="s">
        <v>1548</v>
      </c>
      <c r="B264" s="2" t="s">
        <v>1024</v>
      </c>
      <c r="C264" s="2" t="s">
        <v>1675</v>
      </c>
      <c r="D264" s="2" t="s">
        <v>64</v>
      </c>
      <c r="E264" s="7" t="b">
        <v>1</v>
      </c>
      <c r="F264" s="9">
        <v>126868.0</v>
      </c>
      <c r="G264" s="9">
        <v>13.774749986439</v>
      </c>
      <c r="H264" s="9">
        <v>0.5174271703660498</v>
      </c>
      <c r="I264" s="7" t="b">
        <v>1</v>
      </c>
      <c r="J264" s="9">
        <v>0.0</v>
      </c>
      <c r="K264" s="7" t="b">
        <v>0</v>
      </c>
      <c r="L264" s="9">
        <v>5808.0</v>
      </c>
      <c r="M264" s="9">
        <v>0.0458</v>
      </c>
      <c r="N264" s="2" t="s">
        <v>3045</v>
      </c>
      <c r="O264" s="2" t="s">
        <v>3046</v>
      </c>
      <c r="P264" s="9">
        <v>54.59</v>
      </c>
      <c r="Q264" s="9">
        <v>48.0</v>
      </c>
      <c r="R264" s="9">
        <v>0.031017</v>
      </c>
      <c r="S264" s="9">
        <v>0.8513</v>
      </c>
      <c r="T264" s="9">
        <v>0.7048</v>
      </c>
      <c r="U264" s="2" t="s">
        <v>2724</v>
      </c>
      <c r="V264" s="9">
        <v>0.8533</v>
      </c>
      <c r="W264" s="2" t="s">
        <v>82</v>
      </c>
      <c r="X264" s="2" t="s">
        <v>495</v>
      </c>
      <c r="Y264" s="2" t="s">
        <v>2274</v>
      </c>
      <c r="Z264" s="9">
        <v>0.7571</v>
      </c>
      <c r="AA264" s="9">
        <v>0.8513</v>
      </c>
      <c r="AB264" s="9">
        <v>0.8533</v>
      </c>
      <c r="AC264" s="9">
        <v>0.1937</v>
      </c>
      <c r="AD264" s="9" t="str">
        <f t="shared" si="1"/>
        <v>#REF!</v>
      </c>
    </row>
    <row r="265" hidden="1">
      <c r="A265" s="2" t="s">
        <v>3049</v>
      </c>
      <c r="B265" s="2" t="s">
        <v>306</v>
      </c>
      <c r="C265" s="2" t="s">
        <v>1675</v>
      </c>
      <c r="D265" s="2" t="s">
        <v>64</v>
      </c>
      <c r="E265" s="7" t="b">
        <v>1</v>
      </c>
      <c r="F265" s="9">
        <v>1451.0</v>
      </c>
      <c r="G265" s="9">
        <v>2.489815383188441</v>
      </c>
      <c r="H265" s="9">
        <v>0.003305472088215</v>
      </c>
      <c r="I265" s="7" t="b">
        <v>1</v>
      </c>
      <c r="J265" s="9">
        <v>0.0</v>
      </c>
      <c r="K265" s="7" t="b">
        <v>0</v>
      </c>
      <c r="L265" s="9">
        <v>113.0</v>
      </c>
      <c r="M265" s="9">
        <v>0.0779</v>
      </c>
      <c r="N265" s="2" t="s">
        <v>2105</v>
      </c>
      <c r="O265" s="2" t="s">
        <v>2172</v>
      </c>
      <c r="P265" s="9">
        <v>41.51</v>
      </c>
      <c r="Q265" s="9">
        <v>39.0</v>
      </c>
      <c r="R265" s="9">
        <v>0.0</v>
      </c>
      <c r="S265" s="9">
        <v>0.4462</v>
      </c>
      <c r="T265" s="9">
        <v>0.6482</v>
      </c>
      <c r="U265" s="2" t="s">
        <v>3035</v>
      </c>
      <c r="V265" s="9">
        <v>0.0</v>
      </c>
      <c r="W265" s="2" t="s">
        <v>82</v>
      </c>
      <c r="X265" s="2" t="s">
        <v>1521</v>
      </c>
      <c r="Y265" s="2" t="s">
        <v>1498</v>
      </c>
      <c r="Z265" s="9">
        <v>0.4082</v>
      </c>
      <c r="AA265" s="9">
        <v>0.4462</v>
      </c>
      <c r="AB265" s="9">
        <v>0.0</v>
      </c>
      <c r="AC265" s="9">
        <v>0.1602</v>
      </c>
      <c r="AD265" s="9" t="str">
        <f t="shared" si="1"/>
        <v>#REF!</v>
      </c>
    </row>
    <row r="266" hidden="1">
      <c r="A266" s="2" t="s">
        <v>3049</v>
      </c>
      <c r="B266" s="2" t="s">
        <v>1009</v>
      </c>
      <c r="C266" s="2" t="s">
        <v>1675</v>
      </c>
      <c r="D266" s="2" t="s">
        <v>64</v>
      </c>
      <c r="E266" s="7" t="b">
        <v>1</v>
      </c>
      <c r="F266" s="9">
        <v>3585.0</v>
      </c>
      <c r="G266" s="9">
        <v>6.685694666397167</v>
      </c>
      <c r="H266" s="9">
        <v>0.0411495849372385</v>
      </c>
      <c r="I266" s="7" t="b">
        <v>1</v>
      </c>
      <c r="J266" s="9">
        <v>0.0</v>
      </c>
      <c r="K266" s="7" t="b">
        <v>0</v>
      </c>
      <c r="L266" s="9">
        <v>828.0</v>
      </c>
      <c r="M266" s="9">
        <v>0.231</v>
      </c>
      <c r="N266" s="2" t="s">
        <v>3056</v>
      </c>
      <c r="O266" s="2" t="s">
        <v>3057</v>
      </c>
      <c r="P266" s="9">
        <v>41.33</v>
      </c>
      <c r="Q266" s="9">
        <v>38.0</v>
      </c>
      <c r="R266" s="9">
        <v>0.014184</v>
      </c>
      <c r="S266" s="9">
        <v>0.6241</v>
      </c>
      <c r="T266" s="9">
        <v>0.5072</v>
      </c>
      <c r="U266" s="2" t="s">
        <v>3058</v>
      </c>
      <c r="V266" s="9">
        <v>0.0</v>
      </c>
      <c r="W266" s="2" t="s">
        <v>1657</v>
      </c>
      <c r="X266" s="2" t="s">
        <v>1521</v>
      </c>
      <c r="Y266" s="2" t="s">
        <v>3037</v>
      </c>
      <c r="Z266" s="9">
        <v>0.5436</v>
      </c>
      <c r="AA266" s="9">
        <v>0.6241</v>
      </c>
      <c r="AB266" s="9">
        <v>0.0</v>
      </c>
      <c r="AC266" s="9">
        <v>0.1571</v>
      </c>
      <c r="AD266" s="9" t="str">
        <f t="shared" si="1"/>
        <v>#REF!</v>
      </c>
    </row>
    <row r="267" hidden="1">
      <c r="A267" s="2" t="s">
        <v>3049</v>
      </c>
      <c r="B267" s="2" t="s">
        <v>1015</v>
      </c>
      <c r="C267" s="2" t="s">
        <v>1675</v>
      </c>
      <c r="D267" s="2" t="s">
        <v>64</v>
      </c>
      <c r="E267" s="7" t="b">
        <v>1</v>
      </c>
      <c r="F267" s="9">
        <v>58372.0</v>
      </c>
      <c r="G267" s="9">
        <v>2.276757898679195</v>
      </c>
      <c r="H267" s="9">
        <v>0.057438195710272</v>
      </c>
      <c r="I267" s="7" t="b">
        <v>1</v>
      </c>
      <c r="J267" s="9">
        <v>0.0</v>
      </c>
      <c r="K267" s="7" t="b">
        <v>0</v>
      </c>
      <c r="L267" s="9">
        <v>32101.0</v>
      </c>
      <c r="M267" s="9">
        <v>0.5499</v>
      </c>
      <c r="N267" s="2" t="s">
        <v>3063</v>
      </c>
      <c r="O267" s="2" t="s">
        <v>3064</v>
      </c>
      <c r="P267" s="9">
        <v>44.32</v>
      </c>
      <c r="Q267" s="9">
        <v>41.0</v>
      </c>
      <c r="R267" s="9">
        <v>0.034927</v>
      </c>
      <c r="S267" s="9">
        <v>0.9035</v>
      </c>
      <c r="T267" s="9">
        <v>0.3591</v>
      </c>
      <c r="U267" s="2" t="s">
        <v>2443</v>
      </c>
      <c r="V267" s="9">
        <v>0.8893</v>
      </c>
      <c r="W267" s="2" t="s">
        <v>157</v>
      </c>
      <c r="X267" s="2" t="s">
        <v>495</v>
      </c>
      <c r="Y267" s="2" t="s">
        <v>2880</v>
      </c>
      <c r="Z267" s="9">
        <v>0.8273</v>
      </c>
      <c r="AA267" s="9">
        <v>0.9035</v>
      </c>
      <c r="AB267" s="9">
        <v>0.8893</v>
      </c>
      <c r="AC267" s="9">
        <v>0.194</v>
      </c>
      <c r="AD267" s="9" t="str">
        <f t="shared" si="1"/>
        <v>#REF!</v>
      </c>
    </row>
    <row r="268" hidden="1">
      <c r="A268" s="2" t="s">
        <v>3049</v>
      </c>
      <c r="B268" s="2" t="s">
        <v>1024</v>
      </c>
      <c r="C268" s="2" t="s">
        <v>1675</v>
      </c>
      <c r="D268" s="2" t="s">
        <v>64</v>
      </c>
      <c r="E268" s="7" t="b">
        <v>1</v>
      </c>
      <c r="F268" s="9">
        <v>262266.0</v>
      </c>
      <c r="G268" s="9">
        <v>10.81949506498334</v>
      </c>
      <c r="H268" s="9">
        <v>0.5371436945696354</v>
      </c>
      <c r="I268" s="7" t="b">
        <v>1</v>
      </c>
      <c r="J268" s="9">
        <v>0.0</v>
      </c>
      <c r="K268" s="7" t="b">
        <v>0</v>
      </c>
      <c r="L268" s="9">
        <v>9084.0</v>
      </c>
      <c r="M268" s="9">
        <v>0.0346</v>
      </c>
      <c r="N268" s="2" t="s">
        <v>3067</v>
      </c>
      <c r="O268" s="2" t="s">
        <v>1749</v>
      </c>
      <c r="P268" s="9">
        <v>46.22</v>
      </c>
      <c r="Q268" s="9">
        <v>42.0</v>
      </c>
      <c r="R268" s="9">
        <v>0.02085</v>
      </c>
      <c r="S268" s="9">
        <v>0.7787</v>
      </c>
      <c r="T268" s="9">
        <v>0.3811</v>
      </c>
      <c r="U268" s="2" t="s">
        <v>515</v>
      </c>
      <c r="V268" s="9">
        <v>0.8871</v>
      </c>
      <c r="W268" s="2" t="s">
        <v>82</v>
      </c>
      <c r="X268" s="2" t="s">
        <v>517</v>
      </c>
      <c r="Y268" s="2" t="s">
        <v>3069</v>
      </c>
      <c r="Z268" s="9">
        <v>0.7121</v>
      </c>
      <c r="AA268" s="9">
        <v>0.7787</v>
      </c>
      <c r="AB268" s="9">
        <v>0.8871</v>
      </c>
      <c r="AC268" s="9">
        <v>0.1883</v>
      </c>
      <c r="AD268" s="9" t="str">
        <f t="shared" si="1"/>
        <v>#REF!</v>
      </c>
    </row>
    <row r="269">
      <c r="A269" s="2" t="s">
        <v>1538</v>
      </c>
      <c r="B269" s="2" t="s">
        <v>306</v>
      </c>
      <c r="C269" s="2" t="s">
        <v>1675</v>
      </c>
      <c r="D269" s="2" t="s">
        <v>64</v>
      </c>
      <c r="E269" s="7" t="b">
        <v>1</v>
      </c>
      <c r="F269" s="9">
        <v>1706.0</v>
      </c>
      <c r="G269" s="9">
        <v>34.19268397163241</v>
      </c>
      <c r="H269" s="9">
        <v>0.6157323622508792</v>
      </c>
      <c r="I269" s="7" t="b">
        <v>1</v>
      </c>
      <c r="J269" s="9">
        <v>0.0</v>
      </c>
      <c r="K269" s="7" t="b">
        <v>0</v>
      </c>
      <c r="L269" s="9">
        <v>1716.0</v>
      </c>
      <c r="M269" s="9">
        <v>1.0059</v>
      </c>
      <c r="N269" s="2" t="s">
        <v>3072</v>
      </c>
      <c r="O269" s="2" t="s">
        <v>3073</v>
      </c>
      <c r="P269" s="9">
        <v>68.0</v>
      </c>
      <c r="Q269" s="9">
        <v>61.0</v>
      </c>
      <c r="R269" s="9">
        <v>0.044369</v>
      </c>
      <c r="S269" s="9">
        <v>0.9109</v>
      </c>
      <c r="T269" s="9">
        <v>0.9901</v>
      </c>
      <c r="U269" s="2" t="s">
        <v>3074</v>
      </c>
      <c r="V269" s="9">
        <v>0.8082</v>
      </c>
      <c r="W269" s="2" t="s">
        <v>82</v>
      </c>
      <c r="X269" s="2" t="s">
        <v>99</v>
      </c>
      <c r="Y269" s="2" t="s">
        <v>1515</v>
      </c>
      <c r="Z269" s="9">
        <v>0.7529</v>
      </c>
      <c r="AA269" s="9">
        <v>0.9109</v>
      </c>
      <c r="AB269" s="9">
        <v>0.8082</v>
      </c>
      <c r="AC269" s="9">
        <v>0.853</v>
      </c>
      <c r="AD269" s="9" t="str">
        <f t="shared" si="1"/>
        <v>#REF!</v>
      </c>
    </row>
    <row r="270" hidden="1">
      <c r="A270" s="2" t="s">
        <v>1538</v>
      </c>
      <c r="B270" s="2" t="s">
        <v>1009</v>
      </c>
      <c r="C270" s="2" t="s">
        <v>1675</v>
      </c>
      <c r="D270" s="2" t="s">
        <v>64</v>
      </c>
      <c r="E270" s="7" t="b">
        <v>1</v>
      </c>
      <c r="F270" s="9">
        <v>326.0</v>
      </c>
      <c r="G270" s="9">
        <v>14.51398719124458</v>
      </c>
      <c r="H270" s="9">
        <v>0.0184946196319018</v>
      </c>
      <c r="I270" s="7" t="b">
        <v>1</v>
      </c>
      <c r="J270" s="9">
        <v>0.0</v>
      </c>
      <c r="K270" s="7" t="b">
        <v>0</v>
      </c>
      <c r="L270" s="9">
        <v>17.0</v>
      </c>
      <c r="M270" s="9">
        <v>0.0521</v>
      </c>
      <c r="N270" s="2" t="s">
        <v>1495</v>
      </c>
      <c r="O270" s="2" t="s">
        <v>2552</v>
      </c>
      <c r="P270" s="9">
        <v>51.24</v>
      </c>
      <c r="Q270" s="9">
        <v>47.0</v>
      </c>
      <c r="R270" s="9">
        <v>0.0</v>
      </c>
      <c r="S270" s="9">
        <v>0.3612</v>
      </c>
      <c r="T270" s="9">
        <v>1.0002</v>
      </c>
      <c r="U270" s="2" t="s">
        <v>3078</v>
      </c>
      <c r="V270" s="15"/>
      <c r="W270" s="2" t="s">
        <v>157</v>
      </c>
      <c r="X270" s="2" t="s">
        <v>182</v>
      </c>
      <c r="Y270" s="2" t="s">
        <v>1491</v>
      </c>
      <c r="Z270" s="9">
        <v>0.2793</v>
      </c>
      <c r="AA270" s="9">
        <v>0.3612</v>
      </c>
      <c r="AB270" s="15"/>
      <c r="AC270" s="9">
        <v>0.155</v>
      </c>
      <c r="AD270" s="9" t="str">
        <f t="shared" si="1"/>
        <v>#REF!</v>
      </c>
    </row>
    <row r="271" hidden="1">
      <c r="A271" s="2" t="s">
        <v>2036</v>
      </c>
      <c r="B271" s="2" t="s">
        <v>1031</v>
      </c>
      <c r="C271" s="2" t="s">
        <v>1675</v>
      </c>
      <c r="D271" s="2" t="s">
        <v>64</v>
      </c>
      <c r="E271" s="7" t="b">
        <v>1</v>
      </c>
      <c r="F271" s="9">
        <v>361.0</v>
      </c>
      <c r="G271" s="9">
        <v>8.398982475283598</v>
      </c>
      <c r="H271" s="9">
        <v>0.0064595842105263</v>
      </c>
      <c r="I271" s="7" t="b">
        <v>1</v>
      </c>
      <c r="J271" s="9">
        <v>0.0</v>
      </c>
      <c r="K271" s="7" t="b">
        <v>0</v>
      </c>
      <c r="L271" s="9">
        <v>186.0</v>
      </c>
      <c r="M271" s="9">
        <v>0.5152</v>
      </c>
      <c r="N271" s="2" t="s">
        <v>2397</v>
      </c>
      <c r="O271" s="2" t="s">
        <v>2655</v>
      </c>
      <c r="P271" s="9">
        <v>42.42</v>
      </c>
      <c r="Q271" s="9">
        <v>40.0</v>
      </c>
      <c r="R271" s="9">
        <v>0.04</v>
      </c>
      <c r="S271" s="9">
        <v>0.6645</v>
      </c>
      <c r="T271" s="9">
        <v>0.9854</v>
      </c>
      <c r="U271" s="2" t="s">
        <v>930</v>
      </c>
      <c r="V271" s="9">
        <v>0.0</v>
      </c>
      <c r="W271" s="2" t="s">
        <v>82</v>
      </c>
      <c r="X271" s="2" t="s">
        <v>237</v>
      </c>
      <c r="Y271" s="2" t="s">
        <v>1810</v>
      </c>
      <c r="Z271" s="9">
        <v>0.5181</v>
      </c>
      <c r="AA271" s="9">
        <v>0.6645</v>
      </c>
      <c r="AB271" s="9">
        <v>0.0</v>
      </c>
      <c r="AC271" s="9">
        <v>0.8658</v>
      </c>
      <c r="AD271" s="9" t="str">
        <f t="shared" si="1"/>
        <v>#REF!</v>
      </c>
    </row>
    <row r="272" hidden="1">
      <c r="A272" s="2" t="s">
        <v>3086</v>
      </c>
      <c r="B272" s="2" t="s">
        <v>48</v>
      </c>
      <c r="C272" s="2" t="s">
        <v>1675</v>
      </c>
      <c r="D272" s="2" t="s">
        <v>64</v>
      </c>
      <c r="E272" s="7" t="b">
        <v>1</v>
      </c>
      <c r="F272" s="9">
        <v>166.0</v>
      </c>
      <c r="G272" s="9">
        <v>12.32141998438228</v>
      </c>
      <c r="H272" s="9">
        <v>0.0017287807228915</v>
      </c>
      <c r="I272" s="7" t="b">
        <v>1</v>
      </c>
      <c r="J272" s="9">
        <v>0.0</v>
      </c>
      <c r="K272" s="7" t="b">
        <v>0</v>
      </c>
      <c r="L272" s="9">
        <v>4.0</v>
      </c>
      <c r="M272" s="9">
        <v>0.0241</v>
      </c>
      <c r="N272" s="2" t="s">
        <v>175</v>
      </c>
      <c r="O272" s="2" t="s">
        <v>177</v>
      </c>
      <c r="P272" s="9">
        <v>33.75</v>
      </c>
      <c r="Q272" s="9">
        <v>33.5</v>
      </c>
      <c r="R272" s="9">
        <v>0.0</v>
      </c>
      <c r="S272" s="9">
        <v>0.1735</v>
      </c>
      <c r="T272" s="9">
        <v>1.0</v>
      </c>
      <c r="U272" s="2" t="s">
        <v>3089</v>
      </c>
      <c r="V272" s="15"/>
      <c r="W272" s="2" t="s">
        <v>82</v>
      </c>
      <c r="X272" s="2" t="s">
        <v>1455</v>
      </c>
      <c r="Y272" s="2" t="s">
        <v>1542</v>
      </c>
      <c r="Z272" s="9">
        <v>0.1347</v>
      </c>
      <c r="AA272" s="9">
        <v>0.1735</v>
      </c>
      <c r="AB272" s="15"/>
      <c r="AC272" s="9">
        <v>0.0</v>
      </c>
      <c r="AD272" s="9" t="str">
        <f t="shared" si="1"/>
        <v>#REF!</v>
      </c>
    </row>
    <row r="273" hidden="1">
      <c r="A273" s="2" t="s">
        <v>3090</v>
      </c>
      <c r="B273" s="2" t="s">
        <v>526</v>
      </c>
      <c r="C273" s="2" t="s">
        <v>1316</v>
      </c>
      <c r="D273" s="2" t="s">
        <v>64</v>
      </c>
      <c r="E273" s="7" t="b">
        <v>1</v>
      </c>
      <c r="F273" s="9">
        <v>373.0</v>
      </c>
      <c r="G273" s="9">
        <v>13.23002923667949</v>
      </c>
      <c r="H273" s="9">
        <v>0.0010221757908847</v>
      </c>
      <c r="I273" s="7" t="b">
        <v>1</v>
      </c>
      <c r="J273" s="9">
        <v>0.0</v>
      </c>
      <c r="K273" s="7" t="b">
        <v>0</v>
      </c>
      <c r="L273" s="9">
        <v>1579.0</v>
      </c>
      <c r="M273" s="9">
        <v>4.2332</v>
      </c>
      <c r="N273" s="2" t="s">
        <v>3093</v>
      </c>
      <c r="O273" s="2" t="s">
        <v>3094</v>
      </c>
      <c r="P273" s="9">
        <v>67.98</v>
      </c>
      <c r="Q273" s="9">
        <v>74.0</v>
      </c>
      <c r="R273" s="9">
        <v>0.025751</v>
      </c>
      <c r="S273" s="9">
        <v>0.704</v>
      </c>
      <c r="T273" s="9">
        <v>0.7194</v>
      </c>
      <c r="U273" s="2" t="s">
        <v>3095</v>
      </c>
      <c r="V273" s="9">
        <v>0.1721</v>
      </c>
      <c r="W273" s="2" t="s">
        <v>82</v>
      </c>
      <c r="X273" s="2" t="s">
        <v>517</v>
      </c>
      <c r="Y273" s="2" t="s">
        <v>3098</v>
      </c>
      <c r="Z273" s="9">
        <v>0.6235</v>
      </c>
      <c r="AA273" s="9">
        <v>0.704</v>
      </c>
      <c r="AB273" s="9">
        <v>0.1721</v>
      </c>
      <c r="AC273" s="9">
        <v>0.2163</v>
      </c>
      <c r="AD273" s="9" t="str">
        <f t="shared" si="1"/>
        <v>#REF!</v>
      </c>
    </row>
    <row r="274" hidden="1">
      <c r="A274" s="2" t="s">
        <v>3090</v>
      </c>
      <c r="B274" s="2" t="s">
        <v>558</v>
      </c>
      <c r="C274" s="2" t="s">
        <v>1316</v>
      </c>
      <c r="D274" s="2" t="s">
        <v>64</v>
      </c>
      <c r="E274" s="7" t="b">
        <v>1</v>
      </c>
      <c r="F274" s="9">
        <v>470.0</v>
      </c>
      <c r="G274" s="9">
        <v>11.41980456667361</v>
      </c>
      <c r="H274" s="9">
        <v>0.0010396685106382</v>
      </c>
      <c r="I274" s="7" t="b">
        <v>1</v>
      </c>
      <c r="J274" s="9">
        <v>0.0</v>
      </c>
      <c r="K274" s="7" t="b">
        <v>0</v>
      </c>
      <c r="L274" s="9">
        <v>1709.0</v>
      </c>
      <c r="M274" s="9">
        <v>3.6362</v>
      </c>
      <c r="N274" s="2" t="s">
        <v>3100</v>
      </c>
      <c r="O274" s="2" t="s">
        <v>3101</v>
      </c>
      <c r="P274" s="9">
        <v>67.58</v>
      </c>
      <c r="Q274" s="9">
        <v>74.0</v>
      </c>
      <c r="R274" s="9">
        <v>0.034615</v>
      </c>
      <c r="S274" s="9">
        <v>0.7126</v>
      </c>
      <c r="T274" s="9">
        <v>0.6838</v>
      </c>
      <c r="U274" s="2" t="s">
        <v>3103</v>
      </c>
      <c r="V274" s="9">
        <v>0.1413</v>
      </c>
      <c r="W274" s="2" t="s">
        <v>82</v>
      </c>
      <c r="X274" s="2" t="s">
        <v>517</v>
      </c>
      <c r="Y274" s="2" t="s">
        <v>3098</v>
      </c>
      <c r="Z274" s="9">
        <v>0.6316</v>
      </c>
      <c r="AA274" s="9">
        <v>0.7126</v>
      </c>
      <c r="AB274" s="9">
        <v>0.1413</v>
      </c>
      <c r="AC274" s="9">
        <v>0.1941</v>
      </c>
      <c r="AD274" s="9" t="str">
        <f t="shared" si="1"/>
        <v>#REF!</v>
      </c>
    </row>
    <row r="275" hidden="1">
      <c r="A275" s="2" t="s">
        <v>3106</v>
      </c>
      <c r="B275" s="2" t="s">
        <v>63</v>
      </c>
      <c r="C275" s="2" t="s">
        <v>1675</v>
      </c>
      <c r="D275" s="2" t="s">
        <v>64</v>
      </c>
      <c r="E275" s="7" t="b">
        <v>1</v>
      </c>
      <c r="F275" s="9">
        <v>59.0</v>
      </c>
      <c r="G275" s="9">
        <v>2.75084269709128</v>
      </c>
      <c r="H275" s="9">
        <v>0.0010746915254237</v>
      </c>
      <c r="I275" s="7" t="b">
        <v>1</v>
      </c>
      <c r="J275" s="9">
        <v>0.0</v>
      </c>
      <c r="K275" s="7" t="b">
        <v>0</v>
      </c>
      <c r="L275" s="9">
        <v>2164.0</v>
      </c>
      <c r="M275" s="9">
        <v>36.678</v>
      </c>
      <c r="N275" s="2" t="s">
        <v>3109</v>
      </c>
      <c r="O275" s="2" t="s">
        <v>3111</v>
      </c>
      <c r="P275" s="9">
        <v>43.02</v>
      </c>
      <c r="Q275" s="9">
        <v>39.0</v>
      </c>
      <c r="R275" s="9">
        <v>0.006211</v>
      </c>
      <c r="S275" s="9">
        <v>0.7055</v>
      </c>
      <c r="T275" s="9">
        <v>0.4262</v>
      </c>
      <c r="U275" s="2" t="s">
        <v>3005</v>
      </c>
      <c r="V275" s="9">
        <v>0.874</v>
      </c>
      <c r="W275" s="2" t="s">
        <v>1094</v>
      </c>
      <c r="X275" s="2" t="s">
        <v>1466</v>
      </c>
      <c r="Y275" s="2" t="s">
        <v>3114</v>
      </c>
      <c r="Z275" s="9">
        <v>0.6035</v>
      </c>
      <c r="AA275" s="9">
        <v>0.7055</v>
      </c>
      <c r="AB275" s="9">
        <v>0.874</v>
      </c>
      <c r="AC275" s="9">
        <v>0.1642</v>
      </c>
      <c r="AD275" s="9" t="str">
        <f t="shared" si="1"/>
        <v>#REF!</v>
      </c>
    </row>
    <row r="276" hidden="1">
      <c r="A276" s="2" t="s">
        <v>3106</v>
      </c>
      <c r="B276" s="2" t="s">
        <v>501</v>
      </c>
      <c r="C276" s="2" t="s">
        <v>1675</v>
      </c>
      <c r="D276" s="2" t="s">
        <v>64</v>
      </c>
      <c r="E276" s="7" t="b">
        <v>1</v>
      </c>
      <c r="F276" s="9">
        <v>533.0</v>
      </c>
      <c r="G276" s="9">
        <v>4.594303260927977</v>
      </c>
      <c r="H276" s="9">
        <v>0.0014940647279549</v>
      </c>
      <c r="I276" s="7" t="b">
        <v>1</v>
      </c>
      <c r="J276" s="9">
        <v>0.0</v>
      </c>
      <c r="K276" s="7" t="b">
        <v>0</v>
      </c>
      <c r="L276" s="9">
        <v>2650.0</v>
      </c>
      <c r="M276" s="9">
        <v>4.9719</v>
      </c>
      <c r="N276" s="2" t="s">
        <v>3116</v>
      </c>
      <c r="O276" s="2" t="s">
        <v>2799</v>
      </c>
      <c r="P276" s="9">
        <v>50.94</v>
      </c>
      <c r="Q276" s="9">
        <v>43.0</v>
      </c>
      <c r="R276" s="9">
        <v>0.011166</v>
      </c>
      <c r="S276" s="9">
        <v>0.5226</v>
      </c>
      <c r="T276" s="9">
        <v>0.2907</v>
      </c>
      <c r="U276" s="2" t="s">
        <v>515</v>
      </c>
      <c r="V276" s="9">
        <v>0.8499</v>
      </c>
      <c r="W276" s="15"/>
      <c r="X276" s="2" t="s">
        <v>517</v>
      </c>
      <c r="Y276" s="2" t="s">
        <v>1593</v>
      </c>
      <c r="Z276" s="9">
        <v>0.5063</v>
      </c>
      <c r="AA276" s="9">
        <v>0.5226</v>
      </c>
      <c r="AB276" s="9">
        <v>0.8499</v>
      </c>
      <c r="AC276" s="9">
        <v>0.1858</v>
      </c>
      <c r="AD276" s="9" t="str">
        <f t="shared" si="1"/>
        <v>#REF!</v>
      </c>
    </row>
    <row r="277" hidden="1">
      <c r="A277" s="2" t="s">
        <v>3106</v>
      </c>
      <c r="B277" s="2" t="s">
        <v>1040</v>
      </c>
      <c r="C277" s="2" t="s">
        <v>1675</v>
      </c>
      <c r="D277" s="2" t="s">
        <v>64</v>
      </c>
      <c r="E277" s="7" t="b">
        <v>1</v>
      </c>
      <c r="F277" s="9">
        <v>713.0</v>
      </c>
      <c r="G277" s="9">
        <v>3.333026335115425</v>
      </c>
      <c r="H277" s="9">
        <v>0.0019122875175315</v>
      </c>
      <c r="I277" s="7" t="b">
        <v>1</v>
      </c>
      <c r="J277" s="9">
        <v>0.0</v>
      </c>
      <c r="K277" s="7" t="b">
        <v>0</v>
      </c>
      <c r="L277" s="9">
        <v>3165.0</v>
      </c>
      <c r="M277" s="9">
        <v>4.439</v>
      </c>
      <c r="N277" s="2" t="s">
        <v>3122</v>
      </c>
      <c r="O277" s="2" t="s">
        <v>3123</v>
      </c>
      <c r="P277" s="9">
        <v>44.69</v>
      </c>
      <c r="Q277" s="9">
        <v>40.0</v>
      </c>
      <c r="R277" s="9">
        <v>0.016915</v>
      </c>
      <c r="S277" s="9">
        <v>0.7371</v>
      </c>
      <c r="T277" s="9">
        <v>0.5866</v>
      </c>
      <c r="U277" s="2" t="s">
        <v>2193</v>
      </c>
      <c r="V277" s="9">
        <v>0.4896</v>
      </c>
      <c r="W277" s="2" t="s">
        <v>1884</v>
      </c>
      <c r="X277" s="2" t="s">
        <v>1466</v>
      </c>
      <c r="Y277" s="2" t="s">
        <v>1582</v>
      </c>
      <c r="Z277" s="9">
        <v>0.6487</v>
      </c>
      <c r="AA277" s="9">
        <v>0.7371</v>
      </c>
      <c r="AB277" s="9">
        <v>0.4896</v>
      </c>
      <c r="AC277" s="9">
        <v>0.1693</v>
      </c>
      <c r="AD277" s="9" t="str">
        <f t="shared" si="1"/>
        <v>#REF!</v>
      </c>
    </row>
    <row r="278" hidden="1">
      <c r="A278" s="2" t="s">
        <v>3106</v>
      </c>
      <c r="B278" s="2" t="s">
        <v>1047</v>
      </c>
      <c r="C278" s="2" t="s">
        <v>1675</v>
      </c>
      <c r="D278" s="2" t="s">
        <v>64</v>
      </c>
      <c r="E278" s="7" t="b">
        <v>1</v>
      </c>
      <c r="F278" s="9">
        <v>74.0</v>
      </c>
      <c r="G278" s="9">
        <v>4.159461952926207</v>
      </c>
      <c r="H278" s="9">
        <v>0.0022867351351351</v>
      </c>
      <c r="I278" s="7" t="b">
        <v>1</v>
      </c>
      <c r="J278" s="9">
        <v>0.0</v>
      </c>
      <c r="K278" s="7" t="b">
        <v>0</v>
      </c>
      <c r="L278" s="9">
        <v>3025.0</v>
      </c>
      <c r="M278" s="9">
        <v>40.8784</v>
      </c>
      <c r="N278" s="2" t="s">
        <v>3128</v>
      </c>
      <c r="O278" s="2" t="s">
        <v>601</v>
      </c>
      <c r="P278" s="9">
        <v>44.5</v>
      </c>
      <c r="Q278" s="9">
        <v>40.0</v>
      </c>
      <c r="R278" s="9">
        <v>0.019334</v>
      </c>
      <c r="S278" s="9">
        <v>0.7371</v>
      </c>
      <c r="T278" s="9">
        <v>0.5682</v>
      </c>
      <c r="U278" s="2" t="s">
        <v>3131</v>
      </c>
      <c r="V278" s="9">
        <v>0.4912</v>
      </c>
      <c r="W278" s="2" t="s">
        <v>1600</v>
      </c>
      <c r="X278" s="2" t="s">
        <v>1466</v>
      </c>
      <c r="Y278" s="2" t="s">
        <v>1582</v>
      </c>
      <c r="Z278" s="9">
        <v>0.6519</v>
      </c>
      <c r="AA278" s="9">
        <v>0.7371</v>
      </c>
      <c r="AB278" s="9">
        <v>0.4912</v>
      </c>
      <c r="AC278" s="9">
        <v>0.173</v>
      </c>
      <c r="AD278" s="9" t="str">
        <f t="shared" si="1"/>
        <v>#REF!</v>
      </c>
    </row>
    <row r="279" hidden="1">
      <c r="A279" s="2" t="s">
        <v>3106</v>
      </c>
      <c r="B279" s="2" t="s">
        <v>1053</v>
      </c>
      <c r="C279" s="2" t="s">
        <v>1675</v>
      </c>
      <c r="D279" s="2" t="s">
        <v>64</v>
      </c>
      <c r="E279" s="7" t="b">
        <v>1</v>
      </c>
      <c r="F279" s="9">
        <v>101.0</v>
      </c>
      <c r="G279" s="9">
        <v>2.688885405553737</v>
      </c>
      <c r="H279" s="9">
        <v>0.001209303960396</v>
      </c>
      <c r="I279" s="7" t="b">
        <v>1</v>
      </c>
      <c r="J279" s="9">
        <v>0.0</v>
      </c>
      <c r="K279" s="7" t="b">
        <v>0</v>
      </c>
      <c r="L279" s="9">
        <v>3100.0</v>
      </c>
      <c r="M279" s="9">
        <v>30.6931</v>
      </c>
      <c r="N279" s="2" t="s">
        <v>2673</v>
      </c>
      <c r="O279" s="2" t="s">
        <v>3136</v>
      </c>
      <c r="P279" s="9">
        <v>44.59</v>
      </c>
      <c r="Q279" s="9">
        <v>40.0</v>
      </c>
      <c r="R279" s="9">
        <v>0.017365</v>
      </c>
      <c r="S279" s="9">
        <v>0.7417</v>
      </c>
      <c r="T279" s="9">
        <v>0.5898</v>
      </c>
      <c r="U279" s="2" t="s">
        <v>2193</v>
      </c>
      <c r="V279" s="9">
        <v>0.4957</v>
      </c>
      <c r="W279" s="2" t="s">
        <v>1771</v>
      </c>
      <c r="X279" s="2" t="s">
        <v>1466</v>
      </c>
      <c r="Y279" s="2" t="s">
        <v>1582</v>
      </c>
      <c r="Z279" s="9">
        <v>0.6553</v>
      </c>
      <c r="AA279" s="9">
        <v>0.7417</v>
      </c>
      <c r="AB279" s="9">
        <v>0.4957</v>
      </c>
      <c r="AC279" s="9">
        <v>0.168</v>
      </c>
      <c r="AD279" s="9" t="str">
        <f t="shared" si="1"/>
        <v>#REF!</v>
      </c>
    </row>
    <row r="280">
      <c r="A280" s="2" t="s">
        <v>2070</v>
      </c>
      <c r="B280" s="2" t="s">
        <v>306</v>
      </c>
      <c r="C280" s="2" t="s">
        <v>1316</v>
      </c>
      <c r="D280" s="2" t="s">
        <v>64</v>
      </c>
      <c r="E280" s="7" t="b">
        <v>1</v>
      </c>
      <c r="F280" s="9">
        <v>64.0</v>
      </c>
      <c r="G280" s="9">
        <v>14.82152089103438</v>
      </c>
      <c r="H280" s="9">
        <v>0.00521441875</v>
      </c>
      <c r="I280" s="7" t="b">
        <v>1</v>
      </c>
      <c r="J280" s="9">
        <v>0.0</v>
      </c>
      <c r="K280" s="7" t="b">
        <v>0</v>
      </c>
      <c r="L280" s="9">
        <v>70.0</v>
      </c>
      <c r="M280" s="9">
        <v>1.0938</v>
      </c>
      <c r="N280" s="2" t="s">
        <v>2651</v>
      </c>
      <c r="O280" s="2" t="s">
        <v>2172</v>
      </c>
      <c r="P280" s="9">
        <v>43.97</v>
      </c>
      <c r="Q280" s="9">
        <v>41.0</v>
      </c>
      <c r="R280" s="9">
        <v>0.142857</v>
      </c>
      <c r="S280" s="9">
        <v>0.5601</v>
      </c>
      <c r="T280" s="9">
        <v>1.0009</v>
      </c>
      <c r="U280" s="2" t="s">
        <v>3142</v>
      </c>
      <c r="V280" s="9">
        <v>0.0</v>
      </c>
      <c r="W280" s="2" t="s">
        <v>82</v>
      </c>
      <c r="X280" s="2" t="s">
        <v>237</v>
      </c>
      <c r="Y280" s="2" t="s">
        <v>1810</v>
      </c>
      <c r="Z280" s="9">
        <v>0.4323</v>
      </c>
      <c r="AA280" s="9">
        <v>0.5601</v>
      </c>
      <c r="AB280" s="9">
        <v>0.0</v>
      </c>
      <c r="AC280" s="9">
        <v>0.8861</v>
      </c>
      <c r="AD280" s="9" t="str">
        <f t="shared" si="1"/>
        <v>#REF!</v>
      </c>
    </row>
    <row r="281">
      <c r="A281" s="2" t="s">
        <v>2010</v>
      </c>
      <c r="B281" s="2" t="s">
        <v>306</v>
      </c>
      <c r="C281" s="2" t="s">
        <v>1675</v>
      </c>
      <c r="D281" s="2" t="s">
        <v>64</v>
      </c>
      <c r="E281" s="7" t="b">
        <v>1</v>
      </c>
      <c r="F281" s="9">
        <v>72.0</v>
      </c>
      <c r="G281" s="9">
        <v>30.28204021697657</v>
      </c>
      <c r="H281" s="9">
        <v>0.0243837166666666</v>
      </c>
      <c r="I281" s="7" t="b">
        <v>1</v>
      </c>
      <c r="J281" s="9">
        <v>0.0</v>
      </c>
      <c r="K281" s="7" t="b">
        <v>0</v>
      </c>
      <c r="L281" s="9">
        <v>82.0</v>
      </c>
      <c r="M281" s="9">
        <v>1.1389</v>
      </c>
      <c r="N281" s="2" t="s">
        <v>1784</v>
      </c>
      <c r="O281" s="2" t="s">
        <v>310</v>
      </c>
      <c r="P281" s="9">
        <v>62.45</v>
      </c>
      <c r="Q281" s="9">
        <v>58.0</v>
      </c>
      <c r="R281" s="9">
        <v>0.0</v>
      </c>
      <c r="S281" s="9">
        <v>0.5621</v>
      </c>
      <c r="T281" s="9">
        <v>0.9596</v>
      </c>
      <c r="U281" s="2" t="s">
        <v>315</v>
      </c>
      <c r="V281" s="9">
        <v>0.0</v>
      </c>
      <c r="W281" s="2" t="s">
        <v>82</v>
      </c>
      <c r="X281" s="2" t="s">
        <v>495</v>
      </c>
      <c r="Y281" s="2" t="s">
        <v>1408</v>
      </c>
      <c r="Z281" s="9">
        <v>0.4335</v>
      </c>
      <c r="AA281" s="9">
        <v>0.5621</v>
      </c>
      <c r="AB281" s="9">
        <v>0.0</v>
      </c>
      <c r="AC281" s="9">
        <v>0.8526</v>
      </c>
      <c r="AD281" s="9" t="str">
        <f t="shared" si="1"/>
        <v>#REF!</v>
      </c>
    </row>
    <row r="282" hidden="1">
      <c r="A282" s="2" t="s">
        <v>3149</v>
      </c>
      <c r="B282" s="2" t="s">
        <v>942</v>
      </c>
      <c r="C282" s="2" t="s">
        <v>1675</v>
      </c>
      <c r="D282" s="2" t="s">
        <v>64</v>
      </c>
      <c r="E282" s="7" t="b">
        <v>1</v>
      </c>
      <c r="F282" s="9">
        <v>1490.0</v>
      </c>
      <c r="G282" s="9">
        <v>3.4219330444829</v>
      </c>
      <c r="H282" s="9">
        <v>0.0012325315436241</v>
      </c>
      <c r="I282" s="7" t="b">
        <v>1</v>
      </c>
      <c r="J282" s="9">
        <v>0.0</v>
      </c>
      <c r="K282" s="7" t="b">
        <v>0</v>
      </c>
      <c r="L282" s="9">
        <v>7021.0</v>
      </c>
      <c r="M282" s="9">
        <v>4.7121</v>
      </c>
      <c r="N282" s="2" t="s">
        <v>3152</v>
      </c>
      <c r="O282" s="2" t="s">
        <v>3153</v>
      </c>
      <c r="P282" s="9">
        <v>50.34</v>
      </c>
      <c r="Q282" s="9">
        <v>45.0</v>
      </c>
      <c r="R282" s="9">
        <v>0.012636</v>
      </c>
      <c r="S282" s="9">
        <v>0.8229</v>
      </c>
      <c r="T282" s="9">
        <v>0.6005</v>
      </c>
      <c r="U282" s="2" t="s">
        <v>2751</v>
      </c>
      <c r="V282" s="9">
        <v>0.8395</v>
      </c>
      <c r="W282" s="2" t="s">
        <v>2760</v>
      </c>
      <c r="X282" s="2" t="s">
        <v>495</v>
      </c>
      <c r="Y282" s="2" t="s">
        <v>2889</v>
      </c>
      <c r="Z282" s="9">
        <v>0.7411</v>
      </c>
      <c r="AA282" s="9">
        <v>0.8229</v>
      </c>
      <c r="AB282" s="9">
        <v>0.8395</v>
      </c>
      <c r="AC282" s="9">
        <v>0.1708</v>
      </c>
      <c r="AD282" s="9" t="str">
        <f t="shared" si="1"/>
        <v>#REF!</v>
      </c>
    </row>
    <row r="283" hidden="1">
      <c r="A283" s="2" t="s">
        <v>3157</v>
      </c>
      <c r="B283" s="2" t="s">
        <v>441</v>
      </c>
      <c r="C283" s="2" t="s">
        <v>1675</v>
      </c>
      <c r="D283" s="2" t="s">
        <v>64</v>
      </c>
      <c r="E283" s="7" t="b">
        <v>1</v>
      </c>
      <c r="F283" s="9">
        <v>141.0</v>
      </c>
      <c r="G283" s="9">
        <v>5.624432416599772</v>
      </c>
      <c r="H283" s="9">
        <v>0.0015682723404255</v>
      </c>
      <c r="I283" s="7" t="b">
        <v>1</v>
      </c>
      <c r="J283" s="9">
        <v>0.0</v>
      </c>
      <c r="K283" s="7" t="b">
        <v>0</v>
      </c>
      <c r="L283" s="9">
        <v>41.0</v>
      </c>
      <c r="M283" s="9">
        <v>0.2908</v>
      </c>
      <c r="N283" s="2" t="s">
        <v>2619</v>
      </c>
      <c r="O283" s="2" t="s">
        <v>1462</v>
      </c>
      <c r="P283" s="9">
        <v>50.8</v>
      </c>
      <c r="Q283" s="9">
        <v>40.0</v>
      </c>
      <c r="R283" s="9">
        <v>0.0</v>
      </c>
      <c r="S283" s="9">
        <v>0.3769</v>
      </c>
      <c r="T283" s="9">
        <v>0.8452</v>
      </c>
      <c r="U283" s="2" t="s">
        <v>3162</v>
      </c>
      <c r="V283" s="9">
        <v>0.675</v>
      </c>
      <c r="W283" s="2" t="s">
        <v>1884</v>
      </c>
      <c r="X283" s="2" t="s">
        <v>1466</v>
      </c>
      <c r="Y283" s="2" t="s">
        <v>3164</v>
      </c>
      <c r="Z283" s="9">
        <v>0.3132</v>
      </c>
      <c r="AA283" s="9">
        <v>0.3769</v>
      </c>
      <c r="AB283" s="9">
        <v>0.675</v>
      </c>
      <c r="AC283" s="9">
        <v>0.0422</v>
      </c>
      <c r="AD283" s="9" t="str">
        <f t="shared" si="1"/>
        <v>#REF!</v>
      </c>
    </row>
    <row r="284" hidden="1">
      <c r="A284" s="2" t="s">
        <v>3157</v>
      </c>
      <c r="B284" s="2" t="s">
        <v>534</v>
      </c>
      <c r="C284" s="2" t="s">
        <v>1675</v>
      </c>
      <c r="D284" s="2" t="s">
        <v>64</v>
      </c>
      <c r="E284" s="7" t="b">
        <v>1</v>
      </c>
      <c r="F284" s="9">
        <v>393.0</v>
      </c>
      <c r="G284" s="9">
        <v>17.22046934596831</v>
      </c>
      <c r="H284" s="9">
        <v>0.0078819366412213</v>
      </c>
      <c r="I284" s="7" t="b">
        <v>1</v>
      </c>
      <c r="J284" s="9">
        <v>0.0</v>
      </c>
      <c r="K284" s="7" t="b">
        <v>0</v>
      </c>
      <c r="L284" s="9">
        <v>158.0</v>
      </c>
      <c r="M284" s="9">
        <v>0.402</v>
      </c>
      <c r="N284" s="2" t="s">
        <v>509</v>
      </c>
      <c r="O284" s="2" t="s">
        <v>1267</v>
      </c>
      <c r="P284" s="9">
        <v>75.49</v>
      </c>
      <c r="Q284" s="9">
        <v>85.0</v>
      </c>
      <c r="R284" s="9">
        <v>0.0</v>
      </c>
      <c r="S284" s="9">
        <v>0.605</v>
      </c>
      <c r="T284" s="9">
        <v>0.9616</v>
      </c>
      <c r="U284" s="2" t="s">
        <v>2333</v>
      </c>
      <c r="V284" s="15"/>
      <c r="W284" s="2" t="s">
        <v>1657</v>
      </c>
      <c r="X284" s="2" t="s">
        <v>182</v>
      </c>
      <c r="Y284" s="2" t="s">
        <v>3170</v>
      </c>
      <c r="Z284" s="9">
        <v>0.4787</v>
      </c>
      <c r="AA284" s="9">
        <v>0.605</v>
      </c>
      <c r="AB284" s="15"/>
      <c r="AC284" s="9">
        <v>0.7272</v>
      </c>
      <c r="AD284" s="9" t="str">
        <f t="shared" si="1"/>
        <v>#REF!</v>
      </c>
    </row>
    <row r="285" hidden="1">
      <c r="A285" s="2" t="s">
        <v>3157</v>
      </c>
      <c r="B285" s="2" t="s">
        <v>542</v>
      </c>
      <c r="C285" s="2" t="s">
        <v>1675</v>
      </c>
      <c r="D285" s="2" t="s">
        <v>64</v>
      </c>
      <c r="E285" s="7" t="b">
        <v>1</v>
      </c>
      <c r="F285" s="9">
        <v>147.0</v>
      </c>
      <c r="G285" s="9">
        <v>13.83437949350996</v>
      </c>
      <c r="H285" s="9">
        <v>0.0038202142857142</v>
      </c>
      <c r="I285" s="7" t="b">
        <v>1</v>
      </c>
      <c r="J285" s="9">
        <v>0.0</v>
      </c>
      <c r="K285" s="7" t="b">
        <v>0</v>
      </c>
      <c r="L285" s="9">
        <v>224.0</v>
      </c>
      <c r="M285" s="9">
        <v>1.5238</v>
      </c>
      <c r="N285" s="2" t="s">
        <v>1365</v>
      </c>
      <c r="O285" s="2" t="s">
        <v>3174</v>
      </c>
      <c r="P285" s="9">
        <v>75.62</v>
      </c>
      <c r="Q285" s="9">
        <v>79.5</v>
      </c>
      <c r="R285" s="9">
        <v>0.0</v>
      </c>
      <c r="S285" s="9">
        <v>0.6623</v>
      </c>
      <c r="T285" s="9">
        <v>0.9704</v>
      </c>
      <c r="U285" s="2" t="s">
        <v>3103</v>
      </c>
      <c r="V285" s="9">
        <v>0.0078</v>
      </c>
      <c r="W285" s="2" t="s">
        <v>1884</v>
      </c>
      <c r="X285" s="2" t="s">
        <v>1466</v>
      </c>
      <c r="Y285" s="2" t="s">
        <v>1456</v>
      </c>
      <c r="Z285" s="9">
        <v>0.5349</v>
      </c>
      <c r="AA285" s="9">
        <v>0.6623</v>
      </c>
      <c r="AB285" s="9">
        <v>0.0078</v>
      </c>
      <c r="AC285" s="9">
        <v>0.1288</v>
      </c>
      <c r="AD285" s="9" t="str">
        <f t="shared" si="1"/>
        <v>#REF!</v>
      </c>
    </row>
    <row r="286" hidden="1">
      <c r="A286" s="2" t="s">
        <v>3157</v>
      </c>
      <c r="B286" s="2" t="s">
        <v>982</v>
      </c>
      <c r="C286" s="2" t="s">
        <v>1675</v>
      </c>
      <c r="D286" s="2" t="s">
        <v>64</v>
      </c>
      <c r="E286" s="7" t="b">
        <v>1</v>
      </c>
      <c r="F286" s="9">
        <v>78.0</v>
      </c>
      <c r="G286" s="9">
        <v>18.48353058640963</v>
      </c>
      <c r="H286" s="9">
        <v>0.0127800884615384</v>
      </c>
      <c r="I286" s="7" t="b">
        <v>1</v>
      </c>
      <c r="J286" s="9">
        <v>0.0</v>
      </c>
      <c r="K286" s="7" t="b">
        <v>0</v>
      </c>
      <c r="L286" s="9">
        <v>40.0</v>
      </c>
      <c r="M286" s="9">
        <v>0.5128</v>
      </c>
      <c r="N286" s="2" t="s">
        <v>2162</v>
      </c>
      <c r="O286" s="2" t="s">
        <v>1985</v>
      </c>
      <c r="P286" s="9">
        <v>61.12</v>
      </c>
      <c r="Q286" s="9">
        <v>47.5</v>
      </c>
      <c r="R286" s="9">
        <v>0.111111</v>
      </c>
      <c r="S286" s="9">
        <v>0.406</v>
      </c>
      <c r="T286" s="9">
        <v>0.8504</v>
      </c>
      <c r="U286" s="2" t="s">
        <v>2506</v>
      </c>
      <c r="V286" s="9">
        <v>0.55</v>
      </c>
      <c r="W286" s="2" t="s">
        <v>1875</v>
      </c>
      <c r="X286" s="2" t="s">
        <v>495</v>
      </c>
      <c r="Y286" s="2" t="s">
        <v>1980</v>
      </c>
      <c r="Z286" s="9">
        <v>0.3444</v>
      </c>
      <c r="AA286" s="9">
        <v>0.406</v>
      </c>
      <c r="AB286" s="9">
        <v>0.55</v>
      </c>
      <c r="AC286" s="9">
        <v>0.2063</v>
      </c>
      <c r="AD286" s="9" t="str">
        <f t="shared" si="1"/>
        <v>#REF!</v>
      </c>
    </row>
    <row r="287" hidden="1">
      <c r="A287" s="2" t="s">
        <v>3157</v>
      </c>
      <c r="B287" s="2" t="s">
        <v>997</v>
      </c>
      <c r="C287" s="2" t="s">
        <v>1675</v>
      </c>
      <c r="D287" s="2" t="s">
        <v>64</v>
      </c>
      <c r="E287" s="7" t="b">
        <v>1</v>
      </c>
      <c r="F287" s="9">
        <v>1379.0</v>
      </c>
      <c r="G287" s="9">
        <v>15.555097407004</v>
      </c>
      <c r="H287" s="9">
        <v>0.0222628752719361</v>
      </c>
      <c r="I287" s="7" t="b">
        <v>1</v>
      </c>
      <c r="J287" s="9">
        <v>0.0</v>
      </c>
      <c r="K287" s="7" t="b">
        <v>0</v>
      </c>
      <c r="L287" s="9">
        <v>427.0</v>
      </c>
      <c r="M287" s="9">
        <v>0.3096</v>
      </c>
      <c r="N287" s="2" t="s">
        <v>3183</v>
      </c>
      <c r="O287" s="2" t="s">
        <v>3184</v>
      </c>
      <c r="P287" s="9">
        <v>72.8</v>
      </c>
      <c r="Q287" s="9">
        <v>76.0</v>
      </c>
      <c r="R287" s="9">
        <v>0.0</v>
      </c>
      <c r="S287" s="9">
        <v>0.7192</v>
      </c>
      <c r="T287" s="9">
        <v>0.9848</v>
      </c>
      <c r="U287" s="2" t="s">
        <v>2303</v>
      </c>
      <c r="V287" s="9">
        <v>0.1647</v>
      </c>
      <c r="W287" s="2" t="s">
        <v>157</v>
      </c>
      <c r="X287" s="2" t="s">
        <v>1466</v>
      </c>
      <c r="Y287" s="2" t="s">
        <v>2849</v>
      </c>
      <c r="Z287" s="9">
        <v>0.5764</v>
      </c>
      <c r="AA287" s="9">
        <v>0.7192</v>
      </c>
      <c r="AB287" s="9">
        <v>0.1647</v>
      </c>
      <c r="AC287" s="9">
        <v>0.7445</v>
      </c>
      <c r="AD287" s="9" t="str">
        <f t="shared" si="1"/>
        <v>#REF!</v>
      </c>
    </row>
    <row r="288" hidden="1">
      <c r="A288" s="2" t="s">
        <v>3157</v>
      </c>
      <c r="B288" s="2" t="s">
        <v>1019</v>
      </c>
      <c r="C288" s="2" t="s">
        <v>1675</v>
      </c>
      <c r="D288" s="2" t="s">
        <v>64</v>
      </c>
      <c r="E288" s="7" t="b">
        <v>1</v>
      </c>
      <c r="F288" s="9">
        <v>105.0</v>
      </c>
      <c r="G288" s="9">
        <v>4.824009188875638</v>
      </c>
      <c r="H288" s="9">
        <v>0.0010500704761904</v>
      </c>
      <c r="I288" s="7" t="b">
        <v>1</v>
      </c>
      <c r="J288" s="9">
        <v>0.0</v>
      </c>
      <c r="K288" s="7" t="b">
        <v>0</v>
      </c>
      <c r="L288" s="9">
        <v>50.0</v>
      </c>
      <c r="M288" s="9">
        <v>0.4762</v>
      </c>
      <c r="N288" s="2" t="s">
        <v>2024</v>
      </c>
      <c r="O288" s="2" t="s">
        <v>1552</v>
      </c>
      <c r="P288" s="9">
        <v>50.06</v>
      </c>
      <c r="Q288" s="9">
        <v>42.0</v>
      </c>
      <c r="R288" s="9">
        <v>0.0</v>
      </c>
      <c r="S288" s="9">
        <v>0.4062</v>
      </c>
      <c r="T288" s="9">
        <v>0.733</v>
      </c>
      <c r="U288" s="2" t="s">
        <v>3190</v>
      </c>
      <c r="V288" s="9">
        <v>0.55</v>
      </c>
      <c r="W288" s="2" t="s">
        <v>3191</v>
      </c>
      <c r="X288" s="2" t="s">
        <v>1521</v>
      </c>
      <c r="Y288" s="2" t="s">
        <v>3192</v>
      </c>
      <c r="Z288" s="9">
        <v>0.3243</v>
      </c>
      <c r="AA288" s="9">
        <v>0.4062</v>
      </c>
      <c r="AB288" s="9">
        <v>0.55</v>
      </c>
      <c r="AC288" s="9">
        <v>0.1794</v>
      </c>
      <c r="AD288" s="9" t="str">
        <f t="shared" si="1"/>
        <v>#REF!</v>
      </c>
    </row>
    <row r="289" hidden="1">
      <c r="A289" s="2" t="s">
        <v>3157</v>
      </c>
      <c r="B289" s="2" t="s">
        <v>1027</v>
      </c>
      <c r="C289" s="2" t="s">
        <v>1675</v>
      </c>
      <c r="D289" s="2" t="s">
        <v>64</v>
      </c>
      <c r="E289" s="7" t="b">
        <v>1</v>
      </c>
      <c r="F289" s="9">
        <v>210.0</v>
      </c>
      <c r="G289" s="9">
        <v>13.58573427934861</v>
      </c>
      <c r="H289" s="9">
        <v>0.0040347266666666</v>
      </c>
      <c r="I289" s="7" t="b">
        <v>1</v>
      </c>
      <c r="J289" s="9">
        <v>0.0</v>
      </c>
      <c r="K289" s="7" t="b">
        <v>0</v>
      </c>
      <c r="L289" s="9">
        <v>147.0</v>
      </c>
      <c r="M289" s="9">
        <v>0.7</v>
      </c>
      <c r="N289" s="2" t="s">
        <v>309</v>
      </c>
      <c r="O289" s="2" t="s">
        <v>2330</v>
      </c>
      <c r="P289" s="9">
        <v>41.29</v>
      </c>
      <c r="Q289" s="9">
        <v>36.0</v>
      </c>
      <c r="R289" s="9">
        <v>0.0</v>
      </c>
      <c r="S289" s="9">
        <v>0.3063</v>
      </c>
      <c r="T289" s="9">
        <v>0.3014</v>
      </c>
      <c r="U289" s="2" t="s">
        <v>2987</v>
      </c>
      <c r="V289" s="9">
        <v>0.8875</v>
      </c>
      <c r="W289" s="2" t="s">
        <v>82</v>
      </c>
      <c r="X289" s="2" t="s">
        <v>517</v>
      </c>
      <c r="Y289" s="2" t="s">
        <v>3198</v>
      </c>
      <c r="Z289" s="9">
        <v>0.2495</v>
      </c>
      <c r="AA289" s="9">
        <v>0.3063</v>
      </c>
      <c r="AB289" s="9">
        <v>0.8875</v>
      </c>
      <c r="AC289" s="9">
        <v>0.1205</v>
      </c>
      <c r="AD289" s="9" t="str">
        <f t="shared" si="1"/>
        <v>#REF!</v>
      </c>
    </row>
    <row r="290" hidden="1">
      <c r="A290" s="2" t="s">
        <v>3201</v>
      </c>
      <c r="B290" s="2" t="s">
        <v>534</v>
      </c>
      <c r="C290" s="2" t="s">
        <v>1675</v>
      </c>
      <c r="D290" s="2" t="s">
        <v>64</v>
      </c>
      <c r="E290" s="7" t="b">
        <v>1</v>
      </c>
      <c r="F290" s="9">
        <v>530.0</v>
      </c>
      <c r="G290" s="9">
        <v>11.26111924147855</v>
      </c>
      <c r="H290" s="9">
        <v>0.0045475513207547</v>
      </c>
      <c r="I290" s="7" t="b">
        <v>1</v>
      </c>
      <c r="J290" s="9">
        <v>0.0</v>
      </c>
      <c r="K290" s="7" t="b">
        <v>0</v>
      </c>
      <c r="L290" s="9">
        <v>140.0</v>
      </c>
      <c r="M290" s="9">
        <v>0.2642</v>
      </c>
      <c r="N290" s="2" t="s">
        <v>1903</v>
      </c>
      <c r="O290" s="2" t="s">
        <v>1690</v>
      </c>
      <c r="P290" s="9">
        <v>77.14</v>
      </c>
      <c r="Q290" s="9">
        <v>82.0</v>
      </c>
      <c r="R290" s="9">
        <v>0.0</v>
      </c>
      <c r="S290" s="9">
        <v>0.6132</v>
      </c>
      <c r="T290" s="9">
        <v>0.9918</v>
      </c>
      <c r="U290" s="2" t="s">
        <v>1528</v>
      </c>
      <c r="V290" s="9">
        <v>0.55</v>
      </c>
      <c r="W290" s="2" t="s">
        <v>1657</v>
      </c>
      <c r="X290" s="2" t="s">
        <v>517</v>
      </c>
      <c r="Y290" s="2" t="s">
        <v>3207</v>
      </c>
      <c r="Z290" s="9">
        <v>0.4784</v>
      </c>
      <c r="AA290" s="9">
        <v>0.6132</v>
      </c>
      <c r="AB290" s="9">
        <v>0.55</v>
      </c>
      <c r="AC290" s="9">
        <v>0.678</v>
      </c>
      <c r="AD290" s="9" t="str">
        <f t="shared" si="1"/>
        <v>#REF!</v>
      </c>
    </row>
    <row r="291" hidden="1">
      <c r="A291" s="2" t="s">
        <v>3201</v>
      </c>
      <c r="B291" s="2" t="s">
        <v>542</v>
      </c>
      <c r="C291" s="2" t="s">
        <v>1675</v>
      </c>
      <c r="D291" s="2" t="s">
        <v>64</v>
      </c>
      <c r="E291" s="7" t="b">
        <v>1</v>
      </c>
      <c r="F291" s="9">
        <v>135.0</v>
      </c>
      <c r="G291" s="9">
        <v>10.713651281733</v>
      </c>
      <c r="H291" s="9">
        <v>0.0021054185185185</v>
      </c>
      <c r="I291" s="7" t="b">
        <v>1</v>
      </c>
      <c r="J291" s="9">
        <v>0.0</v>
      </c>
      <c r="K291" s="7" t="b">
        <v>0</v>
      </c>
      <c r="L291" s="9">
        <v>178.0</v>
      </c>
      <c r="M291" s="9">
        <v>1.3185</v>
      </c>
      <c r="N291" s="2" t="s">
        <v>1768</v>
      </c>
      <c r="O291" s="2" t="s">
        <v>3213</v>
      </c>
      <c r="P291" s="9">
        <v>65.58</v>
      </c>
      <c r="Q291" s="9">
        <v>60.0</v>
      </c>
      <c r="R291" s="9">
        <v>0.030303</v>
      </c>
      <c r="S291" s="9">
        <v>0.6582</v>
      </c>
      <c r="T291" s="9">
        <v>0.9864</v>
      </c>
      <c r="U291" s="2" t="s">
        <v>3005</v>
      </c>
      <c r="V291" s="9">
        <v>0.5981</v>
      </c>
      <c r="W291" s="2" t="s">
        <v>181</v>
      </c>
      <c r="X291" s="2" t="s">
        <v>495</v>
      </c>
      <c r="Y291" s="2" t="s">
        <v>1980</v>
      </c>
      <c r="Z291" s="9">
        <v>0.518</v>
      </c>
      <c r="AA291" s="9">
        <v>0.6582</v>
      </c>
      <c r="AB291" s="9">
        <v>0.5981</v>
      </c>
      <c r="AC291" s="9">
        <v>0.0671</v>
      </c>
      <c r="AD291" s="9" t="str">
        <f t="shared" si="1"/>
        <v>#REF!</v>
      </c>
    </row>
    <row r="292" hidden="1">
      <c r="A292" s="2" t="s">
        <v>3201</v>
      </c>
      <c r="B292" s="2" t="s">
        <v>1027</v>
      </c>
      <c r="C292" s="2" t="s">
        <v>1675</v>
      </c>
      <c r="D292" s="2" t="s">
        <v>64</v>
      </c>
      <c r="E292" s="7" t="b">
        <v>1</v>
      </c>
      <c r="F292" s="9">
        <v>86.0</v>
      </c>
      <c r="G292" s="9">
        <v>14.34592600727658</v>
      </c>
      <c r="H292" s="9">
        <v>0.0018451988372093</v>
      </c>
      <c r="I292" s="7" t="b">
        <v>1</v>
      </c>
      <c r="J292" s="9">
        <v>0.0</v>
      </c>
      <c r="K292" s="7" t="b">
        <v>0</v>
      </c>
      <c r="L292" s="9">
        <v>54.0</v>
      </c>
      <c r="M292" s="9">
        <v>0.6279</v>
      </c>
      <c r="N292" s="2" t="s">
        <v>1984</v>
      </c>
      <c r="O292" s="2" t="s">
        <v>1629</v>
      </c>
      <c r="P292" s="9">
        <v>45.35</v>
      </c>
      <c r="Q292" s="9">
        <v>36.0</v>
      </c>
      <c r="R292" s="9">
        <v>0.0</v>
      </c>
      <c r="S292" s="9">
        <v>0.3063</v>
      </c>
      <c r="T292" s="9">
        <v>0.592</v>
      </c>
      <c r="U292" s="2" t="s">
        <v>1520</v>
      </c>
      <c r="V292" s="9">
        <v>0.0</v>
      </c>
      <c r="W292" s="2" t="s">
        <v>82</v>
      </c>
      <c r="X292" s="2" t="s">
        <v>1466</v>
      </c>
      <c r="Y292" s="2" t="s">
        <v>1564</v>
      </c>
      <c r="Z292" s="9">
        <v>0.2425</v>
      </c>
      <c r="AA292" s="9">
        <v>0.3063</v>
      </c>
      <c r="AB292" s="9">
        <v>0.0</v>
      </c>
      <c r="AC292" s="9">
        <v>0.0855</v>
      </c>
      <c r="AD292" s="9" t="str">
        <f t="shared" si="1"/>
        <v>#REF!</v>
      </c>
    </row>
    <row r="293" hidden="1">
      <c r="A293" s="2" t="s">
        <v>3222</v>
      </c>
      <c r="B293" s="2" t="s">
        <v>997</v>
      </c>
      <c r="C293" s="2" t="s">
        <v>1675</v>
      </c>
      <c r="D293" s="2" t="s">
        <v>64</v>
      </c>
      <c r="E293" s="7" t="b">
        <v>1</v>
      </c>
      <c r="F293" s="9">
        <v>176.0</v>
      </c>
      <c r="G293" s="9">
        <v>33.30079227156191</v>
      </c>
      <c r="H293" s="9">
        <v>0.0131492045454545</v>
      </c>
      <c r="I293" s="7" t="b">
        <v>1</v>
      </c>
      <c r="J293" s="9">
        <v>0.0</v>
      </c>
      <c r="K293" s="7" t="b">
        <v>0</v>
      </c>
      <c r="L293" s="9">
        <v>66.0</v>
      </c>
      <c r="M293" s="9">
        <v>0.375</v>
      </c>
      <c r="N293" s="2" t="s">
        <v>2651</v>
      </c>
      <c r="O293" s="2" t="s">
        <v>2172</v>
      </c>
      <c r="P293" s="9">
        <v>88.53</v>
      </c>
      <c r="Q293" s="9">
        <v>75.0</v>
      </c>
      <c r="R293" s="9">
        <v>0.214286</v>
      </c>
      <c r="S293" s="9">
        <v>0.5126</v>
      </c>
      <c r="T293" s="9">
        <v>0.9993</v>
      </c>
      <c r="U293" s="2" t="s">
        <v>740</v>
      </c>
      <c r="V293" s="9">
        <v>0.6072</v>
      </c>
      <c r="W293" s="2" t="s">
        <v>157</v>
      </c>
      <c r="X293" s="2" t="s">
        <v>517</v>
      </c>
      <c r="Y293" s="2" t="s">
        <v>2159</v>
      </c>
      <c r="Z293" s="9">
        <v>0.4012</v>
      </c>
      <c r="AA293" s="9">
        <v>0.5126</v>
      </c>
      <c r="AB293" s="9">
        <v>0.6072</v>
      </c>
      <c r="AC293" s="9">
        <v>0.2027</v>
      </c>
      <c r="AD293" s="9" t="str">
        <f t="shared" si="1"/>
        <v>#REF!</v>
      </c>
    </row>
    <row r="294" hidden="1">
      <c r="A294" s="2" t="s">
        <v>3226</v>
      </c>
      <c r="B294" s="2" t="s">
        <v>997</v>
      </c>
      <c r="C294" s="2" t="s">
        <v>1675</v>
      </c>
      <c r="D294" s="2" t="s">
        <v>64</v>
      </c>
      <c r="E294" s="7" t="b">
        <v>1</v>
      </c>
      <c r="F294" s="9">
        <v>98.0</v>
      </c>
      <c r="G294" s="9">
        <v>42.03478151297077</v>
      </c>
      <c r="H294" s="9">
        <v>0.0116787224489795</v>
      </c>
      <c r="I294" s="7" t="b">
        <v>1</v>
      </c>
      <c r="J294" s="9">
        <v>0.0</v>
      </c>
      <c r="K294" s="7" t="b">
        <v>0</v>
      </c>
      <c r="L294" s="9">
        <v>46.0</v>
      </c>
      <c r="M294" s="9">
        <v>0.4694</v>
      </c>
      <c r="N294" s="2" t="s">
        <v>1394</v>
      </c>
      <c r="O294" s="2" t="s">
        <v>1539</v>
      </c>
      <c r="P294" s="9">
        <v>101.41</v>
      </c>
      <c r="Q294" s="9">
        <v>89.5</v>
      </c>
      <c r="R294" s="9">
        <v>0.166667</v>
      </c>
      <c r="S294" s="9">
        <v>0.4577</v>
      </c>
      <c r="T294" s="9">
        <v>0.9743</v>
      </c>
      <c r="U294" s="2" t="s">
        <v>2069</v>
      </c>
      <c r="V294" s="9">
        <v>0.3508</v>
      </c>
      <c r="W294" s="2" t="s">
        <v>157</v>
      </c>
      <c r="X294" s="2" t="s">
        <v>1466</v>
      </c>
      <c r="Y294" s="2" t="s">
        <v>3229</v>
      </c>
      <c r="Z294" s="9">
        <v>0.3651</v>
      </c>
      <c r="AA294" s="9">
        <v>0.4577</v>
      </c>
      <c r="AB294" s="9">
        <v>0.3508</v>
      </c>
      <c r="AC294" s="9">
        <v>0.1592</v>
      </c>
      <c r="AD294" s="9" t="str">
        <f t="shared" si="1"/>
        <v>#REF!</v>
      </c>
    </row>
    <row r="295" hidden="1">
      <c r="A295" s="2" t="s">
        <v>3226</v>
      </c>
      <c r="B295" s="2" t="s">
        <v>1024</v>
      </c>
      <c r="C295" s="2" t="s">
        <v>1675</v>
      </c>
      <c r="D295" s="2" t="s">
        <v>64</v>
      </c>
      <c r="E295" s="7" t="b">
        <v>1</v>
      </c>
      <c r="F295" s="9">
        <v>435.0</v>
      </c>
      <c r="G295" s="9">
        <v>10.28081914358353</v>
      </c>
      <c r="H295" s="9">
        <v>0.0015358977011494</v>
      </c>
      <c r="I295" s="7" t="b">
        <v>1</v>
      </c>
      <c r="J295" s="9">
        <v>0.0</v>
      </c>
      <c r="K295" s="7" t="b">
        <v>0</v>
      </c>
      <c r="L295" s="9">
        <v>0.0</v>
      </c>
      <c r="M295" s="9">
        <v>0.0</v>
      </c>
      <c r="N295" s="15"/>
      <c r="O295" s="15"/>
      <c r="P295" s="15"/>
      <c r="Q295" s="15"/>
      <c r="R295" s="15"/>
      <c r="S295" s="9">
        <v>0.0</v>
      </c>
      <c r="T295" s="9">
        <v>0.0</v>
      </c>
      <c r="U295" s="15"/>
      <c r="V295" s="15"/>
      <c r="W295" s="2" t="s">
        <v>82</v>
      </c>
      <c r="X295" s="2" t="s">
        <v>1787</v>
      </c>
      <c r="Y295" s="2" t="s">
        <v>2211</v>
      </c>
      <c r="Z295" s="9">
        <v>0.0</v>
      </c>
      <c r="AA295" s="9">
        <v>0.0</v>
      </c>
      <c r="AB295" s="15"/>
      <c r="AC295" s="15"/>
      <c r="AD295" s="9" t="str">
        <f t="shared" si="1"/>
        <v>#REF!</v>
      </c>
    </row>
    <row r="296" hidden="1">
      <c r="A296" s="2" t="s">
        <v>3236</v>
      </c>
      <c r="B296" s="2" t="s">
        <v>441</v>
      </c>
      <c r="C296" s="2" t="s">
        <v>1675</v>
      </c>
      <c r="D296" s="2" t="s">
        <v>64</v>
      </c>
      <c r="E296" s="7" t="b">
        <v>1</v>
      </c>
      <c r="F296" s="9">
        <v>81.0</v>
      </c>
      <c r="G296" s="9">
        <v>6.017222844730568</v>
      </c>
      <c r="H296" s="9">
        <v>0.0010323197530864</v>
      </c>
      <c r="I296" s="7" t="b">
        <v>1</v>
      </c>
      <c r="J296" s="9">
        <v>0.0</v>
      </c>
      <c r="K296" s="7" t="b">
        <v>0</v>
      </c>
      <c r="L296" s="9">
        <v>7.0</v>
      </c>
      <c r="M296" s="9">
        <v>0.0864</v>
      </c>
      <c r="N296" s="2" t="s">
        <v>1485</v>
      </c>
      <c r="O296" s="2" t="s">
        <v>1486</v>
      </c>
      <c r="P296" s="9">
        <v>74.57</v>
      </c>
      <c r="Q296" s="9">
        <v>77.0</v>
      </c>
      <c r="R296" s="9">
        <v>0.0</v>
      </c>
      <c r="S296" s="9">
        <v>0.2393</v>
      </c>
      <c r="T296" s="9">
        <v>1.0001</v>
      </c>
      <c r="U296" s="2" t="s">
        <v>1599</v>
      </c>
      <c r="V296" s="9">
        <v>0.55</v>
      </c>
      <c r="W296" s="2" t="s">
        <v>1193</v>
      </c>
      <c r="X296" s="2" t="s">
        <v>1466</v>
      </c>
      <c r="Y296" s="2" t="s">
        <v>3164</v>
      </c>
      <c r="Z296" s="9">
        <v>0.1865</v>
      </c>
      <c r="AA296" s="9">
        <v>0.2393</v>
      </c>
      <c r="AB296" s="9">
        <v>0.55</v>
      </c>
      <c r="AC296" s="9">
        <v>0.1374</v>
      </c>
      <c r="AD296" s="9" t="str">
        <f t="shared" si="1"/>
        <v>#REF!</v>
      </c>
    </row>
    <row r="297" hidden="1">
      <c r="A297" s="2" t="s">
        <v>3236</v>
      </c>
      <c r="B297" s="2" t="s">
        <v>997</v>
      </c>
      <c r="C297" s="2" t="s">
        <v>1675</v>
      </c>
      <c r="D297" s="2" t="s">
        <v>64</v>
      </c>
      <c r="E297" s="7" t="b">
        <v>1</v>
      </c>
      <c r="F297" s="9">
        <v>190.0</v>
      </c>
      <c r="G297" s="9">
        <v>9.394822891444946</v>
      </c>
      <c r="H297" s="9">
        <v>0.0011323705263157</v>
      </c>
      <c r="I297" s="7" t="b">
        <v>1</v>
      </c>
      <c r="J297" s="9">
        <v>0.0</v>
      </c>
      <c r="K297" s="7" t="b">
        <v>0</v>
      </c>
      <c r="L297" s="9">
        <v>10.0</v>
      </c>
      <c r="M297" s="9">
        <v>0.0526</v>
      </c>
      <c r="N297" s="2" t="s">
        <v>1495</v>
      </c>
      <c r="O297" s="2" t="s">
        <v>2552</v>
      </c>
      <c r="P297" s="9">
        <v>88.9</v>
      </c>
      <c r="Q297" s="9">
        <v>87.5</v>
      </c>
      <c r="R297" s="9">
        <v>0.0</v>
      </c>
      <c r="S297" s="9">
        <v>0.2712</v>
      </c>
      <c r="T297" s="9">
        <v>1.0001</v>
      </c>
      <c r="U297" s="2" t="s">
        <v>825</v>
      </c>
      <c r="V297" s="9">
        <v>0.0</v>
      </c>
      <c r="W297" s="2" t="s">
        <v>157</v>
      </c>
      <c r="X297" s="2" t="s">
        <v>1521</v>
      </c>
      <c r="Y297" s="2" t="s">
        <v>1491</v>
      </c>
      <c r="Z297" s="9">
        <v>0.2112</v>
      </c>
      <c r="AA297" s="9">
        <v>0.2712</v>
      </c>
      <c r="AB297" s="9">
        <v>0.0</v>
      </c>
      <c r="AC297" s="9">
        <v>0.0425</v>
      </c>
      <c r="AD297" s="9" t="str">
        <f t="shared" si="1"/>
        <v>#REF!</v>
      </c>
    </row>
    <row r="298" hidden="1">
      <c r="A298" s="2" t="s">
        <v>3236</v>
      </c>
      <c r="B298" s="2" t="s">
        <v>1019</v>
      </c>
      <c r="C298" s="2" t="s">
        <v>1675</v>
      </c>
      <c r="D298" s="2" t="s">
        <v>64</v>
      </c>
      <c r="E298" s="7" t="b">
        <v>1</v>
      </c>
      <c r="F298" s="9">
        <v>74.0</v>
      </c>
      <c r="G298" s="9">
        <v>5.937732671395916</v>
      </c>
      <c r="H298" s="9">
        <v>0.0011218229729729</v>
      </c>
      <c r="I298" s="7" t="b">
        <v>1</v>
      </c>
      <c r="J298" s="9">
        <v>0.0</v>
      </c>
      <c r="K298" s="7" t="b">
        <v>0</v>
      </c>
      <c r="L298" s="9">
        <v>5.0</v>
      </c>
      <c r="M298" s="9">
        <v>0.0676</v>
      </c>
      <c r="N298" s="2" t="s">
        <v>1485</v>
      </c>
      <c r="O298" s="2" t="s">
        <v>1486</v>
      </c>
      <c r="P298" s="9">
        <v>93.4</v>
      </c>
      <c r="Q298" s="9">
        <v>104.0</v>
      </c>
      <c r="R298" s="9">
        <v>0.0</v>
      </c>
      <c r="S298" s="9">
        <v>0.202</v>
      </c>
      <c r="T298" s="9">
        <v>1.0001</v>
      </c>
      <c r="U298" s="2" t="s">
        <v>640</v>
      </c>
      <c r="V298" s="9">
        <v>0.55</v>
      </c>
      <c r="W298" s="2" t="s">
        <v>1094</v>
      </c>
      <c r="X298" s="2" t="s">
        <v>517</v>
      </c>
      <c r="Y298" s="2" t="s">
        <v>3252</v>
      </c>
      <c r="Z298" s="9">
        <v>0.1567</v>
      </c>
      <c r="AA298" s="9">
        <v>0.202</v>
      </c>
      <c r="AB298" s="9">
        <v>0.55</v>
      </c>
      <c r="AC298" s="9">
        <v>0.7991</v>
      </c>
      <c r="AD298" s="9" t="str">
        <f t="shared" si="1"/>
        <v>#REF!</v>
      </c>
    </row>
    <row r="299" hidden="1">
      <c r="A299" s="2" t="s">
        <v>3253</v>
      </c>
      <c r="B299" s="2" t="s">
        <v>982</v>
      </c>
      <c r="C299" s="2" t="s">
        <v>1675</v>
      </c>
      <c r="D299" s="2" t="s">
        <v>64</v>
      </c>
      <c r="E299" s="7" t="b">
        <v>1</v>
      </c>
      <c r="F299" s="9">
        <v>59.0</v>
      </c>
      <c r="G299" s="9">
        <v>21.69012558816721</v>
      </c>
      <c r="H299" s="9">
        <v>0.0133223050847457</v>
      </c>
      <c r="I299" s="7" t="b">
        <v>1</v>
      </c>
      <c r="J299" s="9">
        <v>0.0</v>
      </c>
      <c r="K299" s="7" t="b">
        <v>0</v>
      </c>
      <c r="L299" s="9">
        <v>102.0</v>
      </c>
      <c r="M299" s="9">
        <v>1.7288</v>
      </c>
      <c r="N299" s="2" t="s">
        <v>3256</v>
      </c>
      <c r="O299" s="2" t="s">
        <v>3257</v>
      </c>
      <c r="P299" s="9">
        <v>105.52</v>
      </c>
      <c r="Q299" s="9">
        <v>98.5</v>
      </c>
      <c r="R299" s="9">
        <v>0.238095</v>
      </c>
      <c r="S299" s="9">
        <v>0.6041</v>
      </c>
      <c r="T299" s="9">
        <v>0.9949</v>
      </c>
      <c r="U299" s="2" t="s">
        <v>1786</v>
      </c>
      <c r="V299" s="9">
        <v>0.0866</v>
      </c>
      <c r="W299" s="2" t="s">
        <v>82</v>
      </c>
      <c r="X299" s="2" t="s">
        <v>495</v>
      </c>
      <c r="Y299" s="2" t="s">
        <v>2571</v>
      </c>
      <c r="Z299" s="9">
        <v>0.4687</v>
      </c>
      <c r="AA299" s="9">
        <v>0.6041</v>
      </c>
      <c r="AB299" s="9">
        <v>0.0866</v>
      </c>
      <c r="AC299" s="9">
        <v>0.2072</v>
      </c>
      <c r="AD299" s="9" t="str">
        <f t="shared" si="1"/>
        <v>#REF!</v>
      </c>
    </row>
    <row r="300" hidden="1">
      <c r="A300" s="2" t="s">
        <v>3253</v>
      </c>
      <c r="B300" s="2" t="s">
        <v>997</v>
      </c>
      <c r="C300" s="2" t="s">
        <v>1675</v>
      </c>
      <c r="D300" s="2" t="s">
        <v>64</v>
      </c>
      <c r="E300" s="7" t="b">
        <v>1</v>
      </c>
      <c r="F300" s="9">
        <v>133.0</v>
      </c>
      <c r="G300" s="9">
        <v>41.80334892192722</v>
      </c>
      <c r="H300" s="9">
        <v>0.0156610150375939</v>
      </c>
      <c r="I300" s="7" t="b">
        <v>1</v>
      </c>
      <c r="J300" s="9">
        <v>0.0</v>
      </c>
      <c r="K300" s="7" t="b">
        <v>0</v>
      </c>
      <c r="L300" s="9">
        <v>62.0</v>
      </c>
      <c r="M300" s="9">
        <v>0.4662</v>
      </c>
      <c r="N300" s="2" t="s">
        <v>2282</v>
      </c>
      <c r="O300" s="2" t="s">
        <v>2284</v>
      </c>
      <c r="P300" s="9">
        <v>109.39</v>
      </c>
      <c r="Q300" s="9">
        <v>109.5</v>
      </c>
      <c r="R300" s="9">
        <v>0.454545</v>
      </c>
      <c r="S300" s="9">
        <v>0.5039</v>
      </c>
      <c r="T300" s="9">
        <v>1.001</v>
      </c>
      <c r="U300" s="2" t="s">
        <v>2843</v>
      </c>
      <c r="V300" s="9">
        <v>0.0945</v>
      </c>
      <c r="W300" s="2" t="s">
        <v>157</v>
      </c>
      <c r="X300" s="2" t="s">
        <v>1466</v>
      </c>
      <c r="Y300" s="2" t="s">
        <v>3229</v>
      </c>
      <c r="Z300" s="9">
        <v>0.3967</v>
      </c>
      <c r="AA300" s="9">
        <v>0.5039</v>
      </c>
      <c r="AB300" s="9">
        <v>0.0945</v>
      </c>
      <c r="AC300" s="9">
        <v>0.1505</v>
      </c>
      <c r="AD300" s="9" t="str">
        <f t="shared" si="1"/>
        <v>#REF!</v>
      </c>
    </row>
    <row r="301" hidden="1">
      <c r="A301" s="2" t="s">
        <v>3253</v>
      </c>
      <c r="B301" s="2" t="s">
        <v>1027</v>
      </c>
      <c r="C301" s="2" t="s">
        <v>1675</v>
      </c>
      <c r="D301" s="2" t="s">
        <v>64</v>
      </c>
      <c r="E301" s="7" t="b">
        <v>1</v>
      </c>
      <c r="F301" s="9">
        <v>791.0</v>
      </c>
      <c r="G301" s="9">
        <v>11.1607807395879</v>
      </c>
      <c r="H301" s="9">
        <v>0.0101979557522123</v>
      </c>
      <c r="I301" s="7" t="b">
        <v>1</v>
      </c>
      <c r="J301" s="9">
        <v>0.0</v>
      </c>
      <c r="K301" s="7" t="b">
        <v>0</v>
      </c>
      <c r="L301" s="9">
        <v>56.0</v>
      </c>
      <c r="M301" s="9">
        <v>0.0708</v>
      </c>
      <c r="N301" s="2" t="s">
        <v>1794</v>
      </c>
      <c r="O301" s="2" t="s">
        <v>1795</v>
      </c>
      <c r="P301" s="9">
        <v>85.25</v>
      </c>
      <c r="Q301" s="9">
        <v>76.0</v>
      </c>
      <c r="R301" s="9">
        <v>0.2</v>
      </c>
      <c r="S301" s="9">
        <v>0.5204</v>
      </c>
      <c r="T301" s="9">
        <v>1.0011</v>
      </c>
      <c r="U301" s="2" t="s">
        <v>964</v>
      </c>
      <c r="V301" s="9">
        <v>0.8488</v>
      </c>
      <c r="W301" s="2" t="s">
        <v>82</v>
      </c>
      <c r="X301" s="2" t="s">
        <v>495</v>
      </c>
      <c r="Y301" s="2" t="s">
        <v>2508</v>
      </c>
      <c r="Z301" s="9">
        <v>0.4029</v>
      </c>
      <c r="AA301" s="9">
        <v>0.5204</v>
      </c>
      <c r="AB301" s="9">
        <v>0.8488</v>
      </c>
      <c r="AC301" s="9">
        <v>0.0146</v>
      </c>
      <c r="AD301" s="9" t="str">
        <f t="shared" si="1"/>
        <v>#REF!</v>
      </c>
    </row>
    <row r="302" hidden="1">
      <c r="A302" s="2" t="s">
        <v>3253</v>
      </c>
      <c r="B302" s="2" t="s">
        <v>1031</v>
      </c>
      <c r="C302" s="2" t="s">
        <v>1675</v>
      </c>
      <c r="D302" s="2" t="s">
        <v>64</v>
      </c>
      <c r="E302" s="7" t="b">
        <v>1</v>
      </c>
      <c r="F302" s="9">
        <v>682.0</v>
      </c>
      <c r="G302" s="9">
        <v>34.56331445028224</v>
      </c>
      <c r="H302" s="9">
        <v>0.1969473343108504</v>
      </c>
      <c r="I302" s="7" t="b">
        <v>1</v>
      </c>
      <c r="J302" s="9">
        <v>0.0</v>
      </c>
      <c r="K302" s="7" t="b">
        <v>0</v>
      </c>
      <c r="L302" s="9">
        <v>417.0</v>
      </c>
      <c r="M302" s="9">
        <v>0.6114</v>
      </c>
      <c r="N302" s="2" t="s">
        <v>2261</v>
      </c>
      <c r="O302" s="2" t="s">
        <v>2757</v>
      </c>
      <c r="P302" s="9">
        <v>85.25</v>
      </c>
      <c r="Q302" s="9">
        <v>84.0</v>
      </c>
      <c r="R302" s="9">
        <v>0.224719</v>
      </c>
      <c r="S302" s="9">
        <v>0.7663</v>
      </c>
      <c r="T302" s="9">
        <v>0.999</v>
      </c>
      <c r="U302" s="2" t="s">
        <v>3270</v>
      </c>
      <c r="V302" s="9">
        <v>0.7955</v>
      </c>
      <c r="W302" s="2" t="s">
        <v>157</v>
      </c>
      <c r="X302" s="2" t="s">
        <v>237</v>
      </c>
      <c r="Y302" s="2" t="s">
        <v>1703</v>
      </c>
      <c r="Z302" s="9">
        <v>0.6023</v>
      </c>
      <c r="AA302" s="9">
        <v>0.7663</v>
      </c>
      <c r="AB302" s="9">
        <v>0.7955</v>
      </c>
      <c r="AC302" s="9">
        <v>0.7236</v>
      </c>
      <c r="AD302" s="9" t="str">
        <f t="shared" si="1"/>
        <v>#REF!</v>
      </c>
    </row>
    <row r="303" hidden="1">
      <c r="A303" s="2" t="s">
        <v>3273</v>
      </c>
      <c r="B303" s="2" t="s">
        <v>997</v>
      </c>
      <c r="C303" s="2" t="s">
        <v>1675</v>
      </c>
      <c r="D303" s="2" t="s">
        <v>64</v>
      </c>
      <c r="E303" s="7" t="b">
        <v>1</v>
      </c>
      <c r="F303" s="9">
        <v>88.0</v>
      </c>
      <c r="G303" s="9">
        <v>52.87385203381031</v>
      </c>
      <c r="H303" s="9">
        <v>0.0165883318181818</v>
      </c>
      <c r="I303" s="7" t="b">
        <v>1</v>
      </c>
      <c r="J303" s="9">
        <v>0.0</v>
      </c>
      <c r="K303" s="7" t="b">
        <v>0</v>
      </c>
      <c r="L303" s="9">
        <v>44.0</v>
      </c>
      <c r="M303" s="9">
        <v>0.5</v>
      </c>
      <c r="N303" s="2" t="s">
        <v>1460</v>
      </c>
      <c r="O303" s="2" t="s">
        <v>1912</v>
      </c>
      <c r="P303" s="9">
        <v>113.27</v>
      </c>
      <c r="Q303" s="9">
        <v>111.0</v>
      </c>
      <c r="R303" s="9">
        <v>0.0</v>
      </c>
      <c r="S303" s="9">
        <v>0.4671</v>
      </c>
      <c r="T303" s="9">
        <v>1.0007</v>
      </c>
      <c r="U303" s="2" t="s">
        <v>1741</v>
      </c>
      <c r="V303" s="9">
        <v>0.0</v>
      </c>
      <c r="W303" s="2" t="s">
        <v>157</v>
      </c>
      <c r="X303" s="2" t="s">
        <v>517</v>
      </c>
      <c r="Y303" s="2" t="s">
        <v>1375</v>
      </c>
      <c r="Z303" s="9">
        <v>0.3637</v>
      </c>
      <c r="AA303" s="9">
        <v>0.4671</v>
      </c>
      <c r="AB303" s="9">
        <v>0.0</v>
      </c>
      <c r="AC303" s="9">
        <v>0.6882</v>
      </c>
      <c r="AD303" s="9" t="str">
        <f t="shared" si="1"/>
        <v>#REF!</v>
      </c>
    </row>
    <row r="304" hidden="1">
      <c r="A304" s="2" t="s">
        <v>3181</v>
      </c>
      <c r="B304" s="2" t="s">
        <v>997</v>
      </c>
      <c r="C304" s="2" t="s">
        <v>1316</v>
      </c>
      <c r="D304" s="2" t="s">
        <v>64</v>
      </c>
      <c r="E304" s="7" t="b">
        <v>1</v>
      </c>
      <c r="F304" s="9">
        <v>176.0</v>
      </c>
      <c r="G304" s="9">
        <v>25.84997516342532</v>
      </c>
      <c r="H304" s="9">
        <v>0.0079296</v>
      </c>
      <c r="I304" s="7" t="b">
        <v>1</v>
      </c>
      <c r="J304" s="9">
        <v>0.0</v>
      </c>
      <c r="K304" s="7" t="b">
        <v>0</v>
      </c>
      <c r="L304" s="9">
        <v>107.0</v>
      </c>
      <c r="M304" s="9">
        <v>0.608</v>
      </c>
      <c r="N304" s="2" t="s">
        <v>1475</v>
      </c>
      <c r="O304" s="2" t="s">
        <v>1795</v>
      </c>
      <c r="P304" s="9">
        <v>70.83</v>
      </c>
      <c r="Q304" s="9">
        <v>76.0</v>
      </c>
      <c r="R304" s="9">
        <v>0.272727</v>
      </c>
      <c r="S304" s="9">
        <v>0.5704</v>
      </c>
      <c r="T304" s="9">
        <v>0.991</v>
      </c>
      <c r="U304" s="2" t="s">
        <v>1192</v>
      </c>
      <c r="V304" s="9">
        <v>0.2074</v>
      </c>
      <c r="W304" s="2" t="s">
        <v>82</v>
      </c>
      <c r="X304" s="2" t="s">
        <v>237</v>
      </c>
      <c r="Y304" s="2" t="s">
        <v>1810</v>
      </c>
      <c r="Z304" s="9">
        <v>0.4479</v>
      </c>
      <c r="AA304" s="9">
        <v>0.5704</v>
      </c>
      <c r="AB304" s="9">
        <v>0.2074</v>
      </c>
      <c r="AC304" s="9">
        <v>0.6526</v>
      </c>
      <c r="AD304" s="9" t="str">
        <f t="shared" si="1"/>
        <v>#REF!</v>
      </c>
    </row>
    <row r="305" hidden="1">
      <c r="A305" s="2" t="s">
        <v>3280</v>
      </c>
      <c r="B305" s="2" t="s">
        <v>611</v>
      </c>
      <c r="C305" s="2" t="s">
        <v>1675</v>
      </c>
      <c r="D305" s="2" t="s">
        <v>64</v>
      </c>
      <c r="E305" s="7" t="b">
        <v>1</v>
      </c>
      <c r="F305" s="9">
        <v>1190.0</v>
      </c>
      <c r="G305" s="9">
        <v>6.609757566281918</v>
      </c>
      <c r="H305" s="9">
        <v>0.0041951405042016</v>
      </c>
      <c r="I305" s="7" t="b">
        <v>1</v>
      </c>
      <c r="J305" s="9">
        <v>0.0</v>
      </c>
      <c r="K305" s="7" t="b">
        <v>0</v>
      </c>
      <c r="L305" s="9">
        <v>141.0</v>
      </c>
      <c r="M305" s="9">
        <v>0.1185</v>
      </c>
      <c r="N305" s="2" t="s">
        <v>1450</v>
      </c>
      <c r="O305" s="2" t="s">
        <v>1985</v>
      </c>
      <c r="P305" s="9">
        <v>36.89</v>
      </c>
      <c r="Q305" s="9">
        <v>36.0</v>
      </c>
      <c r="R305" s="9">
        <v>0.066667</v>
      </c>
      <c r="S305" s="9">
        <v>0.4476</v>
      </c>
      <c r="T305" s="9">
        <v>0.595</v>
      </c>
      <c r="U305" s="2" t="s">
        <v>2759</v>
      </c>
      <c r="V305" s="9">
        <v>0.0</v>
      </c>
      <c r="W305" s="2" t="s">
        <v>82</v>
      </c>
      <c r="X305" s="2" t="s">
        <v>1466</v>
      </c>
      <c r="Y305" s="2" t="s">
        <v>2393</v>
      </c>
      <c r="Z305" s="9">
        <v>0.3962</v>
      </c>
      <c r="AA305" s="9">
        <v>0.4476</v>
      </c>
      <c r="AB305" s="9">
        <v>0.0</v>
      </c>
      <c r="AC305" s="9">
        <v>0.1203</v>
      </c>
      <c r="AD305" s="9" t="str">
        <f t="shared" si="1"/>
        <v>#REF!</v>
      </c>
    </row>
    <row r="306" hidden="1">
      <c r="A306" s="2" t="s">
        <v>3280</v>
      </c>
      <c r="B306" s="2" t="s">
        <v>1093</v>
      </c>
      <c r="C306" s="2" t="s">
        <v>1675</v>
      </c>
      <c r="D306" s="2" t="s">
        <v>64</v>
      </c>
      <c r="E306" s="7" t="b">
        <v>1</v>
      </c>
      <c r="F306" s="9">
        <v>90.0</v>
      </c>
      <c r="G306" s="9">
        <v>25.51424384344138</v>
      </c>
      <c r="H306" s="9">
        <v>0.0707747333333333</v>
      </c>
      <c r="I306" s="7" t="b">
        <v>1</v>
      </c>
      <c r="J306" s="9">
        <v>0.0</v>
      </c>
      <c r="K306" s="7" t="b">
        <v>0</v>
      </c>
      <c r="L306" s="9">
        <v>715.0</v>
      </c>
      <c r="M306" s="9">
        <v>7.9444</v>
      </c>
      <c r="N306" s="2" t="s">
        <v>3287</v>
      </c>
      <c r="O306" s="2" t="s">
        <v>3213</v>
      </c>
      <c r="P306" s="9">
        <v>47.76</v>
      </c>
      <c r="Q306" s="9">
        <v>43.0</v>
      </c>
      <c r="R306" s="9">
        <v>0.027174</v>
      </c>
      <c r="S306" s="9">
        <v>0.4215</v>
      </c>
      <c r="T306" s="9">
        <v>0.2524</v>
      </c>
      <c r="U306" s="2" t="s">
        <v>3042</v>
      </c>
      <c r="V306" s="9">
        <v>0.8719</v>
      </c>
      <c r="W306" s="2" t="s">
        <v>82</v>
      </c>
      <c r="X306" s="2" t="s">
        <v>495</v>
      </c>
      <c r="Y306" s="2" t="s">
        <v>1479</v>
      </c>
      <c r="Z306" s="9">
        <v>0.2707</v>
      </c>
      <c r="AA306" s="9">
        <v>0.4215</v>
      </c>
      <c r="AB306" s="9">
        <v>0.8719</v>
      </c>
      <c r="AC306" s="9">
        <v>0.1783</v>
      </c>
      <c r="AD306" s="9" t="str">
        <f t="shared" si="1"/>
        <v>#REF!</v>
      </c>
    </row>
    <row r="307" hidden="1">
      <c r="A307" s="2" t="s">
        <v>1333</v>
      </c>
      <c r="B307" s="2" t="s">
        <v>997</v>
      </c>
      <c r="C307" s="2" t="s">
        <v>1316</v>
      </c>
      <c r="D307" s="2" t="s">
        <v>64</v>
      </c>
      <c r="E307" s="7" t="b">
        <v>1</v>
      </c>
      <c r="F307" s="9">
        <v>911.0</v>
      </c>
      <c r="G307" s="9">
        <v>16.6375796154975</v>
      </c>
      <c r="H307" s="9">
        <v>0.0168887815587266</v>
      </c>
      <c r="I307" s="7" t="b">
        <v>1</v>
      </c>
      <c r="J307" s="9">
        <v>0.0</v>
      </c>
      <c r="K307" s="7" t="b">
        <v>0</v>
      </c>
      <c r="L307" s="9">
        <v>568.0</v>
      </c>
      <c r="M307" s="9">
        <v>0.6235</v>
      </c>
      <c r="N307" s="2" t="s">
        <v>3292</v>
      </c>
      <c r="O307" s="2" t="s">
        <v>2922</v>
      </c>
      <c r="P307" s="9">
        <v>52.34</v>
      </c>
      <c r="Q307" s="9">
        <v>51.0</v>
      </c>
      <c r="R307" s="9">
        <v>0.19697</v>
      </c>
      <c r="S307" s="9">
        <v>0.763</v>
      </c>
      <c r="T307" s="9">
        <v>0.9947</v>
      </c>
      <c r="U307" s="2" t="s">
        <v>740</v>
      </c>
      <c r="V307" s="9">
        <v>0.8474</v>
      </c>
      <c r="W307" s="2" t="s">
        <v>82</v>
      </c>
      <c r="X307" s="2" t="s">
        <v>84</v>
      </c>
      <c r="Y307" s="2" t="s">
        <v>2340</v>
      </c>
      <c r="Z307" s="9">
        <v>0.6077</v>
      </c>
      <c r="AA307" s="9">
        <v>0.763</v>
      </c>
      <c r="AB307" s="9">
        <v>0.8474</v>
      </c>
      <c r="AC307" s="9">
        <v>0.72</v>
      </c>
      <c r="AD307" s="9" t="str">
        <f t="shared" si="1"/>
        <v>#REF!</v>
      </c>
    </row>
    <row r="308" hidden="1">
      <c r="A308" s="2" t="s">
        <v>3298</v>
      </c>
      <c r="B308" s="2" t="s">
        <v>503</v>
      </c>
      <c r="C308" s="2" t="s">
        <v>1675</v>
      </c>
      <c r="D308" s="2" t="s">
        <v>64</v>
      </c>
      <c r="E308" s="7" t="b">
        <v>1</v>
      </c>
      <c r="F308" s="9">
        <v>133.0</v>
      </c>
      <c r="G308" s="9">
        <v>16.51899589181605</v>
      </c>
      <c r="H308" s="9">
        <v>0.0032248345864661</v>
      </c>
      <c r="I308" s="7" t="b">
        <v>1</v>
      </c>
      <c r="J308" s="9">
        <v>0.0</v>
      </c>
      <c r="K308" s="7" t="b">
        <v>0</v>
      </c>
      <c r="L308" s="9">
        <v>173.0</v>
      </c>
      <c r="M308" s="9">
        <v>1.3008</v>
      </c>
      <c r="N308" s="2" t="s">
        <v>2651</v>
      </c>
      <c r="O308" s="2" t="s">
        <v>1985</v>
      </c>
      <c r="P308" s="9">
        <v>46.11</v>
      </c>
      <c r="Q308" s="9">
        <v>39.0</v>
      </c>
      <c r="R308" s="9">
        <v>0.020833</v>
      </c>
      <c r="S308" s="9">
        <v>0.4392</v>
      </c>
      <c r="T308" s="9">
        <v>0.624</v>
      </c>
      <c r="U308" s="2" t="s">
        <v>515</v>
      </c>
      <c r="V308" s="9">
        <v>0.6677</v>
      </c>
      <c r="W308" s="2" t="s">
        <v>157</v>
      </c>
      <c r="X308" s="2" t="s">
        <v>517</v>
      </c>
      <c r="Y308" s="2" t="s">
        <v>1593</v>
      </c>
      <c r="Z308" s="9">
        <v>0.3538</v>
      </c>
      <c r="AA308" s="9">
        <v>0.4392</v>
      </c>
      <c r="AB308" s="9">
        <v>0.6677</v>
      </c>
      <c r="AC308" s="9">
        <v>0.2556</v>
      </c>
      <c r="AD308" s="9" t="str">
        <f t="shared" si="1"/>
        <v>#REF!</v>
      </c>
    </row>
    <row r="309" hidden="1">
      <c r="A309" s="2" t="s">
        <v>3298</v>
      </c>
      <c r="B309" s="2" t="s">
        <v>611</v>
      </c>
      <c r="C309" s="2" t="s">
        <v>1675</v>
      </c>
      <c r="D309" s="2" t="s">
        <v>64</v>
      </c>
      <c r="E309" s="7" t="b">
        <v>1</v>
      </c>
      <c r="F309" s="9">
        <v>200.0</v>
      </c>
      <c r="G309" s="9">
        <v>11.12447345067447</v>
      </c>
      <c r="H309" s="9">
        <v>0.002005146</v>
      </c>
      <c r="I309" s="7" t="b">
        <v>1</v>
      </c>
      <c r="J309" s="9">
        <v>0.0</v>
      </c>
      <c r="K309" s="7" t="b">
        <v>0</v>
      </c>
      <c r="L309" s="9">
        <v>6.0</v>
      </c>
      <c r="M309" s="9">
        <v>0.03</v>
      </c>
      <c r="N309" s="2" t="s">
        <v>1664</v>
      </c>
      <c r="O309" s="2" t="s">
        <v>177</v>
      </c>
      <c r="P309" s="9">
        <v>33.83</v>
      </c>
      <c r="Q309" s="9">
        <v>33.0</v>
      </c>
      <c r="R309" s="9">
        <v>0.0</v>
      </c>
      <c r="S309" s="9">
        <v>0.1086</v>
      </c>
      <c r="T309" s="9">
        <v>0.5665</v>
      </c>
      <c r="U309" s="2" t="s">
        <v>3306</v>
      </c>
      <c r="V309" s="15"/>
      <c r="W309" s="2" t="s">
        <v>82</v>
      </c>
      <c r="X309" s="2" t="s">
        <v>182</v>
      </c>
      <c r="Y309" s="2" t="s">
        <v>1498</v>
      </c>
      <c r="Z309" s="9">
        <v>0.0843</v>
      </c>
      <c r="AA309" s="9">
        <v>0.1086</v>
      </c>
      <c r="AB309" s="15"/>
      <c r="AC309" s="9">
        <v>0.0</v>
      </c>
      <c r="AD309" s="9" t="str">
        <f t="shared" si="1"/>
        <v>#REF!</v>
      </c>
    </row>
    <row r="310" hidden="1">
      <c r="A310" s="2" t="s">
        <v>3298</v>
      </c>
      <c r="B310" s="2" t="s">
        <v>1015</v>
      </c>
      <c r="C310" s="2" t="s">
        <v>1675</v>
      </c>
      <c r="D310" s="2" t="s">
        <v>64</v>
      </c>
      <c r="E310" s="7" t="b">
        <v>1</v>
      </c>
      <c r="F310" s="9">
        <v>292.0</v>
      </c>
      <c r="G310" s="9">
        <v>9.245016049082489</v>
      </c>
      <c r="H310" s="9">
        <v>0.0061865352739726</v>
      </c>
      <c r="I310" s="7" t="b">
        <v>1</v>
      </c>
      <c r="J310" s="9">
        <v>0.0</v>
      </c>
      <c r="K310" s="7" t="b">
        <v>0</v>
      </c>
      <c r="L310" s="9">
        <v>120.0</v>
      </c>
      <c r="M310" s="9">
        <v>0.411</v>
      </c>
      <c r="N310" s="2" t="s">
        <v>1825</v>
      </c>
      <c r="O310" s="2" t="s">
        <v>1451</v>
      </c>
      <c r="P310" s="9">
        <v>49.98</v>
      </c>
      <c r="Q310" s="9">
        <v>44.0</v>
      </c>
      <c r="R310" s="9">
        <v>0.0</v>
      </c>
      <c r="S310" s="9">
        <v>0.5379</v>
      </c>
      <c r="T310" s="9">
        <v>0.8684</v>
      </c>
      <c r="U310" s="2" t="s">
        <v>2801</v>
      </c>
      <c r="V310" s="9">
        <v>0.8625</v>
      </c>
      <c r="W310" s="2" t="s">
        <v>157</v>
      </c>
      <c r="X310" s="2" t="s">
        <v>1466</v>
      </c>
      <c r="Y310" s="2" t="s">
        <v>3164</v>
      </c>
      <c r="Z310" s="9">
        <v>0.4297</v>
      </c>
      <c r="AA310" s="9">
        <v>0.5379</v>
      </c>
      <c r="AB310" s="9">
        <v>0.8625</v>
      </c>
      <c r="AC310" s="9">
        <v>0.1844</v>
      </c>
      <c r="AD310" s="9" t="str">
        <f t="shared" si="1"/>
        <v>#REF!</v>
      </c>
    </row>
    <row r="311" hidden="1">
      <c r="A311" s="2" t="s">
        <v>3298</v>
      </c>
      <c r="B311" s="2" t="s">
        <v>1040</v>
      </c>
      <c r="C311" s="2" t="s">
        <v>1675</v>
      </c>
      <c r="D311" s="2" t="s">
        <v>64</v>
      </c>
      <c r="E311" s="7" t="b">
        <v>1</v>
      </c>
      <c r="F311" s="9">
        <v>949.0</v>
      </c>
      <c r="G311" s="9">
        <v>2.274309993680962</v>
      </c>
      <c r="H311" s="9">
        <v>0.0011856246575342</v>
      </c>
      <c r="I311" s="7" t="b">
        <v>1</v>
      </c>
      <c r="J311" s="9">
        <v>0.0</v>
      </c>
      <c r="K311" s="7" t="b">
        <v>0</v>
      </c>
      <c r="L311" s="9">
        <v>7550.0</v>
      </c>
      <c r="M311" s="9">
        <v>7.9557</v>
      </c>
      <c r="N311" s="2" t="s">
        <v>3314</v>
      </c>
      <c r="O311" s="2" t="s">
        <v>3315</v>
      </c>
      <c r="P311" s="9">
        <v>42.42</v>
      </c>
      <c r="Q311" s="9">
        <v>37.0</v>
      </c>
      <c r="R311" s="9">
        <v>0.013922</v>
      </c>
      <c r="S311" s="9">
        <v>0.7242</v>
      </c>
      <c r="T311" s="9">
        <v>0.3174</v>
      </c>
      <c r="U311" s="2" t="s">
        <v>2106</v>
      </c>
      <c r="V311" s="9">
        <v>0.8651</v>
      </c>
      <c r="W311" s="2" t="s">
        <v>1821</v>
      </c>
      <c r="X311" s="2" t="s">
        <v>517</v>
      </c>
      <c r="Y311" s="2" t="s">
        <v>1593</v>
      </c>
      <c r="Z311" s="9">
        <v>0.6463</v>
      </c>
      <c r="AA311" s="9">
        <v>0.7242</v>
      </c>
      <c r="AB311" s="9">
        <v>0.8651</v>
      </c>
      <c r="AC311" s="9">
        <v>0.1506</v>
      </c>
      <c r="AD311" s="9" t="str">
        <f t="shared" si="1"/>
        <v>#REF!</v>
      </c>
    </row>
    <row r="312" hidden="1">
      <c r="A312" s="2" t="s">
        <v>3298</v>
      </c>
      <c r="B312" s="2" t="s">
        <v>1047</v>
      </c>
      <c r="C312" s="2" t="s">
        <v>1675</v>
      </c>
      <c r="D312" s="2" t="s">
        <v>64</v>
      </c>
      <c r="E312" s="7" t="b">
        <v>1</v>
      </c>
      <c r="F312" s="9">
        <v>74.0</v>
      </c>
      <c r="G312" s="9">
        <v>3.263418581597576</v>
      </c>
      <c r="H312" s="9">
        <v>0.0014091986486486</v>
      </c>
      <c r="I312" s="7" t="b">
        <v>1</v>
      </c>
      <c r="J312" s="9">
        <v>0.0</v>
      </c>
      <c r="K312" s="7" t="b">
        <v>0</v>
      </c>
      <c r="L312" s="9">
        <v>7056.0</v>
      </c>
      <c r="M312" s="9">
        <v>95.3514</v>
      </c>
      <c r="N312" s="2" t="s">
        <v>3321</v>
      </c>
      <c r="O312" s="2" t="s">
        <v>3322</v>
      </c>
      <c r="P312" s="9">
        <v>42.52</v>
      </c>
      <c r="Q312" s="9">
        <v>38.0</v>
      </c>
      <c r="R312" s="9">
        <v>0.014354</v>
      </c>
      <c r="S312" s="9">
        <v>0.7239</v>
      </c>
      <c r="T312" s="9">
        <v>0.3058</v>
      </c>
      <c r="U312" s="2" t="s">
        <v>2285</v>
      </c>
      <c r="V312" s="9">
        <v>0.8659</v>
      </c>
      <c r="W312" s="2" t="s">
        <v>1600</v>
      </c>
      <c r="X312" s="2" t="s">
        <v>517</v>
      </c>
      <c r="Y312" s="2" t="s">
        <v>1593</v>
      </c>
      <c r="Z312" s="9">
        <v>0.6475</v>
      </c>
      <c r="AA312" s="9">
        <v>0.7239</v>
      </c>
      <c r="AB312" s="9">
        <v>0.8659</v>
      </c>
      <c r="AC312" s="9">
        <v>0.1502</v>
      </c>
      <c r="AD312" s="9" t="str">
        <f t="shared" si="1"/>
        <v>#REF!</v>
      </c>
    </row>
    <row r="313" hidden="1">
      <c r="A313" s="2" t="s">
        <v>3298</v>
      </c>
      <c r="B313" s="2" t="s">
        <v>1053</v>
      </c>
      <c r="C313" s="2" t="s">
        <v>1675</v>
      </c>
      <c r="D313" s="2" t="s">
        <v>64</v>
      </c>
      <c r="E313" s="7" t="b">
        <v>1</v>
      </c>
      <c r="F313" s="9">
        <v>84.0</v>
      </c>
      <c r="G313" s="9">
        <v>2.719150794440768</v>
      </c>
      <c r="H313" s="9">
        <v>0.0010292571428571</v>
      </c>
      <c r="I313" s="7" t="b">
        <v>1</v>
      </c>
      <c r="J313" s="9">
        <v>0.0</v>
      </c>
      <c r="K313" s="7" t="b">
        <v>0</v>
      </c>
      <c r="L313" s="9">
        <v>7362.0</v>
      </c>
      <c r="M313" s="9">
        <v>87.6429</v>
      </c>
      <c r="N313" s="2" t="s">
        <v>3326</v>
      </c>
      <c r="O313" s="2" t="s">
        <v>2934</v>
      </c>
      <c r="P313" s="9">
        <v>42.53</v>
      </c>
      <c r="Q313" s="9">
        <v>38.0</v>
      </c>
      <c r="R313" s="9">
        <v>0.013963</v>
      </c>
      <c r="S313" s="9">
        <v>0.7224</v>
      </c>
      <c r="T313" s="9">
        <v>0.3131</v>
      </c>
      <c r="U313" s="2" t="s">
        <v>3329</v>
      </c>
      <c r="V313" s="9">
        <v>0.8635</v>
      </c>
      <c r="W313" s="2" t="s">
        <v>1771</v>
      </c>
      <c r="X313" s="2" t="s">
        <v>517</v>
      </c>
      <c r="Y313" s="2" t="s">
        <v>1593</v>
      </c>
      <c r="Z313" s="9">
        <v>0.647</v>
      </c>
      <c r="AA313" s="9">
        <v>0.7224</v>
      </c>
      <c r="AB313" s="9">
        <v>0.8635</v>
      </c>
      <c r="AC313" s="9">
        <v>0.1477</v>
      </c>
      <c r="AD313" s="9" t="str">
        <f t="shared" si="1"/>
        <v>#REF!</v>
      </c>
    </row>
    <row r="314" hidden="1">
      <c r="A314" s="2" t="s">
        <v>3330</v>
      </c>
      <c r="B314" s="2" t="s">
        <v>534</v>
      </c>
      <c r="C314" s="2" t="s">
        <v>1675</v>
      </c>
      <c r="D314" s="2" t="s">
        <v>64</v>
      </c>
      <c r="E314" s="7" t="b">
        <v>1</v>
      </c>
      <c r="F314" s="9">
        <v>4947.0</v>
      </c>
      <c r="G314" s="9">
        <v>10.91417642498951</v>
      </c>
      <c r="H314" s="9">
        <v>0.0386814240954113</v>
      </c>
      <c r="I314" s="7" t="b">
        <v>1</v>
      </c>
      <c r="J314" s="9">
        <v>0.0</v>
      </c>
      <c r="K314" s="7" t="b">
        <v>0</v>
      </c>
      <c r="L314" s="9">
        <v>1162.0</v>
      </c>
      <c r="M314" s="9">
        <v>0.2349</v>
      </c>
      <c r="N314" s="2" t="s">
        <v>2714</v>
      </c>
      <c r="O314" s="2" t="s">
        <v>587</v>
      </c>
      <c r="P314" s="9">
        <v>84.04</v>
      </c>
      <c r="Q314" s="9">
        <v>100.0</v>
      </c>
      <c r="R314" s="9">
        <v>0.0</v>
      </c>
      <c r="S314" s="9">
        <v>0.8465</v>
      </c>
      <c r="T314" s="9">
        <v>0.9894</v>
      </c>
      <c r="U314" s="2" t="s">
        <v>220</v>
      </c>
      <c r="V314" s="9">
        <v>0.4067</v>
      </c>
      <c r="W314" s="2" t="s">
        <v>134</v>
      </c>
      <c r="X314" s="2" t="s">
        <v>517</v>
      </c>
      <c r="Y314" s="2" t="s">
        <v>3335</v>
      </c>
      <c r="Z314" s="9">
        <v>0.6845</v>
      </c>
      <c r="AA314" s="9">
        <v>0.8465</v>
      </c>
      <c r="AB314" s="9">
        <v>0.4067</v>
      </c>
      <c r="AC314" s="9">
        <v>0.8382</v>
      </c>
      <c r="AD314" s="9" t="str">
        <f t="shared" si="1"/>
        <v>#REF!</v>
      </c>
    </row>
    <row r="315" hidden="1">
      <c r="A315" s="2" t="s">
        <v>3330</v>
      </c>
      <c r="B315" s="2" t="s">
        <v>542</v>
      </c>
      <c r="C315" s="2" t="s">
        <v>1675</v>
      </c>
      <c r="D315" s="2" t="s">
        <v>64</v>
      </c>
      <c r="E315" s="7" t="b">
        <v>1</v>
      </c>
      <c r="F315" s="9">
        <v>411.0</v>
      </c>
      <c r="G315" s="9">
        <v>9.444409374172809</v>
      </c>
      <c r="H315" s="9">
        <v>0.0049667114355231</v>
      </c>
      <c r="I315" s="7" t="b">
        <v>1</v>
      </c>
      <c r="J315" s="9">
        <v>0.0</v>
      </c>
      <c r="K315" s="7" t="b">
        <v>0</v>
      </c>
      <c r="L315" s="9">
        <v>466.0</v>
      </c>
      <c r="M315" s="9">
        <v>1.1338</v>
      </c>
      <c r="N315" s="2" t="s">
        <v>3338</v>
      </c>
      <c r="O315" s="2" t="s">
        <v>3339</v>
      </c>
      <c r="P315" s="9">
        <v>77.84</v>
      </c>
      <c r="Q315" s="9">
        <v>85.0</v>
      </c>
      <c r="R315" s="9">
        <v>0.046729</v>
      </c>
      <c r="S315" s="9">
        <v>0.7554</v>
      </c>
      <c r="T315" s="9">
        <v>0.9689</v>
      </c>
      <c r="U315" s="2" t="s">
        <v>2751</v>
      </c>
      <c r="V315" s="9">
        <v>0.6072</v>
      </c>
      <c r="W315" s="2" t="s">
        <v>198</v>
      </c>
      <c r="X315" s="2" t="s">
        <v>495</v>
      </c>
      <c r="Y315" s="2" t="s">
        <v>1980</v>
      </c>
      <c r="Z315" s="9">
        <v>0.6093</v>
      </c>
      <c r="AA315" s="9">
        <v>0.7554</v>
      </c>
      <c r="AB315" s="9">
        <v>0.6072</v>
      </c>
      <c r="AC315" s="9">
        <v>0.1918</v>
      </c>
      <c r="AD315" s="9" t="str">
        <f t="shared" si="1"/>
        <v>#REF!</v>
      </c>
    </row>
    <row r="316" hidden="1">
      <c r="A316" s="2" t="s">
        <v>3330</v>
      </c>
      <c r="B316" s="2" t="s">
        <v>982</v>
      </c>
      <c r="C316" s="2" t="s">
        <v>1675</v>
      </c>
      <c r="D316" s="2" t="s">
        <v>64</v>
      </c>
      <c r="E316" s="7" t="b">
        <v>1</v>
      </c>
      <c r="F316" s="9">
        <v>141.0</v>
      </c>
      <c r="G316" s="9">
        <v>12.37517736118672</v>
      </c>
      <c r="H316" s="9">
        <v>0.0103417163120567</v>
      </c>
      <c r="I316" s="7" t="b">
        <v>1</v>
      </c>
      <c r="J316" s="9">
        <v>0.0</v>
      </c>
      <c r="K316" s="7" t="b">
        <v>0</v>
      </c>
      <c r="L316" s="9">
        <v>36.0</v>
      </c>
      <c r="M316" s="9">
        <v>0.2553</v>
      </c>
      <c r="N316" s="2" t="s">
        <v>2162</v>
      </c>
      <c r="O316" s="2" t="s">
        <v>402</v>
      </c>
      <c r="P316" s="9">
        <v>67.39</v>
      </c>
      <c r="Q316" s="9">
        <v>61.5</v>
      </c>
      <c r="R316" s="9">
        <v>0.0</v>
      </c>
      <c r="S316" s="9">
        <v>0.438</v>
      </c>
      <c r="T316" s="9">
        <v>0.9606</v>
      </c>
      <c r="U316" s="2" t="s">
        <v>3343</v>
      </c>
      <c r="V316" s="9">
        <v>0.3</v>
      </c>
      <c r="W316" s="2" t="s">
        <v>1771</v>
      </c>
      <c r="X316" s="2" t="s">
        <v>1521</v>
      </c>
      <c r="Y316" s="2" t="s">
        <v>1491</v>
      </c>
      <c r="Z316" s="9">
        <v>0.3553</v>
      </c>
      <c r="AA316" s="9">
        <v>0.438</v>
      </c>
      <c r="AB316" s="9">
        <v>0.3</v>
      </c>
      <c r="AC316" s="9">
        <v>0.1731</v>
      </c>
      <c r="AD316" s="9" t="str">
        <f t="shared" si="1"/>
        <v>#REF!</v>
      </c>
    </row>
    <row r="317" hidden="1">
      <c r="A317" s="2" t="s">
        <v>3330</v>
      </c>
      <c r="B317" s="2" t="s">
        <v>997</v>
      </c>
      <c r="C317" s="2" t="s">
        <v>1675</v>
      </c>
      <c r="D317" s="2" t="s">
        <v>64</v>
      </c>
      <c r="E317" s="7" t="b">
        <v>1</v>
      </c>
      <c r="F317" s="9">
        <v>320.0</v>
      </c>
      <c r="G317" s="9">
        <v>22.07776109384067</v>
      </c>
      <c r="H317" s="9">
        <v>0.010498604375</v>
      </c>
      <c r="I317" s="7" t="b">
        <v>1</v>
      </c>
      <c r="J317" s="9">
        <v>0.0</v>
      </c>
      <c r="K317" s="7" t="b">
        <v>0</v>
      </c>
      <c r="L317" s="9">
        <v>139.0</v>
      </c>
      <c r="M317" s="9">
        <v>0.4344</v>
      </c>
      <c r="N317" s="2" t="s">
        <v>1784</v>
      </c>
      <c r="O317" s="2" t="s">
        <v>1426</v>
      </c>
      <c r="P317" s="9">
        <v>69.47</v>
      </c>
      <c r="Q317" s="9">
        <v>69.0</v>
      </c>
      <c r="R317" s="9">
        <v>0.0</v>
      </c>
      <c r="S317" s="9">
        <v>0.6032</v>
      </c>
      <c r="T317" s="9">
        <v>1.0014</v>
      </c>
      <c r="U317" s="2" t="s">
        <v>1092</v>
      </c>
      <c r="V317" s="9">
        <v>0.3</v>
      </c>
      <c r="W317" s="2" t="s">
        <v>157</v>
      </c>
      <c r="X317" s="2" t="s">
        <v>1466</v>
      </c>
      <c r="Y317" s="2" t="s">
        <v>2849</v>
      </c>
      <c r="Z317" s="9">
        <v>0.4736</v>
      </c>
      <c r="AA317" s="9">
        <v>0.6032</v>
      </c>
      <c r="AB317" s="9">
        <v>0.3</v>
      </c>
      <c r="AC317" s="9">
        <v>0.7287</v>
      </c>
      <c r="AD317" s="9" t="str">
        <f t="shared" si="1"/>
        <v>#REF!</v>
      </c>
    </row>
    <row r="318" hidden="1">
      <c r="A318" s="2" t="s">
        <v>3330</v>
      </c>
      <c r="B318" s="2" t="s">
        <v>1027</v>
      </c>
      <c r="C318" s="2" t="s">
        <v>1675</v>
      </c>
      <c r="D318" s="2" t="s">
        <v>64</v>
      </c>
      <c r="E318" s="7" t="b">
        <v>1</v>
      </c>
      <c r="F318" s="9">
        <v>183.0</v>
      </c>
      <c r="G318" s="9">
        <v>19.93192144295028</v>
      </c>
      <c r="H318" s="9">
        <v>0.0075625360655737</v>
      </c>
      <c r="I318" s="7" t="b">
        <v>1</v>
      </c>
      <c r="J318" s="9">
        <v>0.0</v>
      </c>
      <c r="K318" s="7" t="b">
        <v>0</v>
      </c>
      <c r="L318" s="9">
        <v>30.0</v>
      </c>
      <c r="M318" s="9">
        <v>0.1639</v>
      </c>
      <c r="N318" s="2" t="s">
        <v>2329</v>
      </c>
      <c r="O318" s="2" t="s">
        <v>1629</v>
      </c>
      <c r="P318" s="9">
        <v>61.23</v>
      </c>
      <c r="Q318" s="9">
        <v>56.0</v>
      </c>
      <c r="R318" s="9">
        <v>0.0</v>
      </c>
      <c r="S318" s="9">
        <v>0.3718</v>
      </c>
      <c r="T318" s="9">
        <v>0.8549</v>
      </c>
      <c r="U318" s="2" t="s">
        <v>964</v>
      </c>
      <c r="V318" s="9">
        <v>0.0</v>
      </c>
      <c r="W318" s="2" t="s">
        <v>82</v>
      </c>
      <c r="X318" s="2" t="s">
        <v>1466</v>
      </c>
      <c r="Y318" s="2" t="s">
        <v>1542</v>
      </c>
      <c r="Z318" s="9">
        <v>0.2861</v>
      </c>
      <c r="AA318" s="9">
        <v>0.3718</v>
      </c>
      <c r="AB318" s="9">
        <v>0.0</v>
      </c>
      <c r="AC318" s="9">
        <v>0.055</v>
      </c>
      <c r="AD318" s="9" t="str">
        <f t="shared" si="1"/>
        <v>#REF!</v>
      </c>
    </row>
    <row r="319" hidden="1">
      <c r="A319" s="2" t="s">
        <v>3330</v>
      </c>
      <c r="B319" s="2" t="s">
        <v>396</v>
      </c>
      <c r="C319" s="2" t="s">
        <v>1675</v>
      </c>
      <c r="D319" s="2" t="s">
        <v>64</v>
      </c>
      <c r="E319" s="7" t="b">
        <v>1</v>
      </c>
      <c r="F319" s="9">
        <v>135.0</v>
      </c>
      <c r="G319" s="9">
        <v>7.845828340557101</v>
      </c>
      <c r="H319" s="9">
        <v>0.0018605125925925</v>
      </c>
      <c r="I319" s="7" t="b">
        <v>1</v>
      </c>
      <c r="J319" s="9">
        <v>0.0</v>
      </c>
      <c r="K319" s="7" t="b">
        <v>0</v>
      </c>
      <c r="L319" s="9">
        <v>154.0</v>
      </c>
      <c r="M319" s="9">
        <v>1.1407</v>
      </c>
      <c r="N319" s="2" t="s">
        <v>1460</v>
      </c>
      <c r="O319" s="2" t="s">
        <v>1539</v>
      </c>
      <c r="P319" s="9">
        <v>38.33</v>
      </c>
      <c r="Q319" s="9">
        <v>36.0</v>
      </c>
      <c r="R319" s="9">
        <v>0.045455</v>
      </c>
      <c r="S319" s="9">
        <v>0.5869</v>
      </c>
      <c r="T319" s="9">
        <v>0.9411</v>
      </c>
      <c r="U319" s="2" t="s">
        <v>2333</v>
      </c>
      <c r="V319" s="9">
        <v>0.0</v>
      </c>
      <c r="W319" s="2" t="s">
        <v>157</v>
      </c>
      <c r="X319" s="2" t="s">
        <v>495</v>
      </c>
      <c r="Y319" s="2" t="s">
        <v>1418</v>
      </c>
      <c r="Z319" s="9">
        <v>0.4593</v>
      </c>
      <c r="AA319" s="9">
        <v>0.5869</v>
      </c>
      <c r="AB319" s="9">
        <v>0.0</v>
      </c>
      <c r="AC319" s="9">
        <v>0.8497</v>
      </c>
      <c r="AD319" s="9" t="str">
        <f t="shared" si="1"/>
        <v>#REF!</v>
      </c>
    </row>
    <row r="320" hidden="1">
      <c r="A320" s="2" t="s">
        <v>3358</v>
      </c>
      <c r="B320" s="2" t="s">
        <v>997</v>
      </c>
      <c r="C320" s="2" t="s">
        <v>1675</v>
      </c>
      <c r="D320" s="2" t="s">
        <v>64</v>
      </c>
      <c r="E320" s="7" t="b">
        <v>1</v>
      </c>
      <c r="F320" s="9">
        <v>56.0</v>
      </c>
      <c r="G320" s="9">
        <v>30.80267111113706</v>
      </c>
      <c r="H320" s="9">
        <v>0.0035896142857142</v>
      </c>
      <c r="I320" s="7" t="b">
        <v>1</v>
      </c>
      <c r="J320" s="9">
        <v>0.0</v>
      </c>
      <c r="K320" s="7" t="b">
        <v>0</v>
      </c>
      <c r="L320" s="9">
        <v>37.0</v>
      </c>
      <c r="M320" s="9">
        <v>0.6607</v>
      </c>
      <c r="N320" s="2" t="s">
        <v>2329</v>
      </c>
      <c r="O320" s="2" t="s">
        <v>2330</v>
      </c>
      <c r="P320" s="9">
        <v>68.35</v>
      </c>
      <c r="Q320" s="9">
        <v>67.0</v>
      </c>
      <c r="R320" s="9">
        <v>0.5</v>
      </c>
      <c r="S320" s="9">
        <v>0.4457</v>
      </c>
      <c r="T320" s="9">
        <v>1.0004</v>
      </c>
      <c r="U320" s="2" t="s">
        <v>1165</v>
      </c>
      <c r="V320" s="9">
        <v>0.0</v>
      </c>
      <c r="W320" s="2" t="s">
        <v>157</v>
      </c>
      <c r="X320" s="2" t="s">
        <v>495</v>
      </c>
      <c r="Y320" s="2" t="s">
        <v>1418</v>
      </c>
      <c r="Z320" s="9">
        <v>0.3471</v>
      </c>
      <c r="AA320" s="9">
        <v>0.4457</v>
      </c>
      <c r="AB320" s="9">
        <v>0.0</v>
      </c>
      <c r="AC320" s="9">
        <v>0.7463</v>
      </c>
      <c r="AD320" s="9" t="str">
        <f t="shared" si="1"/>
        <v>#REF!</v>
      </c>
    </row>
    <row r="321" hidden="1">
      <c r="A321" s="2" t="s">
        <v>3363</v>
      </c>
      <c r="B321" s="2" t="s">
        <v>997</v>
      </c>
      <c r="C321" s="2" t="s">
        <v>1675</v>
      </c>
      <c r="D321" s="2" t="s">
        <v>64</v>
      </c>
      <c r="E321" s="7" t="b">
        <v>1</v>
      </c>
      <c r="F321" s="9">
        <v>183.0</v>
      </c>
      <c r="G321" s="9">
        <v>17.04427374964861</v>
      </c>
      <c r="H321" s="9">
        <v>0.003587656830601</v>
      </c>
      <c r="I321" s="7" t="b">
        <v>1</v>
      </c>
      <c r="J321" s="9">
        <v>0.0</v>
      </c>
      <c r="K321" s="7" t="b">
        <v>0</v>
      </c>
      <c r="L321" s="9">
        <v>91.0</v>
      </c>
      <c r="M321" s="9">
        <v>0.4973</v>
      </c>
      <c r="N321" s="2" t="s">
        <v>1551</v>
      </c>
      <c r="O321" s="2" t="s">
        <v>1912</v>
      </c>
      <c r="P321" s="9">
        <v>57.2</v>
      </c>
      <c r="Q321" s="9">
        <v>55.0</v>
      </c>
      <c r="R321" s="9">
        <v>0.0</v>
      </c>
      <c r="S321" s="9">
        <v>0.5482</v>
      </c>
      <c r="T321" s="9">
        <v>0.99</v>
      </c>
      <c r="U321" s="2" t="s">
        <v>1786</v>
      </c>
      <c r="V321" s="9">
        <v>0.8193</v>
      </c>
      <c r="W321" s="2" t="s">
        <v>157</v>
      </c>
      <c r="X321" s="2" t="s">
        <v>517</v>
      </c>
      <c r="Y321" s="2" t="s">
        <v>3252</v>
      </c>
      <c r="Z321" s="9">
        <v>0.4299</v>
      </c>
      <c r="AA321" s="9">
        <v>0.5482</v>
      </c>
      <c r="AB321" s="9">
        <v>0.8193</v>
      </c>
      <c r="AC321" s="9">
        <v>0.6927</v>
      </c>
      <c r="AD321" s="9" t="str">
        <f t="shared" si="1"/>
        <v>#REF!</v>
      </c>
    </row>
    <row r="322" hidden="1">
      <c r="A322" s="2" t="s">
        <v>3363</v>
      </c>
      <c r="B322" s="2" t="s">
        <v>1024</v>
      </c>
      <c r="C322" s="2" t="s">
        <v>1675</v>
      </c>
      <c r="D322" s="2" t="s">
        <v>64</v>
      </c>
      <c r="E322" s="7" t="b">
        <v>1</v>
      </c>
      <c r="F322" s="9">
        <v>7482.0</v>
      </c>
      <c r="G322" s="9">
        <v>2.780682470405779</v>
      </c>
      <c r="H322" s="9">
        <v>0.0019232029270248</v>
      </c>
      <c r="I322" s="7" t="b">
        <v>1</v>
      </c>
      <c r="J322" s="9">
        <v>0.0</v>
      </c>
      <c r="K322" s="7" t="b">
        <v>0</v>
      </c>
      <c r="L322" s="9">
        <v>175.0</v>
      </c>
      <c r="M322" s="9">
        <v>0.0234</v>
      </c>
      <c r="N322" s="2" t="s">
        <v>1425</v>
      </c>
      <c r="O322" s="2" t="s">
        <v>231</v>
      </c>
      <c r="P322" s="9">
        <v>74.83</v>
      </c>
      <c r="Q322" s="9">
        <v>77.0</v>
      </c>
      <c r="R322" s="9">
        <v>0.0</v>
      </c>
      <c r="S322" s="9">
        <v>0.6126</v>
      </c>
      <c r="T322" s="9">
        <v>0.9884</v>
      </c>
      <c r="U322" s="2" t="s">
        <v>2602</v>
      </c>
      <c r="V322" s="9">
        <v>0.675</v>
      </c>
      <c r="W322" s="2" t="s">
        <v>82</v>
      </c>
      <c r="X322" s="2" t="s">
        <v>517</v>
      </c>
      <c r="Y322" s="2" t="s">
        <v>1835</v>
      </c>
      <c r="Z322" s="9">
        <v>0.4844</v>
      </c>
      <c r="AA322" s="9">
        <v>0.6126</v>
      </c>
      <c r="AB322" s="9">
        <v>0.675</v>
      </c>
      <c r="AC322" s="9">
        <v>0.1184</v>
      </c>
      <c r="AD322" s="9" t="str">
        <f t="shared" si="1"/>
        <v>#REF!</v>
      </c>
    </row>
    <row r="323" hidden="1">
      <c r="A323" s="2" t="s">
        <v>3372</v>
      </c>
      <c r="B323" s="2" t="s">
        <v>997</v>
      </c>
      <c r="C323" s="2" t="s">
        <v>1675</v>
      </c>
      <c r="D323" s="2" t="s">
        <v>64</v>
      </c>
      <c r="E323" s="7" t="b">
        <v>1</v>
      </c>
      <c r="F323" s="9">
        <v>71.0</v>
      </c>
      <c r="G323" s="9">
        <v>15.49840081717466</v>
      </c>
      <c r="H323" s="9">
        <v>0.001152366197183</v>
      </c>
      <c r="I323" s="7" t="b">
        <v>1</v>
      </c>
      <c r="J323" s="9">
        <v>0.0</v>
      </c>
      <c r="K323" s="7" t="b">
        <v>0</v>
      </c>
      <c r="L323" s="9">
        <v>29.0</v>
      </c>
      <c r="M323" s="9">
        <v>0.4085</v>
      </c>
      <c r="N323" s="2" t="s">
        <v>2016</v>
      </c>
      <c r="O323" s="2" t="s">
        <v>1462</v>
      </c>
      <c r="P323" s="9">
        <v>58.21</v>
      </c>
      <c r="Q323" s="9">
        <v>49.0</v>
      </c>
      <c r="R323" s="9">
        <v>0.166667</v>
      </c>
      <c r="S323" s="9">
        <v>0.4156</v>
      </c>
      <c r="T323" s="9">
        <v>1.0003</v>
      </c>
      <c r="U323" s="2" t="s">
        <v>688</v>
      </c>
      <c r="V323" s="9">
        <v>0.0</v>
      </c>
      <c r="W323" s="2" t="s">
        <v>157</v>
      </c>
      <c r="X323" s="2" t="s">
        <v>1466</v>
      </c>
      <c r="Y323" s="2" t="s">
        <v>3229</v>
      </c>
      <c r="Z323" s="9">
        <v>0.3236</v>
      </c>
      <c r="AA323" s="9">
        <v>0.4156</v>
      </c>
      <c r="AB323" s="9">
        <v>0.0</v>
      </c>
      <c r="AC323" s="9">
        <v>0.1636</v>
      </c>
      <c r="AD323" s="9" t="str">
        <f t="shared" si="1"/>
        <v>#REF!</v>
      </c>
    </row>
    <row r="324" hidden="1">
      <c r="A324" s="2" t="s">
        <v>3271</v>
      </c>
      <c r="B324" s="2" t="s">
        <v>306</v>
      </c>
      <c r="C324" s="2" t="s">
        <v>2773</v>
      </c>
      <c r="D324" s="2" t="s">
        <v>64</v>
      </c>
      <c r="E324" s="7" t="b">
        <v>1</v>
      </c>
      <c r="F324" s="9">
        <v>52.0</v>
      </c>
      <c r="G324" s="9">
        <v>11.64699561037866</v>
      </c>
      <c r="H324" s="9">
        <v>0.0026201153846153</v>
      </c>
      <c r="I324" s="7" t="b">
        <v>1</v>
      </c>
      <c r="J324" s="9">
        <v>0.0</v>
      </c>
      <c r="K324" s="7" t="b">
        <v>0</v>
      </c>
      <c r="L324" s="9">
        <v>65.0</v>
      </c>
      <c r="M324" s="9">
        <v>1.25</v>
      </c>
      <c r="N324" s="2" t="s">
        <v>1551</v>
      </c>
      <c r="O324" s="2" t="s">
        <v>1912</v>
      </c>
      <c r="P324" s="9">
        <v>42.45</v>
      </c>
      <c r="Q324" s="9">
        <v>40.0</v>
      </c>
      <c r="R324" s="9">
        <v>0.0</v>
      </c>
      <c r="S324" s="9">
        <v>0.533</v>
      </c>
      <c r="T324" s="9">
        <v>0.9605</v>
      </c>
      <c r="U324" s="2" t="s">
        <v>1000</v>
      </c>
      <c r="V324" s="9">
        <v>0.0</v>
      </c>
      <c r="W324" s="2" t="s">
        <v>157</v>
      </c>
      <c r="X324" s="2" t="s">
        <v>517</v>
      </c>
      <c r="Y324" s="2" t="s">
        <v>1375</v>
      </c>
      <c r="Z324" s="9">
        <v>0.4172</v>
      </c>
      <c r="AA324" s="9">
        <v>0.533</v>
      </c>
      <c r="AB324" s="9">
        <v>0.0</v>
      </c>
      <c r="AC324" s="9">
        <v>0.8789</v>
      </c>
      <c r="AD324" s="9" t="str">
        <f t="shared" si="1"/>
        <v>#REF!</v>
      </c>
    </row>
    <row r="325" hidden="1">
      <c r="A325" s="2" t="s">
        <v>3383</v>
      </c>
      <c r="B325" s="2" t="s">
        <v>48</v>
      </c>
      <c r="C325" s="2" t="s">
        <v>1675</v>
      </c>
      <c r="D325" s="2" t="s">
        <v>64</v>
      </c>
      <c r="E325" s="7" t="b">
        <v>1</v>
      </c>
      <c r="F325" s="9">
        <v>400.0</v>
      </c>
      <c r="G325" s="9">
        <v>6.44538539849372</v>
      </c>
      <c r="H325" s="9">
        <v>0.00113988</v>
      </c>
      <c r="I325" s="7" t="b">
        <v>1</v>
      </c>
      <c r="J325" s="9">
        <v>0.0</v>
      </c>
      <c r="K325" s="7" t="b">
        <v>0</v>
      </c>
      <c r="L325" s="9">
        <v>174.0</v>
      </c>
      <c r="M325" s="9">
        <v>0.435</v>
      </c>
      <c r="N325" s="2" t="s">
        <v>2105</v>
      </c>
      <c r="O325" s="2" t="s">
        <v>2866</v>
      </c>
      <c r="P325" s="9">
        <v>61.75</v>
      </c>
      <c r="Q325" s="9">
        <v>54.0</v>
      </c>
      <c r="R325" s="9">
        <v>0.020833</v>
      </c>
      <c r="S325" s="9">
        <v>0.514</v>
      </c>
      <c r="T325" s="9">
        <v>0.7186</v>
      </c>
      <c r="U325" s="2" t="s">
        <v>1434</v>
      </c>
      <c r="V325" s="9">
        <v>0.0</v>
      </c>
      <c r="W325" s="2" t="s">
        <v>198</v>
      </c>
      <c r="X325" s="2" t="s">
        <v>1521</v>
      </c>
      <c r="Y325" s="2" t="s">
        <v>3037</v>
      </c>
      <c r="Z325" s="9">
        <v>0.4484</v>
      </c>
      <c r="AA325" s="9">
        <v>0.514</v>
      </c>
      <c r="AB325" s="9">
        <v>0.0</v>
      </c>
      <c r="AC325" s="9">
        <v>0.2048</v>
      </c>
      <c r="AD325" s="9" t="str">
        <f t="shared" si="1"/>
        <v>#REF!</v>
      </c>
    </row>
    <row r="326" hidden="1">
      <c r="A326" s="2" t="s">
        <v>3383</v>
      </c>
      <c r="B326" s="2" t="s">
        <v>503</v>
      </c>
      <c r="C326" s="2" t="s">
        <v>1675</v>
      </c>
      <c r="D326" s="2" t="s">
        <v>64</v>
      </c>
      <c r="E326" s="7" t="b">
        <v>1</v>
      </c>
      <c r="F326" s="9">
        <v>245.0</v>
      </c>
      <c r="G326" s="9">
        <v>18.11123611049915</v>
      </c>
      <c r="H326" s="9">
        <v>0.0071261706122448</v>
      </c>
      <c r="I326" s="7" t="b">
        <v>1</v>
      </c>
      <c r="J326" s="9">
        <v>0.0</v>
      </c>
      <c r="K326" s="7" t="b">
        <v>0</v>
      </c>
      <c r="L326" s="9">
        <v>166.0</v>
      </c>
      <c r="M326" s="9">
        <v>0.6776</v>
      </c>
      <c r="N326" s="2" t="s">
        <v>2277</v>
      </c>
      <c r="O326" s="2" t="s">
        <v>511</v>
      </c>
      <c r="P326" s="9">
        <v>67.73</v>
      </c>
      <c r="Q326" s="9">
        <v>56.0</v>
      </c>
      <c r="R326" s="9">
        <v>0.022727</v>
      </c>
      <c r="S326" s="9">
        <v>0.5596</v>
      </c>
      <c r="T326" s="9">
        <v>0.9315</v>
      </c>
      <c r="U326" s="2" t="s">
        <v>2724</v>
      </c>
      <c r="V326" s="9">
        <v>0.8786</v>
      </c>
      <c r="W326" s="2" t="s">
        <v>157</v>
      </c>
      <c r="X326" s="2" t="s">
        <v>495</v>
      </c>
      <c r="Y326" s="2" t="s">
        <v>1980</v>
      </c>
      <c r="Z326" s="9">
        <v>0.4504</v>
      </c>
      <c r="AA326" s="9">
        <v>0.5596</v>
      </c>
      <c r="AB326" s="9">
        <v>0.8786</v>
      </c>
      <c r="AC326" s="9">
        <v>0.1655</v>
      </c>
      <c r="AD326" s="9" t="str">
        <f t="shared" si="1"/>
        <v>#REF!</v>
      </c>
    </row>
    <row r="327" hidden="1">
      <c r="A327" s="2" t="s">
        <v>3383</v>
      </c>
      <c r="B327" s="2" t="s">
        <v>542</v>
      </c>
      <c r="C327" s="2" t="s">
        <v>1675</v>
      </c>
      <c r="D327" s="2" t="s">
        <v>64</v>
      </c>
      <c r="E327" s="7" t="b">
        <v>1</v>
      </c>
      <c r="F327" s="9">
        <v>145.0</v>
      </c>
      <c r="G327" s="9">
        <v>14.49541342864129</v>
      </c>
      <c r="H327" s="9">
        <v>0.0041372013793103</v>
      </c>
      <c r="I327" s="7" t="b">
        <v>1</v>
      </c>
      <c r="J327" s="9">
        <v>0.0</v>
      </c>
      <c r="K327" s="7" t="b">
        <v>0</v>
      </c>
      <c r="L327" s="9">
        <v>135.0</v>
      </c>
      <c r="M327" s="9">
        <v>0.931</v>
      </c>
      <c r="N327" s="2" t="s">
        <v>3394</v>
      </c>
      <c r="O327" s="2" t="s">
        <v>2635</v>
      </c>
      <c r="P327" s="9">
        <v>76.83</v>
      </c>
      <c r="Q327" s="9">
        <v>69.0</v>
      </c>
      <c r="R327" s="9">
        <v>0.0</v>
      </c>
      <c r="S327" s="9">
        <v>0.6296</v>
      </c>
      <c r="T327" s="9">
        <v>1.0025</v>
      </c>
      <c r="U327" s="2" t="s">
        <v>2165</v>
      </c>
      <c r="V327" s="9">
        <v>0.0</v>
      </c>
      <c r="W327" s="2" t="s">
        <v>1124</v>
      </c>
      <c r="X327" s="2" t="s">
        <v>1466</v>
      </c>
      <c r="Y327" s="2" t="s">
        <v>1456</v>
      </c>
      <c r="Z327" s="9">
        <v>0.4926</v>
      </c>
      <c r="AA327" s="9">
        <v>0.6296</v>
      </c>
      <c r="AB327" s="9">
        <v>0.0</v>
      </c>
      <c r="AC327" s="9">
        <v>0.1551</v>
      </c>
      <c r="AD327" s="9" t="str">
        <f t="shared" si="1"/>
        <v>#REF!</v>
      </c>
    </row>
    <row r="328" hidden="1">
      <c r="A328" s="2" t="s">
        <v>3383</v>
      </c>
      <c r="B328" s="2" t="s">
        <v>501</v>
      </c>
      <c r="C328" s="2" t="s">
        <v>1675</v>
      </c>
      <c r="D328" s="2" t="s">
        <v>64</v>
      </c>
      <c r="E328" s="7" t="b">
        <v>1</v>
      </c>
      <c r="F328" s="9">
        <v>593.0</v>
      </c>
      <c r="G328" s="9">
        <v>3.693105764782368</v>
      </c>
      <c r="H328" s="9">
        <v>0.0010746910623946</v>
      </c>
      <c r="I328" s="7" t="b">
        <v>1</v>
      </c>
      <c r="J328" s="9">
        <v>0.0</v>
      </c>
      <c r="K328" s="7" t="b">
        <v>0</v>
      </c>
      <c r="L328" s="9">
        <v>1185.0</v>
      </c>
      <c r="M328" s="9">
        <v>1.9983</v>
      </c>
      <c r="N328" s="2" t="s">
        <v>1737</v>
      </c>
      <c r="O328" s="2" t="s">
        <v>2635</v>
      </c>
      <c r="P328" s="9">
        <v>46.9</v>
      </c>
      <c r="Q328" s="9">
        <v>42.0</v>
      </c>
      <c r="R328" s="9">
        <v>0.005348</v>
      </c>
      <c r="S328" s="9">
        <v>0.5204</v>
      </c>
      <c r="T328" s="9">
        <v>0.4541</v>
      </c>
      <c r="U328" s="2" t="s">
        <v>3035</v>
      </c>
      <c r="V328" s="9">
        <v>0.8651</v>
      </c>
      <c r="W328" s="15"/>
      <c r="X328" s="2" t="s">
        <v>1466</v>
      </c>
      <c r="Y328" s="2" t="s">
        <v>2821</v>
      </c>
      <c r="Z328" s="9">
        <v>0.4924</v>
      </c>
      <c r="AA328" s="9">
        <v>0.5204</v>
      </c>
      <c r="AB328" s="9">
        <v>0.8651</v>
      </c>
      <c r="AC328" s="9">
        <v>0.1766</v>
      </c>
      <c r="AD328" s="9" t="str">
        <f t="shared" si="1"/>
        <v>#REF!</v>
      </c>
    </row>
    <row r="329">
      <c r="A329" s="2" t="s">
        <v>1410</v>
      </c>
      <c r="B329" s="2" t="s">
        <v>306</v>
      </c>
      <c r="C329" s="2" t="s">
        <v>1675</v>
      </c>
      <c r="D329" s="2" t="s">
        <v>64</v>
      </c>
      <c r="E329" s="7" t="b">
        <v>1</v>
      </c>
      <c r="F329" s="9">
        <v>2261.0</v>
      </c>
      <c r="G329" s="9">
        <v>19.0434856487479</v>
      </c>
      <c r="H329" s="9">
        <v>0.2649629279080053</v>
      </c>
      <c r="I329" s="7" t="b">
        <v>1</v>
      </c>
      <c r="J329" s="9">
        <v>0.0</v>
      </c>
      <c r="K329" s="7" t="b">
        <v>0</v>
      </c>
      <c r="L329" s="9">
        <v>2309.0</v>
      </c>
      <c r="M329" s="9">
        <v>1.0212</v>
      </c>
      <c r="N329" s="2" t="s">
        <v>3406</v>
      </c>
      <c r="O329" s="2" t="s">
        <v>3407</v>
      </c>
      <c r="P329" s="9">
        <v>51.43</v>
      </c>
      <c r="Q329" s="9">
        <v>48.0</v>
      </c>
      <c r="R329" s="9">
        <v>0.01105</v>
      </c>
      <c r="S329" s="9">
        <v>0.93</v>
      </c>
      <c r="T329" s="9">
        <v>0.9889</v>
      </c>
      <c r="U329" s="2" t="s">
        <v>2129</v>
      </c>
      <c r="V329" s="9">
        <v>0.8667</v>
      </c>
      <c r="W329" s="2" t="s">
        <v>82</v>
      </c>
      <c r="X329" s="2" t="s">
        <v>99</v>
      </c>
      <c r="Y329" s="2" t="s">
        <v>1515</v>
      </c>
      <c r="Z329" s="9">
        <v>0.7792</v>
      </c>
      <c r="AA329" s="9">
        <v>0.93</v>
      </c>
      <c r="AB329" s="9">
        <v>0.8667</v>
      </c>
      <c r="AC329" s="9">
        <v>0.8598</v>
      </c>
      <c r="AD329" s="9" t="str">
        <f t="shared" si="1"/>
        <v>#REF!</v>
      </c>
    </row>
    <row r="330" hidden="1">
      <c r="A330" s="2" t="s">
        <v>1410</v>
      </c>
      <c r="B330" s="2" t="s">
        <v>396</v>
      </c>
      <c r="C330" s="2" t="s">
        <v>1675</v>
      </c>
      <c r="D330" s="2" t="s">
        <v>64</v>
      </c>
      <c r="E330" s="7" t="b">
        <v>1</v>
      </c>
      <c r="F330" s="9">
        <v>238.0</v>
      </c>
      <c r="G330" s="9">
        <v>8.463388901120103</v>
      </c>
      <c r="H330" s="9">
        <v>0.0038097100840336</v>
      </c>
      <c r="I330" s="7" t="b">
        <v>1</v>
      </c>
      <c r="J330" s="9">
        <v>0.0</v>
      </c>
      <c r="K330" s="7" t="b">
        <v>0</v>
      </c>
      <c r="L330" s="9">
        <v>254.0</v>
      </c>
      <c r="M330" s="9">
        <v>1.0672</v>
      </c>
      <c r="N330" s="2" t="s">
        <v>2105</v>
      </c>
      <c r="O330" s="2" t="s">
        <v>2172</v>
      </c>
      <c r="P330" s="9">
        <v>40.32</v>
      </c>
      <c r="Q330" s="9">
        <v>37.0</v>
      </c>
      <c r="R330" s="9">
        <v>0.040816</v>
      </c>
      <c r="S330" s="9">
        <v>0.5202</v>
      </c>
      <c r="T330" s="9">
        <v>0.681</v>
      </c>
      <c r="U330" s="2" t="s">
        <v>2048</v>
      </c>
      <c r="V330" s="9">
        <v>0.885</v>
      </c>
      <c r="W330" s="2" t="s">
        <v>82</v>
      </c>
      <c r="X330" s="2" t="s">
        <v>495</v>
      </c>
      <c r="Y330" s="2" t="s">
        <v>1479</v>
      </c>
      <c r="Z330" s="9">
        <v>0.4231</v>
      </c>
      <c r="AA330" s="9">
        <v>0.5202</v>
      </c>
      <c r="AB330" s="9">
        <v>0.885</v>
      </c>
      <c r="AC330" s="9">
        <v>0.2592</v>
      </c>
      <c r="AD330" s="9" t="str">
        <f t="shared" si="1"/>
        <v>#REF!</v>
      </c>
    </row>
    <row r="331" hidden="1">
      <c r="A331" s="2" t="s">
        <v>3416</v>
      </c>
      <c r="B331" s="2" t="s">
        <v>63</v>
      </c>
      <c r="C331" s="2" t="s">
        <v>1675</v>
      </c>
      <c r="D331" s="2" t="s">
        <v>64</v>
      </c>
      <c r="E331" s="7" t="b">
        <v>1</v>
      </c>
      <c r="F331" s="9">
        <v>342.0</v>
      </c>
      <c r="G331" s="9">
        <v>1.331422428063737</v>
      </c>
      <c r="H331" s="9">
        <v>0.0014490701754385</v>
      </c>
      <c r="I331" s="7" t="b">
        <v>1</v>
      </c>
      <c r="J331" s="9">
        <v>0.0</v>
      </c>
      <c r="K331" s="7" t="b">
        <v>0</v>
      </c>
      <c r="L331" s="9">
        <v>19667.0</v>
      </c>
      <c r="M331" s="9">
        <v>57.5058</v>
      </c>
      <c r="N331" s="2" t="s">
        <v>3420</v>
      </c>
      <c r="O331" s="2" t="s">
        <v>3421</v>
      </c>
      <c r="P331" s="9">
        <v>40.21</v>
      </c>
      <c r="Q331" s="9">
        <v>36.0</v>
      </c>
      <c r="R331" s="9">
        <v>0.006808</v>
      </c>
      <c r="S331" s="9">
        <v>0.7767</v>
      </c>
      <c r="T331" s="9">
        <v>0.1956</v>
      </c>
      <c r="U331" s="2" t="s">
        <v>3424</v>
      </c>
      <c r="V331" s="9">
        <v>0.8676</v>
      </c>
      <c r="W331" s="2" t="s">
        <v>2753</v>
      </c>
      <c r="X331" s="2" t="s">
        <v>1466</v>
      </c>
      <c r="Y331" s="2" t="s">
        <v>3114</v>
      </c>
      <c r="Z331" s="9">
        <v>0.6939</v>
      </c>
      <c r="AA331" s="9">
        <v>0.7767</v>
      </c>
      <c r="AB331" s="9">
        <v>0.8676</v>
      </c>
      <c r="AC331" s="9">
        <v>0.1367</v>
      </c>
      <c r="AD331" s="9" t="str">
        <f t="shared" si="1"/>
        <v>#REF!</v>
      </c>
    </row>
    <row r="332" hidden="1">
      <c r="A332" s="2" t="s">
        <v>3416</v>
      </c>
      <c r="B332" s="2" t="s">
        <v>186</v>
      </c>
      <c r="C332" s="2" t="s">
        <v>1675</v>
      </c>
      <c r="D332" s="2" t="s">
        <v>64</v>
      </c>
      <c r="E332" s="7" t="b">
        <v>1</v>
      </c>
      <c r="F332" s="9">
        <v>71.0</v>
      </c>
      <c r="G332" s="9">
        <v>2.023647300611535</v>
      </c>
      <c r="H332" s="9">
        <v>0.0020201267605633</v>
      </c>
      <c r="I332" s="7" t="b">
        <v>1</v>
      </c>
      <c r="J332" s="9">
        <v>0.0</v>
      </c>
      <c r="K332" s="7" t="b">
        <v>0</v>
      </c>
      <c r="L332" s="9">
        <v>19897.0</v>
      </c>
      <c r="M332" s="9">
        <v>280.2394</v>
      </c>
      <c r="N332" s="2" t="s">
        <v>3432</v>
      </c>
      <c r="O332" s="2" t="s">
        <v>3434</v>
      </c>
      <c r="P332" s="9">
        <v>40.37</v>
      </c>
      <c r="Q332" s="9">
        <v>37.0</v>
      </c>
      <c r="R332" s="9">
        <v>0.006393</v>
      </c>
      <c r="S332" s="9">
        <v>0.7743</v>
      </c>
      <c r="T332" s="9">
        <v>0.1927</v>
      </c>
      <c r="U332" s="2" t="s">
        <v>3436</v>
      </c>
      <c r="V332" s="9">
        <v>0.8674</v>
      </c>
      <c r="W332" s="2" t="s">
        <v>181</v>
      </c>
      <c r="X332" s="2" t="s">
        <v>1466</v>
      </c>
      <c r="Y332" s="2" t="s">
        <v>3114</v>
      </c>
      <c r="Z332" s="9">
        <v>0.6924</v>
      </c>
      <c r="AA332" s="9">
        <v>0.7743</v>
      </c>
      <c r="AB332" s="9">
        <v>0.8674</v>
      </c>
      <c r="AC332" s="9">
        <v>0.1395</v>
      </c>
      <c r="AD332" s="9" t="str">
        <f t="shared" si="1"/>
        <v>#REF!</v>
      </c>
    </row>
    <row r="333" hidden="1">
      <c r="A333" s="2" t="s">
        <v>3416</v>
      </c>
      <c r="B333" s="2" t="s">
        <v>937</v>
      </c>
      <c r="C333" s="2" t="s">
        <v>1675</v>
      </c>
      <c r="D333" s="2" t="s">
        <v>64</v>
      </c>
      <c r="E333" s="7" t="b">
        <v>1</v>
      </c>
      <c r="F333" s="9">
        <v>121.0</v>
      </c>
      <c r="G333" s="9">
        <v>1.785038830864005</v>
      </c>
      <c r="H333" s="9">
        <v>0.0017279958677685</v>
      </c>
      <c r="I333" s="7" t="b">
        <v>1</v>
      </c>
      <c r="J333" s="9">
        <v>0.0</v>
      </c>
      <c r="K333" s="7" t="b">
        <v>0</v>
      </c>
      <c r="L333" s="9">
        <v>31476.0</v>
      </c>
      <c r="M333" s="9">
        <v>260.1322</v>
      </c>
      <c r="N333" s="2" t="s">
        <v>3447</v>
      </c>
      <c r="O333" s="2" t="s">
        <v>3448</v>
      </c>
      <c r="P333" s="9">
        <v>38.79</v>
      </c>
      <c r="Q333" s="9">
        <v>36.0</v>
      </c>
      <c r="R333" s="9">
        <v>0.007723</v>
      </c>
      <c r="S333" s="9">
        <v>0.7815</v>
      </c>
      <c r="T333" s="9">
        <v>0.1911</v>
      </c>
      <c r="U333" s="2" t="s">
        <v>3424</v>
      </c>
      <c r="V333" s="9">
        <v>0.875</v>
      </c>
      <c r="W333" s="2" t="s">
        <v>3452</v>
      </c>
      <c r="X333" s="2" t="s">
        <v>1466</v>
      </c>
      <c r="Y333" s="2" t="s">
        <v>2821</v>
      </c>
      <c r="Z333" s="9">
        <v>0.7072</v>
      </c>
      <c r="AA333" s="9">
        <v>0.7815</v>
      </c>
      <c r="AB333" s="9">
        <v>0.875</v>
      </c>
      <c r="AC333" s="9">
        <v>0.1397</v>
      </c>
      <c r="AD333" s="9" t="str">
        <f t="shared" si="1"/>
        <v>#REF!</v>
      </c>
    </row>
    <row r="334" hidden="1">
      <c r="A334" s="2" t="s">
        <v>3416</v>
      </c>
      <c r="B334" s="2" t="s">
        <v>306</v>
      </c>
      <c r="C334" s="2" t="s">
        <v>1675</v>
      </c>
      <c r="D334" s="2" t="s">
        <v>64</v>
      </c>
      <c r="E334" s="7" t="b">
        <v>1</v>
      </c>
      <c r="F334" s="9">
        <v>1687.0</v>
      </c>
      <c r="G334" s="9">
        <v>9.074104017291278</v>
      </c>
      <c r="H334" s="9">
        <v>0.0490584469472436</v>
      </c>
      <c r="I334" s="7" t="b">
        <v>1</v>
      </c>
      <c r="J334" s="9">
        <v>0.0</v>
      </c>
      <c r="K334" s="7" t="b">
        <v>0</v>
      </c>
      <c r="L334" s="9">
        <v>1863.0</v>
      </c>
      <c r="M334" s="9">
        <v>1.1043</v>
      </c>
      <c r="N334" s="2" t="s">
        <v>3460</v>
      </c>
      <c r="O334" s="2" t="s">
        <v>3462</v>
      </c>
      <c r="P334" s="9">
        <v>46.42</v>
      </c>
      <c r="Q334" s="9">
        <v>43.0</v>
      </c>
      <c r="R334" s="9">
        <v>0.021944</v>
      </c>
      <c r="S334" s="9">
        <v>0.7877</v>
      </c>
      <c r="T334" s="9">
        <v>0.778</v>
      </c>
      <c r="U334" s="2" t="s">
        <v>2641</v>
      </c>
      <c r="V334" s="9">
        <v>0.8833</v>
      </c>
      <c r="W334" s="2" t="s">
        <v>82</v>
      </c>
      <c r="X334" s="2" t="s">
        <v>237</v>
      </c>
      <c r="Y334" s="2" t="s">
        <v>2637</v>
      </c>
      <c r="Z334" s="9">
        <v>0.7016</v>
      </c>
      <c r="AA334" s="9">
        <v>0.7877</v>
      </c>
      <c r="AB334" s="9">
        <v>0.8833</v>
      </c>
      <c r="AC334" s="9">
        <v>0.6346</v>
      </c>
      <c r="AD334" s="9" t="str">
        <f t="shared" si="1"/>
        <v>#REF!</v>
      </c>
    </row>
    <row r="335" hidden="1">
      <c r="A335" s="2" t="s">
        <v>3416</v>
      </c>
      <c r="B335" s="2" t="s">
        <v>982</v>
      </c>
      <c r="C335" s="2" t="s">
        <v>1675</v>
      </c>
      <c r="D335" s="2" t="s">
        <v>64</v>
      </c>
      <c r="E335" s="7" t="b">
        <v>1</v>
      </c>
      <c r="F335" s="9">
        <v>77.0</v>
      </c>
      <c r="G335" s="9">
        <v>14.39989814485501</v>
      </c>
      <c r="H335" s="9">
        <v>0.0076687454545454</v>
      </c>
      <c r="I335" s="7" t="b">
        <v>1</v>
      </c>
      <c r="J335" s="9">
        <v>0.0</v>
      </c>
      <c r="K335" s="7" t="b">
        <v>0</v>
      </c>
      <c r="L335" s="9">
        <v>141.0</v>
      </c>
      <c r="M335" s="9">
        <v>1.8312</v>
      </c>
      <c r="N335" s="2" t="s">
        <v>1724</v>
      </c>
      <c r="O335" s="2" t="s">
        <v>2380</v>
      </c>
      <c r="P335" s="9">
        <v>45.07</v>
      </c>
      <c r="Q335" s="9">
        <v>40.0</v>
      </c>
      <c r="R335" s="9">
        <v>0.0</v>
      </c>
      <c r="S335" s="9">
        <v>0.5378</v>
      </c>
      <c r="T335" s="9">
        <v>0.7938</v>
      </c>
      <c r="U335" s="2" t="s">
        <v>2991</v>
      </c>
      <c r="V335" s="9">
        <v>0.0</v>
      </c>
      <c r="W335" s="2" t="s">
        <v>3474</v>
      </c>
      <c r="X335" s="2" t="s">
        <v>1521</v>
      </c>
      <c r="Y335" s="2" t="s">
        <v>1536</v>
      </c>
      <c r="Z335" s="9">
        <v>0.4433</v>
      </c>
      <c r="AA335" s="9">
        <v>0.5378</v>
      </c>
      <c r="AB335" s="9">
        <v>0.0</v>
      </c>
      <c r="AC335" s="9">
        <v>0.2366</v>
      </c>
      <c r="AD335" s="9" t="str">
        <f t="shared" si="1"/>
        <v>#REF!</v>
      </c>
    </row>
    <row r="336" hidden="1">
      <c r="A336" s="2" t="s">
        <v>3416</v>
      </c>
      <c r="B336" s="2" t="s">
        <v>1040</v>
      </c>
      <c r="C336" s="2" t="s">
        <v>1675</v>
      </c>
      <c r="D336" s="2" t="s">
        <v>64</v>
      </c>
      <c r="E336" s="7" t="b">
        <v>1</v>
      </c>
      <c r="F336" s="9">
        <v>5171.0</v>
      </c>
      <c r="G336" s="9">
        <v>1.00203003084814</v>
      </c>
      <c r="H336" s="9">
        <v>0.0012451653451943</v>
      </c>
      <c r="I336" s="7" t="b">
        <v>1</v>
      </c>
      <c r="J336" s="9">
        <v>0.0</v>
      </c>
      <c r="K336" s="7" t="b">
        <v>0</v>
      </c>
      <c r="L336" s="9">
        <v>44374.0</v>
      </c>
      <c r="M336" s="9">
        <v>8.5813</v>
      </c>
      <c r="N336" s="2" t="s">
        <v>3479</v>
      </c>
      <c r="O336" s="2" t="s">
        <v>3480</v>
      </c>
      <c r="P336" s="9">
        <v>40.62</v>
      </c>
      <c r="Q336" s="9">
        <v>37.0</v>
      </c>
      <c r="R336" s="9">
        <v>0.008759</v>
      </c>
      <c r="S336" s="9">
        <v>0.7908</v>
      </c>
      <c r="T336" s="9">
        <v>0.1809</v>
      </c>
      <c r="U336" s="2" t="s">
        <v>3483</v>
      </c>
      <c r="V336" s="9">
        <v>0.8721</v>
      </c>
      <c r="W336" s="2" t="s">
        <v>1884</v>
      </c>
      <c r="X336" s="2" t="s">
        <v>1466</v>
      </c>
      <c r="Y336" s="2" t="s">
        <v>2821</v>
      </c>
      <c r="Z336" s="9">
        <v>0.7227</v>
      </c>
      <c r="AA336" s="9">
        <v>0.7908</v>
      </c>
      <c r="AB336" s="9">
        <v>0.8721</v>
      </c>
      <c r="AC336" s="9">
        <v>0.1443</v>
      </c>
      <c r="AD336" s="9" t="str">
        <f t="shared" si="1"/>
        <v>#REF!</v>
      </c>
    </row>
    <row r="337" hidden="1">
      <c r="A337" s="2" t="s">
        <v>3416</v>
      </c>
      <c r="B337" s="2" t="s">
        <v>1053</v>
      </c>
      <c r="C337" s="2" t="s">
        <v>1675</v>
      </c>
      <c r="D337" s="2" t="s">
        <v>64</v>
      </c>
      <c r="E337" s="7" t="b">
        <v>1</v>
      </c>
      <c r="F337" s="9">
        <v>491.0</v>
      </c>
      <c r="G337" s="9">
        <v>1.211322013682053</v>
      </c>
      <c r="H337" s="9">
        <v>0.0011871348268839</v>
      </c>
      <c r="I337" s="7" t="b">
        <v>1</v>
      </c>
      <c r="J337" s="9">
        <v>0.0</v>
      </c>
      <c r="K337" s="7" t="b">
        <v>0</v>
      </c>
      <c r="L337" s="9">
        <v>42914.0</v>
      </c>
      <c r="M337" s="9">
        <v>87.4012</v>
      </c>
      <c r="N337" s="2" t="s">
        <v>3493</v>
      </c>
      <c r="O337" s="2" t="s">
        <v>3495</v>
      </c>
      <c r="P337" s="9">
        <v>40.57</v>
      </c>
      <c r="Q337" s="9">
        <v>37.0</v>
      </c>
      <c r="R337" s="9">
        <v>0.009418</v>
      </c>
      <c r="S337" s="9">
        <v>0.7927</v>
      </c>
      <c r="T337" s="9">
        <v>0.1812</v>
      </c>
      <c r="U337" s="2" t="s">
        <v>3483</v>
      </c>
      <c r="V337" s="9">
        <v>0.8732</v>
      </c>
      <c r="W337" s="2" t="s">
        <v>1771</v>
      </c>
      <c r="X337" s="2" t="s">
        <v>1466</v>
      </c>
      <c r="Y337" s="2" t="s">
        <v>2821</v>
      </c>
      <c r="Z337" s="9">
        <v>0.7243</v>
      </c>
      <c r="AA337" s="9">
        <v>0.7927</v>
      </c>
      <c r="AB337" s="9">
        <v>0.8732</v>
      </c>
      <c r="AC337" s="9">
        <v>0.1446</v>
      </c>
      <c r="AD337" s="9" t="str">
        <f t="shared" si="1"/>
        <v>#REF!</v>
      </c>
    </row>
    <row r="338" hidden="1">
      <c r="A338" s="2" t="s">
        <v>3501</v>
      </c>
      <c r="B338" s="2" t="s">
        <v>534</v>
      </c>
      <c r="C338" s="2" t="s">
        <v>1675</v>
      </c>
      <c r="D338" s="2" t="s">
        <v>64</v>
      </c>
      <c r="E338" s="7" t="b">
        <v>1</v>
      </c>
      <c r="F338" s="9">
        <v>1230.0</v>
      </c>
      <c r="G338" s="9">
        <v>34.43749555423146</v>
      </c>
      <c r="H338" s="9">
        <v>0.0964659886178861</v>
      </c>
      <c r="I338" s="7" t="b">
        <v>1</v>
      </c>
      <c r="J338" s="9">
        <v>0.0</v>
      </c>
      <c r="K338" s="7" t="b">
        <v>0</v>
      </c>
      <c r="L338" s="9">
        <v>625.0</v>
      </c>
      <c r="M338" s="9">
        <v>0.5081</v>
      </c>
      <c r="N338" s="2" t="s">
        <v>3505</v>
      </c>
      <c r="O338" s="2" t="s">
        <v>2528</v>
      </c>
      <c r="P338" s="9">
        <v>92.8</v>
      </c>
      <c r="Q338" s="9">
        <v>85.0</v>
      </c>
      <c r="R338" s="9">
        <v>0.009434</v>
      </c>
      <c r="S338" s="9">
        <v>0.7712</v>
      </c>
      <c r="T338" s="9">
        <v>0.9656</v>
      </c>
      <c r="U338" s="2" t="s">
        <v>1528</v>
      </c>
      <c r="V338" s="9">
        <v>0.6501</v>
      </c>
      <c r="W338" s="2" t="s">
        <v>1657</v>
      </c>
      <c r="X338" s="2" t="s">
        <v>495</v>
      </c>
      <c r="Y338" s="2" t="s">
        <v>1851</v>
      </c>
      <c r="Z338" s="9">
        <v>0.6188</v>
      </c>
      <c r="AA338" s="9">
        <v>0.7712</v>
      </c>
      <c r="AB338" s="9">
        <v>0.6501</v>
      </c>
      <c r="AC338" s="9">
        <v>0.695</v>
      </c>
      <c r="AD338" s="9" t="str">
        <f t="shared" si="1"/>
        <v>#REF!</v>
      </c>
    </row>
    <row r="339" hidden="1">
      <c r="A339" s="2" t="s">
        <v>3501</v>
      </c>
      <c r="B339" s="2" t="s">
        <v>542</v>
      </c>
      <c r="C339" s="2" t="s">
        <v>1675</v>
      </c>
      <c r="D339" s="2" t="s">
        <v>64</v>
      </c>
      <c r="E339" s="7" t="b">
        <v>1</v>
      </c>
      <c r="F339" s="9">
        <v>1907.0</v>
      </c>
      <c r="G339" s="9">
        <v>16.78455062083941</v>
      </c>
      <c r="H339" s="9">
        <v>0.0702553744100681</v>
      </c>
      <c r="I339" s="7" t="b">
        <v>1</v>
      </c>
      <c r="J339" s="9">
        <v>0.0</v>
      </c>
      <c r="K339" s="7" t="b">
        <v>0</v>
      </c>
      <c r="L339" s="9">
        <v>2033.0</v>
      </c>
      <c r="M339" s="9">
        <v>1.0661</v>
      </c>
      <c r="N339" s="2" t="s">
        <v>3515</v>
      </c>
      <c r="O339" s="2" t="s">
        <v>3517</v>
      </c>
      <c r="P339" s="9">
        <v>86.03</v>
      </c>
      <c r="Q339" s="9">
        <v>74.0</v>
      </c>
      <c r="R339" s="9">
        <v>0.025581</v>
      </c>
      <c r="S339" s="9">
        <v>0.8707</v>
      </c>
      <c r="T339" s="9">
        <v>0.8976</v>
      </c>
      <c r="U339" s="2" t="s">
        <v>494</v>
      </c>
      <c r="V339" s="9">
        <v>0.6928</v>
      </c>
      <c r="W339" s="2" t="s">
        <v>157</v>
      </c>
      <c r="X339" s="2" t="s">
        <v>237</v>
      </c>
      <c r="Y339" s="2" t="s">
        <v>1752</v>
      </c>
      <c r="Z339" s="9">
        <v>0.7431</v>
      </c>
      <c r="AA339" s="9">
        <v>0.8707</v>
      </c>
      <c r="AB339" s="9">
        <v>0.6928</v>
      </c>
      <c r="AC339" s="9">
        <v>0.1723</v>
      </c>
      <c r="AD339" s="9" t="str">
        <f t="shared" si="1"/>
        <v>#REF!</v>
      </c>
    </row>
    <row r="340" hidden="1">
      <c r="A340" s="2" t="s">
        <v>3501</v>
      </c>
      <c r="B340" s="2" t="s">
        <v>611</v>
      </c>
      <c r="C340" s="2" t="s">
        <v>1675</v>
      </c>
      <c r="D340" s="2" t="s">
        <v>64</v>
      </c>
      <c r="E340" s="7" t="b">
        <v>1</v>
      </c>
      <c r="F340" s="9">
        <v>73.0</v>
      </c>
      <c r="G340" s="9">
        <v>14.59499850723798</v>
      </c>
      <c r="H340" s="9">
        <v>0.0012612226027397</v>
      </c>
      <c r="I340" s="7" t="b">
        <v>1</v>
      </c>
      <c r="J340" s="9">
        <v>0.0</v>
      </c>
      <c r="K340" s="7" t="b">
        <v>0</v>
      </c>
      <c r="L340" s="9">
        <v>13.0</v>
      </c>
      <c r="M340" s="9">
        <v>0.1781</v>
      </c>
      <c r="N340" s="2" t="s">
        <v>1485</v>
      </c>
      <c r="O340" s="2" t="s">
        <v>1665</v>
      </c>
      <c r="P340" s="9">
        <v>36.92</v>
      </c>
      <c r="Q340" s="9">
        <v>35.0</v>
      </c>
      <c r="R340" s="9">
        <v>0.0</v>
      </c>
      <c r="S340" s="9">
        <v>0.1642</v>
      </c>
      <c r="T340" s="9">
        <v>0.5417</v>
      </c>
      <c r="U340" s="2" t="s">
        <v>1207</v>
      </c>
      <c r="V340" s="15"/>
      <c r="W340" s="2" t="s">
        <v>157</v>
      </c>
      <c r="X340" s="2" t="s">
        <v>1787</v>
      </c>
      <c r="Y340" s="2" t="s">
        <v>1788</v>
      </c>
      <c r="Z340" s="9">
        <v>0.1585</v>
      </c>
      <c r="AA340" s="9">
        <v>0.1642</v>
      </c>
      <c r="AB340" s="15"/>
      <c r="AC340" s="9">
        <v>0.161</v>
      </c>
      <c r="AD340" s="9" t="str">
        <f t="shared" si="1"/>
        <v>#REF!</v>
      </c>
    </row>
    <row r="341" hidden="1">
      <c r="A341" s="2" t="s">
        <v>3501</v>
      </c>
      <c r="B341" s="2" t="s">
        <v>969</v>
      </c>
      <c r="C341" s="2" t="s">
        <v>1675</v>
      </c>
      <c r="D341" s="2" t="s">
        <v>64</v>
      </c>
      <c r="E341" s="7" t="b">
        <v>1</v>
      </c>
      <c r="F341" s="9">
        <v>112.0</v>
      </c>
      <c r="G341" s="9">
        <v>13.23852900022793</v>
      </c>
      <c r="H341" s="9">
        <v>0.0032410098214285</v>
      </c>
      <c r="I341" s="7" t="b">
        <v>1</v>
      </c>
      <c r="J341" s="9">
        <v>0.0</v>
      </c>
      <c r="K341" s="7" t="b">
        <v>0</v>
      </c>
      <c r="L341" s="9">
        <v>26.0</v>
      </c>
      <c r="M341" s="9">
        <v>0.2321</v>
      </c>
      <c r="N341" s="2" t="s">
        <v>1952</v>
      </c>
      <c r="O341" s="2" t="s">
        <v>1552</v>
      </c>
      <c r="P341" s="9">
        <v>64.73</v>
      </c>
      <c r="Q341" s="9">
        <v>59.0</v>
      </c>
      <c r="R341" s="9">
        <v>0.0</v>
      </c>
      <c r="S341" s="9">
        <v>0.3096</v>
      </c>
      <c r="T341" s="9">
        <v>0.6289</v>
      </c>
      <c r="U341" s="2" t="s">
        <v>494</v>
      </c>
      <c r="V341" s="9">
        <v>0.55</v>
      </c>
      <c r="W341" s="2" t="s">
        <v>3537</v>
      </c>
      <c r="X341" s="2" t="s">
        <v>1521</v>
      </c>
      <c r="Y341" s="2" t="s">
        <v>3192</v>
      </c>
      <c r="Z341" s="9">
        <v>0.2442</v>
      </c>
      <c r="AA341" s="9">
        <v>0.3096</v>
      </c>
      <c r="AB341" s="9">
        <v>0.55</v>
      </c>
      <c r="AC341" s="9">
        <v>0.1074</v>
      </c>
      <c r="AD341" s="9" t="str">
        <f t="shared" si="1"/>
        <v>#REF!</v>
      </c>
    </row>
    <row r="342" hidden="1">
      <c r="A342" s="2" t="s">
        <v>3501</v>
      </c>
      <c r="B342" s="2" t="s">
        <v>982</v>
      </c>
      <c r="C342" s="2" t="s">
        <v>1675</v>
      </c>
      <c r="D342" s="2" t="s">
        <v>64</v>
      </c>
      <c r="E342" s="7" t="b">
        <v>1</v>
      </c>
      <c r="F342" s="9">
        <v>54.0</v>
      </c>
      <c r="G342" s="9">
        <v>13.7454221933379</v>
      </c>
      <c r="H342" s="9">
        <v>0.0049084388888888</v>
      </c>
      <c r="I342" s="7" t="b">
        <v>1</v>
      </c>
      <c r="J342" s="9">
        <v>0.0</v>
      </c>
      <c r="K342" s="7" t="b">
        <v>0</v>
      </c>
      <c r="L342" s="9">
        <v>114.0</v>
      </c>
      <c r="M342" s="9">
        <v>2.1111</v>
      </c>
      <c r="N342" s="2" t="s">
        <v>1948</v>
      </c>
      <c r="O342" s="2" t="s">
        <v>2090</v>
      </c>
      <c r="P342" s="9">
        <v>75.72</v>
      </c>
      <c r="Q342" s="9">
        <v>69.5</v>
      </c>
      <c r="R342" s="9">
        <v>0.0</v>
      </c>
      <c r="S342" s="9">
        <v>0.4509</v>
      </c>
      <c r="T342" s="9">
        <v>0.7563</v>
      </c>
      <c r="U342" s="2" t="s">
        <v>3545</v>
      </c>
      <c r="V342" s="9">
        <v>0.8193</v>
      </c>
      <c r="W342" s="2" t="s">
        <v>3546</v>
      </c>
      <c r="X342" s="2" t="s">
        <v>517</v>
      </c>
      <c r="Y342" s="2" t="s">
        <v>2869</v>
      </c>
      <c r="Z342" s="9">
        <v>0.4374</v>
      </c>
      <c r="AA342" s="9">
        <v>0.4509</v>
      </c>
      <c r="AB342" s="9">
        <v>0.8193</v>
      </c>
      <c r="AC342" s="9">
        <v>0.8442</v>
      </c>
      <c r="AD342" s="9" t="str">
        <f t="shared" si="1"/>
        <v>#REF!</v>
      </c>
    </row>
    <row r="343" hidden="1">
      <c r="A343" s="2" t="s">
        <v>3501</v>
      </c>
      <c r="B343" s="2" t="s">
        <v>1009</v>
      </c>
      <c r="C343" s="2" t="s">
        <v>1675</v>
      </c>
      <c r="D343" s="2" t="s">
        <v>64</v>
      </c>
      <c r="E343" s="7" t="b">
        <v>1</v>
      </c>
      <c r="F343" s="9">
        <v>286.0</v>
      </c>
      <c r="G343" s="9">
        <v>6.241569954647782</v>
      </c>
      <c r="H343" s="9">
        <v>0.0030239636363636</v>
      </c>
      <c r="I343" s="7" t="b">
        <v>1</v>
      </c>
      <c r="J343" s="9">
        <v>0.0</v>
      </c>
      <c r="K343" s="7" t="b">
        <v>0</v>
      </c>
      <c r="L343" s="9">
        <v>25.0</v>
      </c>
      <c r="M343" s="9">
        <v>0.0874</v>
      </c>
      <c r="N343" s="2" t="s">
        <v>2474</v>
      </c>
      <c r="O343" s="2" t="s">
        <v>2552</v>
      </c>
      <c r="P343" s="9">
        <v>42.56</v>
      </c>
      <c r="Q343" s="9">
        <v>35.0</v>
      </c>
      <c r="R343" s="9">
        <v>0.0</v>
      </c>
      <c r="S343" s="9">
        <v>0.3105</v>
      </c>
      <c r="T343" s="9">
        <v>0.6665</v>
      </c>
      <c r="U343" s="2" t="s">
        <v>1123</v>
      </c>
      <c r="V343" s="9">
        <v>0.0</v>
      </c>
      <c r="W343" s="2" t="s">
        <v>198</v>
      </c>
      <c r="X343" s="2" t="s">
        <v>1521</v>
      </c>
      <c r="Y343" s="2" t="s">
        <v>3555</v>
      </c>
      <c r="Z343" s="9">
        <v>0.2551</v>
      </c>
      <c r="AA343" s="9">
        <v>0.3105</v>
      </c>
      <c r="AB343" s="9">
        <v>0.0</v>
      </c>
      <c r="AC343" s="9">
        <v>0.6754</v>
      </c>
      <c r="AD343" s="9" t="str">
        <f t="shared" si="1"/>
        <v>#REF!</v>
      </c>
    </row>
    <row r="344" hidden="1">
      <c r="A344" s="2" t="s">
        <v>3501</v>
      </c>
      <c r="B344" s="2" t="s">
        <v>1027</v>
      </c>
      <c r="C344" s="2" t="s">
        <v>1675</v>
      </c>
      <c r="D344" s="2" t="s">
        <v>64</v>
      </c>
      <c r="E344" s="7" t="b">
        <v>1</v>
      </c>
      <c r="F344" s="9">
        <v>370.0</v>
      </c>
      <c r="G344" s="9">
        <v>9.936885277119911</v>
      </c>
      <c r="H344" s="9">
        <v>0.0038009297297297</v>
      </c>
      <c r="I344" s="7" t="b">
        <v>1</v>
      </c>
      <c r="J344" s="9">
        <v>0.0</v>
      </c>
      <c r="K344" s="7" t="b">
        <v>0</v>
      </c>
      <c r="L344" s="9">
        <v>49.0</v>
      </c>
      <c r="M344" s="9">
        <v>0.1324</v>
      </c>
      <c r="N344" s="2" t="s">
        <v>2162</v>
      </c>
      <c r="O344" s="2" t="s">
        <v>1953</v>
      </c>
      <c r="P344" s="9">
        <v>59.94</v>
      </c>
      <c r="Q344" s="9">
        <v>42.0</v>
      </c>
      <c r="R344" s="9">
        <v>0.0</v>
      </c>
      <c r="S344" s="9">
        <v>0.3147</v>
      </c>
      <c r="T344" s="9">
        <v>0.7111</v>
      </c>
      <c r="U344" s="2" t="s">
        <v>2450</v>
      </c>
      <c r="V344" s="15"/>
      <c r="W344" s="2" t="s">
        <v>82</v>
      </c>
      <c r="X344" s="2" t="s">
        <v>182</v>
      </c>
      <c r="Y344" s="2" t="s">
        <v>1498</v>
      </c>
      <c r="Z344" s="9">
        <v>0.2422</v>
      </c>
      <c r="AA344" s="9">
        <v>0.3147</v>
      </c>
      <c r="AB344" s="15"/>
      <c r="AC344" s="9">
        <v>0.114</v>
      </c>
      <c r="AD344" s="9" t="str">
        <f t="shared" si="1"/>
        <v>#REF!</v>
      </c>
    </row>
    <row r="345" hidden="1">
      <c r="A345" s="2" t="s">
        <v>3521</v>
      </c>
      <c r="B345" s="2" t="s">
        <v>474</v>
      </c>
      <c r="C345" s="2" t="s">
        <v>1675</v>
      </c>
      <c r="D345" s="2" t="s">
        <v>64</v>
      </c>
      <c r="E345" s="7" t="b">
        <v>1</v>
      </c>
      <c r="F345" s="9">
        <v>213.0</v>
      </c>
      <c r="G345" s="9">
        <v>2.279663153566811</v>
      </c>
      <c r="H345" s="9">
        <v>0.0015565258215962</v>
      </c>
      <c r="I345" s="7" t="b">
        <v>1</v>
      </c>
      <c r="J345" s="9">
        <v>0.0</v>
      </c>
      <c r="K345" s="7" t="b">
        <v>0</v>
      </c>
      <c r="L345" s="9">
        <v>348.0</v>
      </c>
      <c r="M345" s="9">
        <v>1.6338</v>
      </c>
      <c r="N345" s="2" t="s">
        <v>1433</v>
      </c>
      <c r="O345" s="2" t="s">
        <v>1953</v>
      </c>
      <c r="P345" s="9">
        <v>40.39</v>
      </c>
      <c r="Q345" s="9">
        <v>37.0</v>
      </c>
      <c r="R345" s="9">
        <v>0.011364</v>
      </c>
      <c r="S345" s="9">
        <v>0.3968</v>
      </c>
      <c r="T345" s="9">
        <v>0.3182</v>
      </c>
      <c r="U345" s="2" t="s">
        <v>2134</v>
      </c>
      <c r="V345" s="9">
        <v>0.8921</v>
      </c>
      <c r="W345" s="2" t="s">
        <v>1884</v>
      </c>
      <c r="X345" s="2" t="s">
        <v>517</v>
      </c>
      <c r="Y345" s="2" t="s">
        <v>3567</v>
      </c>
      <c r="Z345" s="9">
        <v>0.3412</v>
      </c>
      <c r="AA345" s="9">
        <v>0.3968</v>
      </c>
      <c r="AB345" s="9">
        <v>0.8921</v>
      </c>
      <c r="AC345" s="9">
        <v>0.1384</v>
      </c>
      <c r="AD345" s="9" t="str">
        <f t="shared" si="1"/>
        <v>#REF!</v>
      </c>
    </row>
    <row r="346" hidden="1">
      <c r="A346" s="2" t="s">
        <v>3521</v>
      </c>
      <c r="B346" s="2" t="s">
        <v>534</v>
      </c>
      <c r="C346" s="2" t="s">
        <v>1675</v>
      </c>
      <c r="D346" s="2" t="s">
        <v>64</v>
      </c>
      <c r="E346" s="7" t="b">
        <v>1</v>
      </c>
      <c r="F346" s="9">
        <v>2429.0</v>
      </c>
      <c r="G346" s="9">
        <v>26.37092363249608</v>
      </c>
      <c r="H346" s="9">
        <v>0.1102039489501852</v>
      </c>
      <c r="I346" s="7" t="b">
        <v>1</v>
      </c>
      <c r="J346" s="9">
        <v>0.0</v>
      </c>
      <c r="K346" s="7" t="b">
        <v>0</v>
      </c>
      <c r="L346" s="9">
        <v>885.0</v>
      </c>
      <c r="M346" s="9">
        <v>0.3643</v>
      </c>
      <c r="N346" s="2" t="s">
        <v>3571</v>
      </c>
      <c r="O346" s="2" t="s">
        <v>3572</v>
      </c>
      <c r="P346" s="9">
        <v>99.96</v>
      </c>
      <c r="Q346" s="9">
        <v>97.0</v>
      </c>
      <c r="R346" s="9">
        <v>0.0</v>
      </c>
      <c r="S346" s="9">
        <v>0.8005</v>
      </c>
      <c r="T346" s="9">
        <v>0.9691</v>
      </c>
      <c r="U346" s="2" t="s">
        <v>2338</v>
      </c>
      <c r="V346" s="9">
        <v>0.1576</v>
      </c>
      <c r="W346" s="2" t="s">
        <v>1657</v>
      </c>
      <c r="X346" s="2" t="s">
        <v>517</v>
      </c>
      <c r="Y346" s="2" t="s">
        <v>3335</v>
      </c>
      <c r="Z346" s="9">
        <v>0.651</v>
      </c>
      <c r="AA346" s="9">
        <v>0.8005</v>
      </c>
      <c r="AB346" s="9">
        <v>0.1576</v>
      </c>
      <c r="AC346" s="9">
        <v>0.7005</v>
      </c>
      <c r="AD346" s="9" t="str">
        <f t="shared" si="1"/>
        <v>#REF!</v>
      </c>
    </row>
    <row r="347" hidden="1">
      <c r="A347" s="2" t="s">
        <v>3521</v>
      </c>
      <c r="B347" s="2" t="s">
        <v>542</v>
      </c>
      <c r="C347" s="2" t="s">
        <v>1675</v>
      </c>
      <c r="D347" s="2" t="s">
        <v>64</v>
      </c>
      <c r="E347" s="7" t="b">
        <v>1</v>
      </c>
      <c r="F347" s="9">
        <v>956.0</v>
      </c>
      <c r="G347" s="9">
        <v>11.45431014696287</v>
      </c>
      <c r="H347" s="9">
        <v>0.01684560041841</v>
      </c>
      <c r="I347" s="7" t="b">
        <v>1</v>
      </c>
      <c r="J347" s="9">
        <v>0.0</v>
      </c>
      <c r="K347" s="7" t="b">
        <v>0</v>
      </c>
      <c r="L347" s="9">
        <v>653.0</v>
      </c>
      <c r="M347" s="9">
        <v>0.6831</v>
      </c>
      <c r="N347" s="2" t="s">
        <v>3578</v>
      </c>
      <c r="O347" s="2" t="s">
        <v>3580</v>
      </c>
      <c r="P347" s="9">
        <v>86.72</v>
      </c>
      <c r="Q347" s="9">
        <v>78.0</v>
      </c>
      <c r="R347" s="9">
        <v>0.016667</v>
      </c>
      <c r="S347" s="9">
        <v>0.7876</v>
      </c>
      <c r="T347" s="9">
        <v>0.9579</v>
      </c>
      <c r="U347" s="2" t="s">
        <v>3581</v>
      </c>
      <c r="V347" s="9">
        <v>0.2498</v>
      </c>
      <c r="W347" s="2" t="s">
        <v>1193</v>
      </c>
      <c r="X347" s="2" t="s">
        <v>517</v>
      </c>
      <c r="Y347" s="2" t="s">
        <v>1399</v>
      </c>
      <c r="Z347" s="9">
        <v>0.6421</v>
      </c>
      <c r="AA347" s="9">
        <v>0.7876</v>
      </c>
      <c r="AB347" s="9">
        <v>0.2498</v>
      </c>
      <c r="AC347" s="9">
        <v>0.1896</v>
      </c>
      <c r="AD347" s="9" t="str">
        <f t="shared" si="1"/>
        <v>#REF!</v>
      </c>
    </row>
    <row r="348" hidden="1">
      <c r="A348" s="2" t="s">
        <v>3521</v>
      </c>
      <c r="B348" s="2" t="s">
        <v>885</v>
      </c>
      <c r="C348" s="2" t="s">
        <v>1675</v>
      </c>
      <c r="D348" s="2" t="s">
        <v>64</v>
      </c>
      <c r="E348" s="7" t="b">
        <v>1</v>
      </c>
      <c r="F348" s="9">
        <v>1299.0</v>
      </c>
      <c r="G348" s="9">
        <v>6.614317135012163</v>
      </c>
      <c r="H348" s="9">
        <v>0.0053686475750577</v>
      </c>
      <c r="I348" s="7" t="b">
        <v>1</v>
      </c>
      <c r="J348" s="9">
        <v>0.0</v>
      </c>
      <c r="K348" s="7" t="b">
        <v>0</v>
      </c>
      <c r="L348" s="9">
        <v>3902.0</v>
      </c>
      <c r="M348" s="9">
        <v>3.0038</v>
      </c>
      <c r="N348" s="2" t="s">
        <v>2776</v>
      </c>
      <c r="O348" s="2" t="s">
        <v>1890</v>
      </c>
      <c r="P348" s="9">
        <v>107.87</v>
      </c>
      <c r="Q348" s="9">
        <v>109.5</v>
      </c>
      <c r="R348" s="9">
        <v>0.008621</v>
      </c>
      <c r="S348" s="9">
        <v>0.5212</v>
      </c>
      <c r="T348" s="9">
        <v>0.1113</v>
      </c>
      <c r="U348" s="2" t="s">
        <v>1067</v>
      </c>
      <c r="V348" s="9">
        <v>0.399</v>
      </c>
      <c r="W348" s="2" t="s">
        <v>1124</v>
      </c>
      <c r="X348" s="2" t="s">
        <v>1466</v>
      </c>
      <c r="Y348" s="2" t="s">
        <v>3589</v>
      </c>
      <c r="Z348" s="9">
        <v>0.4344</v>
      </c>
      <c r="AA348" s="9">
        <v>0.5212</v>
      </c>
      <c r="AB348" s="9">
        <v>0.399</v>
      </c>
      <c r="AC348" s="9">
        <v>0.6593</v>
      </c>
      <c r="AD348" s="9" t="str">
        <f t="shared" si="1"/>
        <v>#REF!</v>
      </c>
    </row>
    <row r="349" hidden="1">
      <c r="A349" s="2" t="s">
        <v>3521</v>
      </c>
      <c r="B349" s="2" t="s">
        <v>937</v>
      </c>
      <c r="C349" s="2" t="s">
        <v>1675</v>
      </c>
      <c r="D349" s="2" t="s">
        <v>64</v>
      </c>
      <c r="E349" s="7" t="b">
        <v>1</v>
      </c>
      <c r="F349" s="9">
        <v>165.0</v>
      </c>
      <c r="G349" s="9">
        <v>1.756228299196504</v>
      </c>
      <c r="H349" s="9">
        <v>0.0022743272727272</v>
      </c>
      <c r="I349" s="7" t="b">
        <v>1</v>
      </c>
      <c r="J349" s="9">
        <v>0.0</v>
      </c>
      <c r="K349" s="7" t="b">
        <v>0</v>
      </c>
      <c r="L349" s="9">
        <v>15153.0</v>
      </c>
      <c r="M349" s="9">
        <v>91.8364</v>
      </c>
      <c r="N349" s="2" t="s">
        <v>3595</v>
      </c>
      <c r="O349" s="2" t="s">
        <v>3596</v>
      </c>
      <c r="P349" s="9">
        <v>39.64</v>
      </c>
      <c r="Q349" s="9">
        <v>37.0</v>
      </c>
      <c r="R349" s="9">
        <v>0.008687</v>
      </c>
      <c r="S349" s="9">
        <v>0.7591</v>
      </c>
      <c r="T349" s="9">
        <v>0.2533</v>
      </c>
      <c r="U349" s="2" t="s">
        <v>3598</v>
      </c>
      <c r="V349" s="9">
        <v>0.8869</v>
      </c>
      <c r="W349" s="2" t="s">
        <v>3600</v>
      </c>
      <c r="X349" s="2" t="s">
        <v>1466</v>
      </c>
      <c r="Y349" s="2" t="s">
        <v>2821</v>
      </c>
      <c r="Z349" s="9">
        <v>0.6804</v>
      </c>
      <c r="AA349" s="9">
        <v>0.7591</v>
      </c>
      <c r="AB349" s="9">
        <v>0.8869</v>
      </c>
      <c r="AC349" s="9">
        <v>0.1563</v>
      </c>
      <c r="AD349" s="9" t="str">
        <f t="shared" si="1"/>
        <v>#REF!</v>
      </c>
    </row>
    <row r="350" hidden="1">
      <c r="A350" s="2" t="s">
        <v>3521</v>
      </c>
      <c r="B350" s="2" t="s">
        <v>306</v>
      </c>
      <c r="C350" s="2" t="s">
        <v>1675</v>
      </c>
      <c r="D350" s="2" t="s">
        <v>64</v>
      </c>
      <c r="E350" s="7" t="b">
        <v>1</v>
      </c>
      <c r="F350" s="9">
        <v>218.0</v>
      </c>
      <c r="G350" s="9">
        <v>32.18317476024832</v>
      </c>
      <c r="H350" s="9">
        <v>0.0819956376146789</v>
      </c>
      <c r="I350" s="7" t="b">
        <v>1</v>
      </c>
      <c r="J350" s="9">
        <v>0.0</v>
      </c>
      <c r="K350" s="7" t="b">
        <v>0</v>
      </c>
      <c r="L350" s="9">
        <v>143.0</v>
      </c>
      <c r="M350" s="9">
        <v>0.656</v>
      </c>
      <c r="N350" s="2" t="s">
        <v>1715</v>
      </c>
      <c r="O350" s="2" t="s">
        <v>3605</v>
      </c>
      <c r="P350" s="9">
        <v>70.67</v>
      </c>
      <c r="Q350" s="9">
        <v>56.0</v>
      </c>
      <c r="R350" s="9">
        <v>0.0</v>
      </c>
      <c r="S350" s="9">
        <v>0.5595</v>
      </c>
      <c r="T350" s="9">
        <v>0.877</v>
      </c>
      <c r="U350" s="2" t="s">
        <v>788</v>
      </c>
      <c r="V350" s="9">
        <v>0.8393</v>
      </c>
      <c r="W350" s="2" t="s">
        <v>82</v>
      </c>
      <c r="X350" s="2" t="s">
        <v>495</v>
      </c>
      <c r="Y350" s="2" t="s">
        <v>3609</v>
      </c>
      <c r="Z350" s="9">
        <v>0.444</v>
      </c>
      <c r="AA350" s="9">
        <v>0.5595</v>
      </c>
      <c r="AB350" s="9">
        <v>0.8393</v>
      </c>
      <c r="AC350" s="9">
        <v>0.2163</v>
      </c>
      <c r="AD350" s="9" t="str">
        <f t="shared" si="1"/>
        <v>#REF!</v>
      </c>
    </row>
    <row r="351" hidden="1">
      <c r="A351" s="2" t="s">
        <v>3521</v>
      </c>
      <c r="B351" s="2" t="s">
        <v>973</v>
      </c>
      <c r="C351" s="2" t="s">
        <v>1675</v>
      </c>
      <c r="D351" s="2" t="s">
        <v>64</v>
      </c>
      <c r="E351" s="7" t="b">
        <v>1</v>
      </c>
      <c r="F351" s="9">
        <v>74.0</v>
      </c>
      <c r="G351" s="9">
        <v>13.53987062880459</v>
      </c>
      <c r="H351" s="9">
        <v>0.0055756756756756</v>
      </c>
      <c r="I351" s="7" t="b">
        <v>1</v>
      </c>
      <c r="J351" s="9">
        <v>0.0</v>
      </c>
      <c r="K351" s="7" t="b">
        <v>0</v>
      </c>
      <c r="L351" s="9">
        <v>48.0</v>
      </c>
      <c r="M351" s="9">
        <v>0.6486</v>
      </c>
      <c r="N351" s="2" t="s">
        <v>2162</v>
      </c>
      <c r="O351" s="2" t="s">
        <v>1985</v>
      </c>
      <c r="P351" s="9">
        <v>54.81</v>
      </c>
      <c r="Q351" s="9">
        <v>45.0</v>
      </c>
      <c r="R351" s="9">
        <v>0.0</v>
      </c>
      <c r="S351" s="9">
        <v>0.4394</v>
      </c>
      <c r="T351" s="9">
        <v>0.8938</v>
      </c>
      <c r="U351" s="2" t="s">
        <v>3617</v>
      </c>
      <c r="V351" s="15"/>
      <c r="W351" s="2" t="s">
        <v>3619</v>
      </c>
      <c r="X351" s="2" t="s">
        <v>1455</v>
      </c>
      <c r="Y351" s="2" t="s">
        <v>1456</v>
      </c>
      <c r="Z351" s="9">
        <v>0.3554</v>
      </c>
      <c r="AA351" s="9">
        <v>0.4394</v>
      </c>
      <c r="AB351" s="15"/>
      <c r="AC351" s="9">
        <v>0.2305</v>
      </c>
      <c r="AD351" s="9" t="str">
        <f t="shared" si="1"/>
        <v>#REF!</v>
      </c>
    </row>
    <row r="352" hidden="1">
      <c r="A352" s="2" t="s">
        <v>3521</v>
      </c>
      <c r="B352" s="2" t="s">
        <v>982</v>
      </c>
      <c r="C352" s="2" t="s">
        <v>1675</v>
      </c>
      <c r="D352" s="2" t="s">
        <v>64</v>
      </c>
      <c r="E352" s="7" t="b">
        <v>1</v>
      </c>
      <c r="F352" s="9">
        <v>98.0</v>
      </c>
      <c r="G352" s="9">
        <v>5.424929662306753</v>
      </c>
      <c r="H352" s="9">
        <v>0.0013887275510204</v>
      </c>
      <c r="I352" s="7" t="b">
        <v>1</v>
      </c>
      <c r="J352" s="9">
        <v>0.0</v>
      </c>
      <c r="K352" s="7" t="b">
        <v>0</v>
      </c>
      <c r="L352" s="9">
        <v>98.0</v>
      </c>
      <c r="M352" s="9">
        <v>1.0</v>
      </c>
      <c r="N352" s="2" t="s">
        <v>3626</v>
      </c>
      <c r="O352" s="2" t="s">
        <v>231</v>
      </c>
      <c r="P352" s="9">
        <v>73.08</v>
      </c>
      <c r="Q352" s="9">
        <v>59.5</v>
      </c>
      <c r="R352" s="9">
        <v>0.0</v>
      </c>
      <c r="S352" s="9">
        <v>0.5002</v>
      </c>
      <c r="T352" s="9">
        <v>0.8839</v>
      </c>
      <c r="U352" s="2" t="s">
        <v>2293</v>
      </c>
      <c r="V352" s="15"/>
      <c r="W352" s="2" t="s">
        <v>3546</v>
      </c>
      <c r="X352" s="2" t="s">
        <v>1455</v>
      </c>
      <c r="Y352" s="2" t="s">
        <v>1456</v>
      </c>
      <c r="Z352" s="9">
        <v>0.4383</v>
      </c>
      <c r="AA352" s="9">
        <v>0.5002</v>
      </c>
      <c r="AB352" s="15"/>
      <c r="AC352" s="9">
        <v>0.7094</v>
      </c>
      <c r="AD352" s="9" t="str">
        <f t="shared" si="1"/>
        <v>#REF!</v>
      </c>
    </row>
    <row r="353" hidden="1">
      <c r="A353" s="2" t="s">
        <v>3521</v>
      </c>
      <c r="B353" s="2" t="s">
        <v>1019</v>
      </c>
      <c r="C353" s="2" t="s">
        <v>1675</v>
      </c>
      <c r="D353" s="2" t="s">
        <v>64</v>
      </c>
      <c r="E353" s="7" t="b">
        <v>1</v>
      </c>
      <c r="F353" s="9">
        <v>185.0</v>
      </c>
      <c r="G353" s="9">
        <v>17.45952577647965</v>
      </c>
      <c r="H353" s="9">
        <v>0.0239720972972972</v>
      </c>
      <c r="I353" s="7" t="b">
        <v>1</v>
      </c>
      <c r="J353" s="9">
        <v>0.0</v>
      </c>
      <c r="K353" s="7" t="b">
        <v>0</v>
      </c>
      <c r="L353" s="9">
        <v>114.0</v>
      </c>
      <c r="M353" s="9">
        <v>0.6162</v>
      </c>
      <c r="N353" s="2" t="s">
        <v>2105</v>
      </c>
      <c r="O353" s="2" t="s">
        <v>2008</v>
      </c>
      <c r="P353" s="9">
        <v>65.93</v>
      </c>
      <c r="Q353" s="9">
        <v>51.0</v>
      </c>
      <c r="R353" s="9">
        <v>0.076923</v>
      </c>
      <c r="S353" s="9">
        <v>0.5734</v>
      </c>
      <c r="T353" s="9">
        <v>0.9708</v>
      </c>
      <c r="U353" s="2" t="s">
        <v>1286</v>
      </c>
      <c r="V353" s="9">
        <v>0.0</v>
      </c>
      <c r="W353" s="2" t="s">
        <v>3636</v>
      </c>
      <c r="X353" s="2" t="s">
        <v>495</v>
      </c>
      <c r="Y353" s="2" t="s">
        <v>1418</v>
      </c>
      <c r="Z353" s="9">
        <v>0.4529</v>
      </c>
      <c r="AA353" s="9">
        <v>0.5734</v>
      </c>
      <c r="AB353" s="9">
        <v>0.0</v>
      </c>
      <c r="AC353" s="9">
        <v>0.8593</v>
      </c>
      <c r="AD353" s="9" t="str">
        <f t="shared" si="1"/>
        <v>#REF!</v>
      </c>
    </row>
    <row r="354" hidden="1">
      <c r="A354" s="2" t="s">
        <v>3521</v>
      </c>
      <c r="B354" s="2" t="s">
        <v>1027</v>
      </c>
      <c r="C354" s="2" t="s">
        <v>1675</v>
      </c>
      <c r="D354" s="2" t="s">
        <v>64</v>
      </c>
      <c r="E354" s="7" t="b">
        <v>1</v>
      </c>
      <c r="F354" s="9">
        <v>771.0</v>
      </c>
      <c r="G354" s="9">
        <v>9.218909756555652</v>
      </c>
      <c r="H354" s="9">
        <v>0.0067936167315175</v>
      </c>
      <c r="I354" s="7" t="b">
        <v>1</v>
      </c>
      <c r="J354" s="9">
        <v>0.0</v>
      </c>
      <c r="K354" s="7" t="b">
        <v>0</v>
      </c>
      <c r="L354" s="9">
        <v>200.0</v>
      </c>
      <c r="M354" s="9">
        <v>0.2594</v>
      </c>
      <c r="N354" s="2" t="s">
        <v>1879</v>
      </c>
      <c r="O354" s="2" t="s">
        <v>1451</v>
      </c>
      <c r="P354" s="9">
        <v>51.08</v>
      </c>
      <c r="Q354" s="9">
        <v>42.0</v>
      </c>
      <c r="R354" s="9">
        <v>0.023256</v>
      </c>
      <c r="S354" s="9">
        <v>0.3195</v>
      </c>
      <c r="T354" s="9">
        <v>0.3905</v>
      </c>
      <c r="U354" s="2" t="s">
        <v>3644</v>
      </c>
      <c r="V354" s="9">
        <v>0.0</v>
      </c>
      <c r="W354" s="2" t="s">
        <v>82</v>
      </c>
      <c r="X354" s="2" t="s">
        <v>1466</v>
      </c>
      <c r="Y354" s="2" t="s">
        <v>2393</v>
      </c>
      <c r="Z354" s="9">
        <v>0.2553</v>
      </c>
      <c r="AA354" s="9">
        <v>0.3195</v>
      </c>
      <c r="AB354" s="9">
        <v>0.0</v>
      </c>
      <c r="AC354" s="9">
        <v>0.1067</v>
      </c>
      <c r="AD354" s="9" t="str">
        <f t="shared" si="1"/>
        <v>#REF!</v>
      </c>
    </row>
    <row r="355" hidden="1">
      <c r="A355" s="2" t="s">
        <v>3521</v>
      </c>
      <c r="B355" s="2" t="s">
        <v>1040</v>
      </c>
      <c r="C355" s="2" t="s">
        <v>1675</v>
      </c>
      <c r="D355" s="2" t="s">
        <v>64</v>
      </c>
      <c r="E355" s="7" t="b">
        <v>1</v>
      </c>
      <c r="F355" s="9">
        <v>4861.0</v>
      </c>
      <c r="G355" s="9">
        <v>1.093413285335671</v>
      </c>
      <c r="H355" s="9">
        <v>0.0013932947953096</v>
      </c>
      <c r="I355" s="7" t="b">
        <v>1</v>
      </c>
      <c r="J355" s="9">
        <v>0.0</v>
      </c>
      <c r="K355" s="7" t="b">
        <v>0</v>
      </c>
      <c r="L355" s="9">
        <v>24856.0</v>
      </c>
      <c r="M355" s="9">
        <v>5.1134</v>
      </c>
      <c r="N355" s="2" t="s">
        <v>3652</v>
      </c>
      <c r="O355" s="2" t="s">
        <v>3653</v>
      </c>
      <c r="P355" s="9">
        <v>40.73</v>
      </c>
      <c r="Q355" s="9">
        <v>38.0</v>
      </c>
      <c r="R355" s="9">
        <v>0.008141</v>
      </c>
      <c r="S355" s="9">
        <v>0.7517</v>
      </c>
      <c r="T355" s="9">
        <v>0.2052</v>
      </c>
      <c r="U355" s="2" t="s">
        <v>2134</v>
      </c>
      <c r="V355" s="9">
        <v>0.8868</v>
      </c>
      <c r="W355" s="2" t="s">
        <v>1821</v>
      </c>
      <c r="X355" s="2" t="s">
        <v>1466</v>
      </c>
      <c r="Y355" s="2" t="s">
        <v>2821</v>
      </c>
      <c r="Z355" s="9">
        <v>0.688</v>
      </c>
      <c r="AA355" s="9">
        <v>0.7517</v>
      </c>
      <c r="AB355" s="9">
        <v>0.8868</v>
      </c>
      <c r="AC355" s="9">
        <v>0.1646</v>
      </c>
      <c r="AD355" s="9" t="str">
        <f t="shared" si="1"/>
        <v>#REF!</v>
      </c>
    </row>
    <row r="356" hidden="1">
      <c r="A356" s="2" t="s">
        <v>3521</v>
      </c>
      <c r="B356" s="2" t="s">
        <v>1047</v>
      </c>
      <c r="C356" s="2" t="s">
        <v>1675</v>
      </c>
      <c r="D356" s="2" t="s">
        <v>64</v>
      </c>
      <c r="E356" s="7" t="b">
        <v>1</v>
      </c>
      <c r="F356" s="9">
        <v>556.0</v>
      </c>
      <c r="G356" s="9">
        <v>1.403071569467337</v>
      </c>
      <c r="H356" s="9">
        <v>0.001938893884892</v>
      </c>
      <c r="I356" s="7" t="b">
        <v>1</v>
      </c>
      <c r="J356" s="9">
        <v>0.0</v>
      </c>
      <c r="K356" s="7" t="b">
        <v>0</v>
      </c>
      <c r="L356" s="9">
        <v>23334.0</v>
      </c>
      <c r="M356" s="9">
        <v>41.9676</v>
      </c>
      <c r="N356" s="2" t="s">
        <v>3660</v>
      </c>
      <c r="O356" s="2" t="s">
        <v>3661</v>
      </c>
      <c r="P356" s="9">
        <v>40.89</v>
      </c>
      <c r="Q356" s="9">
        <v>38.0</v>
      </c>
      <c r="R356" s="9">
        <v>0.007978</v>
      </c>
      <c r="S356" s="9">
        <v>0.7569</v>
      </c>
      <c r="T356" s="9">
        <v>0.1999</v>
      </c>
      <c r="U356" s="2" t="s">
        <v>2134</v>
      </c>
      <c r="V356" s="9">
        <v>0.8861</v>
      </c>
      <c r="W356" s="2" t="s">
        <v>1600</v>
      </c>
      <c r="X356" s="2" t="s">
        <v>1466</v>
      </c>
      <c r="Y356" s="2" t="s">
        <v>2821</v>
      </c>
      <c r="Z356" s="9">
        <v>0.6921</v>
      </c>
      <c r="AA356" s="9">
        <v>0.7569</v>
      </c>
      <c r="AB356" s="9">
        <v>0.8861</v>
      </c>
      <c r="AC356" s="9">
        <v>0.1643</v>
      </c>
      <c r="AD356" s="9" t="str">
        <f t="shared" si="1"/>
        <v>#REF!</v>
      </c>
    </row>
    <row r="357" hidden="1">
      <c r="A357" s="2" t="s">
        <v>3521</v>
      </c>
      <c r="B357" s="2" t="s">
        <v>1053</v>
      </c>
      <c r="C357" s="2" t="s">
        <v>1675</v>
      </c>
      <c r="D357" s="2" t="s">
        <v>64</v>
      </c>
      <c r="E357" s="7" t="b">
        <v>1</v>
      </c>
      <c r="F357" s="9">
        <v>617.0</v>
      </c>
      <c r="G357" s="9">
        <v>1.303128875226441</v>
      </c>
      <c r="H357" s="9">
        <v>0.0017210226904376</v>
      </c>
      <c r="I357" s="7" t="b">
        <v>1</v>
      </c>
      <c r="J357" s="9">
        <v>0.0</v>
      </c>
      <c r="K357" s="7" t="b">
        <v>0</v>
      </c>
      <c r="L357" s="9">
        <v>24325.0</v>
      </c>
      <c r="M357" s="9">
        <v>39.4246</v>
      </c>
      <c r="N357" s="2" t="s">
        <v>3671</v>
      </c>
      <c r="O357" s="2" t="s">
        <v>3672</v>
      </c>
      <c r="P357" s="9">
        <v>40.77</v>
      </c>
      <c r="Q357" s="9">
        <v>38.0</v>
      </c>
      <c r="R357" s="9">
        <v>0.008202</v>
      </c>
      <c r="S357" s="9">
        <v>0.754</v>
      </c>
      <c r="T357" s="9">
        <v>0.2046</v>
      </c>
      <c r="U357" s="2" t="s">
        <v>2134</v>
      </c>
      <c r="V357" s="9">
        <v>0.8866</v>
      </c>
      <c r="W357" s="2" t="s">
        <v>1771</v>
      </c>
      <c r="X357" s="2" t="s">
        <v>1466</v>
      </c>
      <c r="Y357" s="2" t="s">
        <v>2821</v>
      </c>
      <c r="Z357" s="9">
        <v>0.6903</v>
      </c>
      <c r="AA357" s="9">
        <v>0.754</v>
      </c>
      <c r="AB357" s="9">
        <v>0.8866</v>
      </c>
      <c r="AC357" s="9">
        <v>0.1652</v>
      </c>
      <c r="AD357" s="9" t="str">
        <f t="shared" si="1"/>
        <v>#REF!</v>
      </c>
    </row>
    <row r="358" hidden="1">
      <c r="A358" s="2" t="s">
        <v>3468</v>
      </c>
      <c r="B358" s="2" t="s">
        <v>474</v>
      </c>
      <c r="C358" s="2" t="s">
        <v>1675</v>
      </c>
      <c r="D358" s="2" t="s">
        <v>64</v>
      </c>
      <c r="E358" s="7" t="b">
        <v>1</v>
      </c>
      <c r="F358" s="9">
        <v>23.0</v>
      </c>
      <c r="G358" s="9">
        <v>6.13621619173817</v>
      </c>
      <c r="H358" s="9">
        <v>0.0012236347826086</v>
      </c>
      <c r="I358" s="7" t="b">
        <v>1</v>
      </c>
      <c r="J358" s="9">
        <v>0.0</v>
      </c>
      <c r="K358" s="7" t="b">
        <v>0</v>
      </c>
      <c r="L358" s="9">
        <v>20.0</v>
      </c>
      <c r="M358" s="9">
        <v>0.8696</v>
      </c>
      <c r="N358" s="2" t="s">
        <v>1485</v>
      </c>
      <c r="O358" s="2" t="s">
        <v>1665</v>
      </c>
      <c r="P358" s="9">
        <v>41.85</v>
      </c>
      <c r="Q358" s="9">
        <v>38.0</v>
      </c>
      <c r="R358" s="9">
        <v>0.0</v>
      </c>
      <c r="S358" s="9">
        <v>0.2404</v>
      </c>
      <c r="T358" s="9">
        <v>0.6046</v>
      </c>
      <c r="U358" s="2" t="s">
        <v>3676</v>
      </c>
      <c r="V358" s="9">
        <v>0.0</v>
      </c>
      <c r="W358" s="2" t="s">
        <v>82</v>
      </c>
      <c r="X358" s="2" t="s">
        <v>1466</v>
      </c>
      <c r="Y358" s="2" t="s">
        <v>3678</v>
      </c>
      <c r="Z358" s="9">
        <v>0.1888</v>
      </c>
      <c r="AA358" s="9">
        <v>0.2404</v>
      </c>
      <c r="AB358" s="9">
        <v>0.0</v>
      </c>
      <c r="AC358" s="9">
        <v>0.1829</v>
      </c>
      <c r="AD358" s="9" t="str">
        <f t="shared" si="1"/>
        <v>#REF!</v>
      </c>
    </row>
    <row r="359" hidden="1">
      <c r="A359" s="2" t="s">
        <v>3468</v>
      </c>
      <c r="B359" s="2" t="s">
        <v>1015</v>
      </c>
      <c r="C359" s="2" t="s">
        <v>1675</v>
      </c>
      <c r="D359" s="2" t="s">
        <v>64</v>
      </c>
      <c r="E359" s="7" t="b">
        <v>1</v>
      </c>
      <c r="F359" s="9">
        <v>122.0</v>
      </c>
      <c r="G359" s="9">
        <v>9.060957277446564</v>
      </c>
      <c r="H359" s="9">
        <v>0.002492144262295</v>
      </c>
      <c r="I359" s="7" t="b">
        <v>1</v>
      </c>
      <c r="J359" s="9">
        <v>0.0</v>
      </c>
      <c r="K359" s="7" t="b">
        <v>0</v>
      </c>
      <c r="L359" s="9">
        <v>53.0</v>
      </c>
      <c r="M359" s="9">
        <v>0.4344</v>
      </c>
      <c r="N359" s="2" t="s">
        <v>2024</v>
      </c>
      <c r="O359" s="2" t="s">
        <v>2025</v>
      </c>
      <c r="P359" s="9">
        <v>48.7</v>
      </c>
      <c r="Q359" s="9">
        <v>44.0</v>
      </c>
      <c r="R359" s="9">
        <v>0.25</v>
      </c>
      <c r="S359" s="9">
        <v>0.487</v>
      </c>
      <c r="T359" s="9">
        <v>0.9815</v>
      </c>
      <c r="U359" s="2" t="s">
        <v>2973</v>
      </c>
      <c r="V359" s="9">
        <v>0.525</v>
      </c>
      <c r="W359" s="2" t="s">
        <v>157</v>
      </c>
      <c r="X359" s="2" t="s">
        <v>517</v>
      </c>
      <c r="Y359" s="2" t="s">
        <v>2159</v>
      </c>
      <c r="Z359" s="9">
        <v>0.3852</v>
      </c>
      <c r="AA359" s="9">
        <v>0.487</v>
      </c>
      <c r="AB359" s="9">
        <v>0.525</v>
      </c>
      <c r="AC359" s="9">
        <v>0.234</v>
      </c>
      <c r="AD359" s="9" t="str">
        <f t="shared" si="1"/>
        <v>#REF!</v>
      </c>
    </row>
    <row r="360" hidden="1">
      <c r="A360" s="2" t="s">
        <v>3685</v>
      </c>
      <c r="B360" s="2" t="s">
        <v>441</v>
      </c>
      <c r="C360" s="2" t="s">
        <v>1675</v>
      </c>
      <c r="D360" s="2" t="s">
        <v>64</v>
      </c>
      <c r="E360" s="7" t="b">
        <v>1</v>
      </c>
      <c r="F360" s="9">
        <v>467.0</v>
      </c>
      <c r="G360" s="9">
        <v>11.477952457168</v>
      </c>
      <c r="H360" s="9">
        <v>0.0213088843683083</v>
      </c>
      <c r="I360" s="7" t="b">
        <v>1</v>
      </c>
      <c r="J360" s="9">
        <v>0.0</v>
      </c>
      <c r="K360" s="7" t="b">
        <v>0</v>
      </c>
      <c r="L360" s="9">
        <v>55.0</v>
      </c>
      <c r="M360" s="9">
        <v>0.1178</v>
      </c>
      <c r="N360" s="2" t="s">
        <v>1450</v>
      </c>
      <c r="O360" s="2" t="s">
        <v>2172</v>
      </c>
      <c r="P360" s="9">
        <v>113.44</v>
      </c>
      <c r="Q360" s="9">
        <v>109.0</v>
      </c>
      <c r="R360" s="9">
        <v>0.0</v>
      </c>
      <c r="S360" s="9">
        <v>0.4513</v>
      </c>
      <c r="T360" s="9">
        <v>0.9058</v>
      </c>
      <c r="U360" s="2" t="s">
        <v>2338</v>
      </c>
      <c r="V360" s="9">
        <v>0.3</v>
      </c>
      <c r="W360" s="2" t="s">
        <v>1193</v>
      </c>
      <c r="X360" s="2" t="s">
        <v>1466</v>
      </c>
      <c r="Y360" s="2" t="s">
        <v>2849</v>
      </c>
      <c r="Z360" s="9">
        <v>0.3702</v>
      </c>
      <c r="AA360" s="9">
        <v>0.4513</v>
      </c>
      <c r="AB360" s="9">
        <v>0.3</v>
      </c>
      <c r="AC360" s="9">
        <v>0.7237</v>
      </c>
      <c r="AD360" s="9" t="str">
        <f t="shared" si="1"/>
        <v>#REF!</v>
      </c>
    </row>
    <row r="361" hidden="1">
      <c r="A361" s="2" t="s">
        <v>3685</v>
      </c>
      <c r="B361" s="2" t="s">
        <v>534</v>
      </c>
      <c r="C361" s="2" t="s">
        <v>1675</v>
      </c>
      <c r="D361" s="2" t="s">
        <v>64</v>
      </c>
      <c r="E361" s="7" t="b">
        <v>1</v>
      </c>
      <c r="F361" s="9">
        <v>201.0</v>
      </c>
      <c r="G361" s="9">
        <v>9.433592626510046</v>
      </c>
      <c r="H361" s="9">
        <v>0.0012133656716417</v>
      </c>
      <c r="I361" s="7" t="b">
        <v>1</v>
      </c>
      <c r="J361" s="9">
        <v>0.0</v>
      </c>
      <c r="K361" s="7" t="b">
        <v>0</v>
      </c>
      <c r="L361" s="9">
        <v>17.0</v>
      </c>
      <c r="M361" s="9">
        <v>0.0846</v>
      </c>
      <c r="N361" s="2" t="s">
        <v>2619</v>
      </c>
      <c r="O361" s="2" t="s">
        <v>1462</v>
      </c>
      <c r="P361" s="9">
        <v>99.29</v>
      </c>
      <c r="Q361" s="9">
        <v>92.0</v>
      </c>
      <c r="R361" s="9">
        <v>0.0</v>
      </c>
      <c r="S361" s="9">
        <v>0.2662</v>
      </c>
      <c r="T361" s="9">
        <v>0.8025</v>
      </c>
      <c r="U361" s="2" t="s">
        <v>1416</v>
      </c>
      <c r="V361" s="15"/>
      <c r="W361" s="2" t="s">
        <v>1124</v>
      </c>
      <c r="X361" s="2" t="s">
        <v>182</v>
      </c>
      <c r="Y361" s="2" t="s">
        <v>3170</v>
      </c>
      <c r="Z361" s="9">
        <v>0.2416</v>
      </c>
      <c r="AA361" s="9">
        <v>0.2662</v>
      </c>
      <c r="AB361" s="15"/>
      <c r="AC361" s="9">
        <v>0.1402</v>
      </c>
      <c r="AD361" s="9" t="str">
        <f t="shared" si="1"/>
        <v>#REF!</v>
      </c>
    </row>
    <row r="362" hidden="1">
      <c r="A362" s="2" t="s">
        <v>3685</v>
      </c>
      <c r="B362" s="2" t="s">
        <v>976</v>
      </c>
      <c r="C362" s="2" t="s">
        <v>1675</v>
      </c>
      <c r="D362" s="2" t="s">
        <v>64</v>
      </c>
      <c r="E362" s="7" t="b">
        <v>1</v>
      </c>
      <c r="F362" s="9">
        <v>163.0</v>
      </c>
      <c r="G362" s="9">
        <v>16.95801004774926</v>
      </c>
      <c r="H362" s="9">
        <v>0.1176991411042944</v>
      </c>
      <c r="I362" s="7" t="b">
        <v>1</v>
      </c>
      <c r="J362" s="9">
        <v>0.0</v>
      </c>
      <c r="K362" s="7" t="b">
        <v>0</v>
      </c>
      <c r="L362" s="9">
        <v>2218.0</v>
      </c>
      <c r="M362" s="9">
        <v>13.6074</v>
      </c>
      <c r="N362" s="2" t="s">
        <v>3709</v>
      </c>
      <c r="O362" s="2" t="s">
        <v>3710</v>
      </c>
      <c r="P362" s="9">
        <v>110.01</v>
      </c>
      <c r="Q362" s="9">
        <v>106.0</v>
      </c>
      <c r="R362" s="9">
        <v>0.198807</v>
      </c>
      <c r="S362" s="9">
        <v>0.9225</v>
      </c>
      <c r="T362" s="9">
        <v>0.9771</v>
      </c>
      <c r="U362" s="2" t="s">
        <v>1016</v>
      </c>
      <c r="V362" s="9">
        <v>0.6023</v>
      </c>
      <c r="W362" s="2" t="s">
        <v>1193</v>
      </c>
      <c r="X362" s="2" t="s">
        <v>84</v>
      </c>
      <c r="Y362" s="2" t="s">
        <v>2675</v>
      </c>
      <c r="Z362" s="9">
        <v>0.7749</v>
      </c>
      <c r="AA362" s="9">
        <v>0.9225</v>
      </c>
      <c r="AB362" s="9">
        <v>0.6023</v>
      </c>
      <c r="AC362" s="9">
        <v>0.6904</v>
      </c>
      <c r="AD362" s="9" t="str">
        <f t="shared" si="1"/>
        <v>#REF!</v>
      </c>
    </row>
    <row r="363" hidden="1">
      <c r="A363" s="2" t="s">
        <v>3685</v>
      </c>
      <c r="B363" s="2" t="s">
        <v>982</v>
      </c>
      <c r="C363" s="2" t="s">
        <v>1675</v>
      </c>
      <c r="D363" s="2" t="s">
        <v>64</v>
      </c>
      <c r="E363" s="7" t="b">
        <v>1</v>
      </c>
      <c r="F363" s="9">
        <v>167.0</v>
      </c>
      <c r="G363" s="9">
        <v>18.45160943377217</v>
      </c>
      <c r="H363" s="9">
        <v>0.0270635928143712</v>
      </c>
      <c r="I363" s="7" t="b">
        <v>1</v>
      </c>
      <c r="J363" s="9">
        <v>0.0</v>
      </c>
      <c r="K363" s="7" t="b">
        <v>0</v>
      </c>
      <c r="L363" s="9">
        <v>332.0</v>
      </c>
      <c r="M363" s="9">
        <v>1.988</v>
      </c>
      <c r="N363" s="2" t="s">
        <v>3719</v>
      </c>
      <c r="O363" s="2" t="s">
        <v>3720</v>
      </c>
      <c r="P363" s="9">
        <v>105.68</v>
      </c>
      <c r="Q363" s="9">
        <v>103.0</v>
      </c>
      <c r="R363" s="9">
        <v>0.175</v>
      </c>
      <c r="S363" s="9">
        <v>0.7125</v>
      </c>
      <c r="T363" s="9">
        <v>0.947</v>
      </c>
      <c r="U363" s="2" t="s">
        <v>2426</v>
      </c>
      <c r="V363" s="9">
        <v>0.1562</v>
      </c>
      <c r="W363" s="2" t="s">
        <v>1657</v>
      </c>
      <c r="X363" s="2" t="s">
        <v>517</v>
      </c>
      <c r="Y363" s="2" t="s">
        <v>1399</v>
      </c>
      <c r="Z363" s="9">
        <v>0.5816</v>
      </c>
      <c r="AA363" s="9">
        <v>0.7125</v>
      </c>
      <c r="AB363" s="9">
        <v>0.1562</v>
      </c>
      <c r="AC363" s="9">
        <v>0.172</v>
      </c>
      <c r="AD363" s="9" t="str">
        <f t="shared" si="1"/>
        <v>#REF!</v>
      </c>
    </row>
    <row r="364" hidden="1">
      <c r="A364" s="2" t="s">
        <v>3685</v>
      </c>
      <c r="B364" s="2" t="s">
        <v>987</v>
      </c>
      <c r="C364" s="2" t="s">
        <v>1675</v>
      </c>
      <c r="D364" s="2" t="s">
        <v>64</v>
      </c>
      <c r="E364" s="7" t="b">
        <v>1</v>
      </c>
      <c r="F364" s="9">
        <v>115.0</v>
      </c>
      <c r="G364" s="9">
        <v>14.75105921658306</v>
      </c>
      <c r="H364" s="9">
        <v>0.035464904347826</v>
      </c>
      <c r="I364" s="7" t="b">
        <v>1</v>
      </c>
      <c r="J364" s="9">
        <v>0.0</v>
      </c>
      <c r="K364" s="7" t="b">
        <v>0</v>
      </c>
      <c r="L364" s="9">
        <v>860.0</v>
      </c>
      <c r="M364" s="9">
        <v>7.4783</v>
      </c>
      <c r="N364" s="2" t="s">
        <v>3728</v>
      </c>
      <c r="O364" s="2" t="s">
        <v>3729</v>
      </c>
      <c r="P364" s="9">
        <v>106.02</v>
      </c>
      <c r="Q364" s="9">
        <v>102.0</v>
      </c>
      <c r="R364" s="9">
        <v>0.196809</v>
      </c>
      <c r="S364" s="9">
        <v>0.8175</v>
      </c>
      <c r="T364" s="9">
        <v>0.9318</v>
      </c>
      <c r="U364" s="2" t="s">
        <v>3343</v>
      </c>
      <c r="V364" s="9">
        <v>0.1838</v>
      </c>
      <c r="W364" s="2" t="s">
        <v>1124</v>
      </c>
      <c r="X364" s="2" t="s">
        <v>495</v>
      </c>
      <c r="Y364" s="2" t="s">
        <v>3732</v>
      </c>
      <c r="Z364" s="9">
        <v>0.671</v>
      </c>
      <c r="AA364" s="9">
        <v>0.8175</v>
      </c>
      <c r="AB364" s="9">
        <v>0.1838</v>
      </c>
      <c r="AC364" s="9">
        <v>0.1585</v>
      </c>
      <c r="AD364" s="9" t="str">
        <f t="shared" si="1"/>
        <v>#REF!</v>
      </c>
    </row>
    <row r="365" hidden="1">
      <c r="A365" s="2" t="s">
        <v>3685</v>
      </c>
      <c r="B365" s="2" t="s">
        <v>992</v>
      </c>
      <c r="C365" s="2" t="s">
        <v>1675</v>
      </c>
      <c r="D365" s="2" t="s">
        <v>64</v>
      </c>
      <c r="E365" s="7" t="b">
        <v>1</v>
      </c>
      <c r="F365" s="9">
        <v>235.0</v>
      </c>
      <c r="G365" s="9">
        <v>17.20412212894772</v>
      </c>
      <c r="H365" s="9">
        <v>0.0340510212765957</v>
      </c>
      <c r="I365" s="7" t="b">
        <v>1</v>
      </c>
      <c r="J365" s="9">
        <v>0.0</v>
      </c>
      <c r="K365" s="7" t="b">
        <v>0</v>
      </c>
      <c r="L365" s="9">
        <v>492.0</v>
      </c>
      <c r="M365" s="9">
        <v>2.0936</v>
      </c>
      <c r="N365" s="2" t="s">
        <v>3736</v>
      </c>
      <c r="O365" s="2" t="s">
        <v>2716</v>
      </c>
      <c r="P365" s="9">
        <v>99.84</v>
      </c>
      <c r="Q365" s="9">
        <v>98.0</v>
      </c>
      <c r="R365" s="9">
        <v>0.2</v>
      </c>
      <c r="S365" s="9">
        <v>0.7634</v>
      </c>
      <c r="T365" s="9">
        <v>0.9735</v>
      </c>
      <c r="U365" s="2" t="s">
        <v>3078</v>
      </c>
      <c r="V365" s="9">
        <v>0.149</v>
      </c>
      <c r="W365" s="2" t="s">
        <v>134</v>
      </c>
      <c r="X365" s="2" t="s">
        <v>517</v>
      </c>
      <c r="Y365" s="2" t="s">
        <v>1399</v>
      </c>
      <c r="Z365" s="9">
        <v>0.6134</v>
      </c>
      <c r="AA365" s="9">
        <v>0.7634</v>
      </c>
      <c r="AB365" s="9">
        <v>0.149</v>
      </c>
      <c r="AC365" s="9">
        <v>0.1894</v>
      </c>
      <c r="AD365" s="9" t="str">
        <f t="shared" si="1"/>
        <v>#REF!</v>
      </c>
    </row>
    <row r="366" hidden="1">
      <c r="A366" s="2" t="s">
        <v>3685</v>
      </c>
      <c r="B366" s="2" t="s">
        <v>997</v>
      </c>
      <c r="C366" s="2" t="s">
        <v>1675</v>
      </c>
      <c r="D366" s="2" t="s">
        <v>64</v>
      </c>
      <c r="E366" s="7" t="b">
        <v>1</v>
      </c>
      <c r="F366" s="9">
        <v>8241.0</v>
      </c>
      <c r="G366" s="9">
        <v>48.60232554033957</v>
      </c>
      <c r="H366" s="9">
        <v>1.047616415483558</v>
      </c>
      <c r="I366" s="7" t="b">
        <v>1</v>
      </c>
      <c r="J366" s="9">
        <v>0.0</v>
      </c>
      <c r="K366" s="7" t="b">
        <v>0</v>
      </c>
      <c r="L366" s="9">
        <v>3765.0</v>
      </c>
      <c r="M366" s="9">
        <v>0.4569</v>
      </c>
      <c r="N366" s="2" t="s">
        <v>3740</v>
      </c>
      <c r="O366" s="2" t="s">
        <v>3741</v>
      </c>
      <c r="P366" s="9">
        <v>112.95</v>
      </c>
      <c r="Q366" s="9">
        <v>109.0</v>
      </c>
      <c r="R366" s="9">
        <v>0.196923</v>
      </c>
      <c r="S366" s="9">
        <v>0.9113</v>
      </c>
      <c r="T366" s="9">
        <v>0.9557</v>
      </c>
      <c r="U366" s="2" t="s">
        <v>1245</v>
      </c>
      <c r="V366" s="9">
        <v>0.1935</v>
      </c>
      <c r="W366" s="2" t="s">
        <v>82</v>
      </c>
      <c r="X366" s="2" t="s">
        <v>495</v>
      </c>
      <c r="Y366" s="2" t="s">
        <v>3744</v>
      </c>
      <c r="Z366" s="9">
        <v>0.7785</v>
      </c>
      <c r="AA366" s="9">
        <v>0.9113</v>
      </c>
      <c r="AB366" s="9">
        <v>0.1935</v>
      </c>
      <c r="AC366" s="9">
        <v>0.216</v>
      </c>
      <c r="AD366" s="9" t="str">
        <f t="shared" si="1"/>
        <v>#REF!</v>
      </c>
    </row>
    <row r="367" hidden="1">
      <c r="A367" s="2" t="s">
        <v>3685</v>
      </c>
      <c r="B367" s="2" t="s">
        <v>1004</v>
      </c>
      <c r="C367" s="2" t="s">
        <v>1675</v>
      </c>
      <c r="D367" s="2" t="s">
        <v>64</v>
      </c>
      <c r="E367" s="7" t="b">
        <v>1</v>
      </c>
      <c r="F367" s="9">
        <v>288.0</v>
      </c>
      <c r="G367" s="9">
        <v>8.26858165128812</v>
      </c>
      <c r="H367" s="9">
        <v>0.0017280791666666</v>
      </c>
      <c r="I367" s="7" t="b">
        <v>1</v>
      </c>
      <c r="J367" s="9">
        <v>0.0</v>
      </c>
      <c r="K367" s="7" t="b">
        <v>0</v>
      </c>
      <c r="L367" s="9">
        <v>10.0</v>
      </c>
      <c r="M367" s="9">
        <v>0.0347</v>
      </c>
      <c r="N367" s="2" t="s">
        <v>1485</v>
      </c>
      <c r="O367" s="2" t="s">
        <v>1486</v>
      </c>
      <c r="P367" s="9">
        <v>75.1</v>
      </c>
      <c r="Q367" s="9">
        <v>69.5</v>
      </c>
      <c r="R367" s="9">
        <v>0.5</v>
      </c>
      <c r="S367" s="9">
        <v>0.2372</v>
      </c>
      <c r="T367" s="9">
        <v>0.8563</v>
      </c>
      <c r="U367" s="2" t="s">
        <v>1207</v>
      </c>
      <c r="V367" s="9">
        <v>0.3</v>
      </c>
      <c r="W367" s="2" t="s">
        <v>82</v>
      </c>
      <c r="X367" s="2" t="s">
        <v>517</v>
      </c>
      <c r="Y367" s="2" t="s">
        <v>1437</v>
      </c>
      <c r="Z367" s="9">
        <v>0.2038</v>
      </c>
      <c r="AA367" s="9">
        <v>0.2372</v>
      </c>
      <c r="AB367" s="9">
        <v>0.3</v>
      </c>
      <c r="AC367" s="9">
        <v>0.3864</v>
      </c>
      <c r="AD367" s="9" t="str">
        <f t="shared" si="1"/>
        <v>#REF!</v>
      </c>
    </row>
    <row r="368" hidden="1">
      <c r="A368" s="2" t="s">
        <v>3685</v>
      </c>
      <c r="B368" s="2" t="s">
        <v>1009</v>
      </c>
      <c r="C368" s="2" t="s">
        <v>1675</v>
      </c>
      <c r="D368" s="2" t="s">
        <v>64</v>
      </c>
      <c r="E368" s="7" t="b">
        <v>1</v>
      </c>
      <c r="F368" s="9">
        <v>139.0</v>
      </c>
      <c r="G368" s="9">
        <v>7.657955500297845</v>
      </c>
      <c r="H368" s="9">
        <v>0.0022162402877697</v>
      </c>
      <c r="I368" s="7" t="b">
        <v>1</v>
      </c>
      <c r="J368" s="9">
        <v>0.0</v>
      </c>
      <c r="K368" s="7" t="b">
        <v>0</v>
      </c>
      <c r="L368" s="9">
        <v>11.0</v>
      </c>
      <c r="M368" s="9">
        <v>0.0791</v>
      </c>
      <c r="N368" s="2" t="s">
        <v>2474</v>
      </c>
      <c r="O368" s="2" t="s">
        <v>2475</v>
      </c>
      <c r="P368" s="9">
        <v>91.27</v>
      </c>
      <c r="Q368" s="9">
        <v>95.0</v>
      </c>
      <c r="R368" s="9">
        <v>0.0</v>
      </c>
      <c r="S368" s="9">
        <v>0.2736</v>
      </c>
      <c r="T368" s="9">
        <v>0.9262</v>
      </c>
      <c r="U368" s="2" t="s">
        <v>249</v>
      </c>
      <c r="V368" s="9">
        <v>0.0</v>
      </c>
      <c r="W368" s="2" t="s">
        <v>1821</v>
      </c>
      <c r="X368" s="2" t="s">
        <v>1466</v>
      </c>
      <c r="Y368" s="2" t="s">
        <v>2849</v>
      </c>
      <c r="Z368" s="9">
        <v>0.2239</v>
      </c>
      <c r="AA368" s="9">
        <v>0.2736</v>
      </c>
      <c r="AB368" s="9">
        <v>0.0</v>
      </c>
      <c r="AC368" s="9">
        <v>0.7936</v>
      </c>
      <c r="AD368" s="9" t="str">
        <f t="shared" si="1"/>
        <v>#REF!</v>
      </c>
    </row>
    <row r="369" hidden="1">
      <c r="A369" s="2" t="s">
        <v>3685</v>
      </c>
      <c r="B369" s="2" t="s">
        <v>1015</v>
      </c>
      <c r="C369" s="2" t="s">
        <v>1675</v>
      </c>
      <c r="D369" s="2" t="s">
        <v>64</v>
      </c>
      <c r="E369" s="7" t="b">
        <v>1</v>
      </c>
      <c r="F369" s="9">
        <v>87.0</v>
      </c>
      <c r="G369" s="9">
        <v>11.26585840714637</v>
      </c>
      <c r="H369" s="9">
        <v>0.0027479517241379</v>
      </c>
      <c r="I369" s="7" t="b">
        <v>1</v>
      </c>
      <c r="J369" s="9">
        <v>0.0</v>
      </c>
      <c r="K369" s="7" t="b">
        <v>0</v>
      </c>
      <c r="L369" s="9">
        <v>7.0</v>
      </c>
      <c r="M369" s="9">
        <v>0.0805</v>
      </c>
      <c r="N369" s="2" t="s">
        <v>1495</v>
      </c>
      <c r="O369" s="2" t="s">
        <v>2552</v>
      </c>
      <c r="P369" s="9">
        <v>138.0</v>
      </c>
      <c r="Q369" s="9">
        <v>154.0</v>
      </c>
      <c r="R369" s="9">
        <v>0.0</v>
      </c>
      <c r="S369" s="9">
        <v>0.2452</v>
      </c>
      <c r="T369" s="9">
        <v>1.0002</v>
      </c>
      <c r="U369" s="2" t="s">
        <v>3270</v>
      </c>
      <c r="V369" s="9">
        <v>0.0</v>
      </c>
      <c r="W369" s="2" t="s">
        <v>3767</v>
      </c>
      <c r="X369" s="2" t="s">
        <v>1521</v>
      </c>
      <c r="Y369" s="2" t="s">
        <v>1491</v>
      </c>
      <c r="Z369" s="9">
        <v>0.19</v>
      </c>
      <c r="AA369" s="9">
        <v>0.2452</v>
      </c>
      <c r="AB369" s="9">
        <v>0.0</v>
      </c>
      <c r="AC369" s="9">
        <v>0.0923</v>
      </c>
      <c r="AD369" s="9" t="str">
        <f t="shared" si="1"/>
        <v>#REF!</v>
      </c>
    </row>
    <row r="370" hidden="1">
      <c r="A370" s="2" t="s">
        <v>3685</v>
      </c>
      <c r="B370" s="2" t="s">
        <v>1019</v>
      </c>
      <c r="C370" s="2" t="s">
        <v>1675</v>
      </c>
      <c r="D370" s="2" t="s">
        <v>64</v>
      </c>
      <c r="E370" s="7" t="b">
        <v>1</v>
      </c>
      <c r="F370" s="9">
        <v>390.0</v>
      </c>
      <c r="G370" s="9">
        <v>4.965598201565693</v>
      </c>
      <c r="H370" s="9">
        <v>0.0041092646153846</v>
      </c>
      <c r="I370" s="7" t="b">
        <v>1</v>
      </c>
      <c r="J370" s="9">
        <v>0.0</v>
      </c>
      <c r="K370" s="7" t="b">
        <v>0</v>
      </c>
      <c r="L370" s="9">
        <v>18.0</v>
      </c>
      <c r="M370" s="9">
        <v>0.0462</v>
      </c>
      <c r="N370" s="2" t="s">
        <v>2016</v>
      </c>
      <c r="O370" s="2" t="s">
        <v>2475</v>
      </c>
      <c r="P370" s="9">
        <v>80.56</v>
      </c>
      <c r="Q370" s="9">
        <v>75.5</v>
      </c>
      <c r="R370" s="9">
        <v>0.0</v>
      </c>
      <c r="S370" s="9">
        <v>0.2975</v>
      </c>
      <c r="T370" s="9">
        <v>0.8807</v>
      </c>
      <c r="U370" s="2" t="s">
        <v>537</v>
      </c>
      <c r="V370" s="9">
        <v>0.3</v>
      </c>
      <c r="W370" s="2" t="s">
        <v>1124</v>
      </c>
      <c r="X370" s="2" t="s">
        <v>1466</v>
      </c>
      <c r="Y370" s="2" t="s">
        <v>2849</v>
      </c>
      <c r="Z370" s="9">
        <v>0.2486</v>
      </c>
      <c r="AA370" s="9">
        <v>0.2975</v>
      </c>
      <c r="AB370" s="9">
        <v>0.3</v>
      </c>
      <c r="AC370" s="9">
        <v>0.6556</v>
      </c>
      <c r="AD370" s="9" t="str">
        <f t="shared" si="1"/>
        <v>#REF!</v>
      </c>
    </row>
    <row r="371" hidden="1">
      <c r="A371" s="2" t="s">
        <v>3685</v>
      </c>
      <c r="B371" s="2" t="s">
        <v>1024</v>
      </c>
      <c r="C371" s="2" t="s">
        <v>1675</v>
      </c>
      <c r="D371" s="2" t="s">
        <v>64</v>
      </c>
      <c r="E371" s="7" t="b">
        <v>1</v>
      </c>
      <c r="F371" s="9">
        <v>1692.0</v>
      </c>
      <c r="G371" s="9">
        <v>5.522912297496564</v>
      </c>
      <c r="H371" s="9">
        <v>0.0017217128841607</v>
      </c>
      <c r="I371" s="7" t="b">
        <v>1</v>
      </c>
      <c r="J371" s="9">
        <v>0.0</v>
      </c>
      <c r="K371" s="7" t="b">
        <v>0</v>
      </c>
      <c r="L371" s="9">
        <v>27.0</v>
      </c>
      <c r="M371" s="9">
        <v>0.016</v>
      </c>
      <c r="N371" s="2" t="s">
        <v>2329</v>
      </c>
      <c r="O371" s="2" t="s">
        <v>2330</v>
      </c>
      <c r="P371" s="9">
        <v>114.26</v>
      </c>
      <c r="Q371" s="9">
        <v>128.0</v>
      </c>
      <c r="R371" s="9">
        <v>0.2</v>
      </c>
      <c r="S371" s="9">
        <v>0.384</v>
      </c>
      <c r="T371" s="9">
        <v>0.966</v>
      </c>
      <c r="U371" s="2" t="s">
        <v>3783</v>
      </c>
      <c r="V371" s="9">
        <v>0.2951</v>
      </c>
      <c r="W371" s="2" t="s">
        <v>157</v>
      </c>
      <c r="X371" s="2" t="s">
        <v>1466</v>
      </c>
      <c r="Y371" s="2" t="s">
        <v>3229</v>
      </c>
      <c r="Z371" s="9">
        <v>0.3003</v>
      </c>
      <c r="AA371" s="9">
        <v>0.384</v>
      </c>
      <c r="AB371" s="9">
        <v>0.2951</v>
      </c>
      <c r="AC371" s="9">
        <v>0.2204</v>
      </c>
      <c r="AD371" s="9" t="str">
        <f t="shared" si="1"/>
        <v>#REF!</v>
      </c>
    </row>
    <row r="372" hidden="1">
      <c r="A372" s="2" t="s">
        <v>2020</v>
      </c>
      <c r="B372" s="2" t="s">
        <v>997</v>
      </c>
      <c r="C372" s="2" t="s">
        <v>1675</v>
      </c>
      <c r="D372" s="2" t="s">
        <v>64</v>
      </c>
      <c r="E372" s="7" t="b">
        <v>1</v>
      </c>
      <c r="F372" s="9">
        <v>51.0</v>
      </c>
      <c r="G372" s="9">
        <v>39.35852962879505</v>
      </c>
      <c r="H372" s="9">
        <v>0.0053336</v>
      </c>
      <c r="I372" s="7" t="b">
        <v>1</v>
      </c>
      <c r="J372" s="9">
        <v>0.0</v>
      </c>
      <c r="K372" s="7" t="b">
        <v>0</v>
      </c>
      <c r="L372" s="9">
        <v>19.0</v>
      </c>
      <c r="M372" s="9">
        <v>0.3725</v>
      </c>
      <c r="N372" s="2" t="s">
        <v>2619</v>
      </c>
      <c r="O372" s="2" t="s">
        <v>1552</v>
      </c>
      <c r="P372" s="9">
        <v>108.53</v>
      </c>
      <c r="Q372" s="9">
        <v>109.0</v>
      </c>
      <c r="R372" s="9">
        <v>0.0</v>
      </c>
      <c r="S372" s="9">
        <v>0.3567</v>
      </c>
      <c r="T372" s="9">
        <v>1.0003</v>
      </c>
      <c r="U372" s="2" t="s">
        <v>3790</v>
      </c>
      <c r="V372" s="15"/>
      <c r="W372" s="2" t="s">
        <v>134</v>
      </c>
      <c r="X372" s="2" t="s">
        <v>182</v>
      </c>
      <c r="Y372" s="2" t="s">
        <v>1491</v>
      </c>
      <c r="Z372" s="9">
        <v>0.2778</v>
      </c>
      <c r="AA372" s="9">
        <v>0.3567</v>
      </c>
      <c r="AB372" s="15"/>
      <c r="AC372" s="9">
        <v>0.1785</v>
      </c>
      <c r="AD372" s="9" t="str">
        <f t="shared" si="1"/>
        <v>#REF!</v>
      </c>
    </row>
    <row r="373" hidden="1">
      <c r="A373" s="2" t="s">
        <v>2020</v>
      </c>
      <c r="B373" s="2" t="s">
        <v>1093</v>
      </c>
      <c r="C373" s="2" t="s">
        <v>1675</v>
      </c>
      <c r="D373" s="2" t="s">
        <v>64</v>
      </c>
      <c r="E373" s="7" t="b">
        <v>1</v>
      </c>
      <c r="F373" s="9">
        <v>807.0</v>
      </c>
      <c r="G373" s="9">
        <v>53.55038482205088</v>
      </c>
      <c r="H373" s="9">
        <v>1.901010408921933</v>
      </c>
      <c r="I373" s="7" t="b">
        <v>1</v>
      </c>
      <c r="J373" s="9">
        <v>0.0</v>
      </c>
      <c r="K373" s="7" t="b">
        <v>0</v>
      </c>
      <c r="L373" s="9">
        <v>980.0</v>
      </c>
      <c r="M373" s="9">
        <v>1.2144</v>
      </c>
      <c r="N373" s="2" t="s">
        <v>3797</v>
      </c>
      <c r="O373" s="2" t="s">
        <v>3798</v>
      </c>
      <c r="P373" s="9">
        <v>102.12</v>
      </c>
      <c r="Q373" s="9">
        <v>96.0</v>
      </c>
      <c r="R373" s="9">
        <v>0.027523</v>
      </c>
      <c r="S373" s="9">
        <v>0.7713</v>
      </c>
      <c r="T373" s="9">
        <v>0.9386</v>
      </c>
      <c r="U373" s="2" t="s">
        <v>1177</v>
      </c>
      <c r="V373" s="9">
        <v>0.8553</v>
      </c>
      <c r="W373" s="2" t="s">
        <v>82</v>
      </c>
      <c r="X373" s="2" t="s">
        <v>84</v>
      </c>
      <c r="Y373" s="2" t="s">
        <v>2340</v>
      </c>
      <c r="Z373" s="9">
        <v>0.5463</v>
      </c>
      <c r="AA373" s="9">
        <v>0.7713</v>
      </c>
      <c r="AB373" s="9">
        <v>0.8553</v>
      </c>
      <c r="AC373" s="9">
        <v>0.8295</v>
      </c>
      <c r="AD373" s="9" t="str">
        <f t="shared" si="1"/>
        <v>#REF!</v>
      </c>
    </row>
    <row r="374" hidden="1">
      <c r="A374" s="2" t="s">
        <v>3802</v>
      </c>
      <c r="B374" s="2" t="s">
        <v>997</v>
      </c>
      <c r="C374" s="2" t="s">
        <v>1675</v>
      </c>
      <c r="D374" s="2" t="s">
        <v>64</v>
      </c>
      <c r="E374" s="7" t="b">
        <v>1</v>
      </c>
      <c r="F374" s="9">
        <v>96.0</v>
      </c>
      <c r="G374" s="9">
        <v>29.15102127568576</v>
      </c>
      <c r="H374" s="9">
        <v>0.0055075375</v>
      </c>
      <c r="I374" s="7" t="b">
        <v>1</v>
      </c>
      <c r="J374" s="9">
        <v>0.0</v>
      </c>
      <c r="K374" s="7" t="b">
        <v>0</v>
      </c>
      <c r="L374" s="9">
        <v>68.0</v>
      </c>
      <c r="M374" s="9">
        <v>0.7083</v>
      </c>
      <c r="N374" s="2" t="s">
        <v>2162</v>
      </c>
      <c r="O374" s="2" t="s">
        <v>1396</v>
      </c>
      <c r="P374" s="9">
        <v>62.78</v>
      </c>
      <c r="Q374" s="9">
        <v>61.0</v>
      </c>
      <c r="R374" s="9">
        <v>0.0</v>
      </c>
      <c r="S374" s="9">
        <v>0.5139</v>
      </c>
      <c r="T374" s="9">
        <v>1.0006</v>
      </c>
      <c r="U374" s="2" t="s">
        <v>3808</v>
      </c>
      <c r="V374" s="9">
        <v>0.0</v>
      </c>
      <c r="W374" s="2" t="s">
        <v>157</v>
      </c>
      <c r="X374" s="2" t="s">
        <v>517</v>
      </c>
      <c r="Y374" s="2" t="s">
        <v>1375</v>
      </c>
      <c r="Z374" s="9">
        <v>0.4041</v>
      </c>
      <c r="AA374" s="9">
        <v>0.5139</v>
      </c>
      <c r="AB374" s="9">
        <v>0.0</v>
      </c>
      <c r="AC374" s="9">
        <v>0.8182</v>
      </c>
      <c r="AD374" s="9" t="str">
        <f t="shared" si="1"/>
        <v>#REF!</v>
      </c>
    </row>
    <row r="375" hidden="1">
      <c r="A375" s="2" t="s">
        <v>2163</v>
      </c>
      <c r="B375" s="2" t="s">
        <v>542</v>
      </c>
      <c r="C375" s="2" t="s">
        <v>1675</v>
      </c>
      <c r="D375" s="2" t="s">
        <v>64</v>
      </c>
      <c r="E375" s="7" t="b">
        <v>1</v>
      </c>
      <c r="F375" s="9">
        <v>51.0</v>
      </c>
      <c r="G375" s="9">
        <v>21.46607992140624</v>
      </c>
      <c r="H375" s="9">
        <v>0.0031961960784313</v>
      </c>
      <c r="I375" s="7" t="b">
        <v>1</v>
      </c>
      <c r="J375" s="9">
        <v>0.0</v>
      </c>
      <c r="K375" s="7" t="b">
        <v>0</v>
      </c>
      <c r="L375" s="9">
        <v>61.0</v>
      </c>
      <c r="M375" s="9">
        <v>1.1961</v>
      </c>
      <c r="N375" s="2" t="s">
        <v>1794</v>
      </c>
      <c r="O375" s="2" t="s">
        <v>1533</v>
      </c>
      <c r="P375" s="9">
        <v>74.79</v>
      </c>
      <c r="Q375" s="9">
        <v>67.0</v>
      </c>
      <c r="R375" s="9">
        <v>0.0</v>
      </c>
      <c r="S375" s="9">
        <v>0.5211</v>
      </c>
      <c r="T375" s="9">
        <v>0.9765</v>
      </c>
      <c r="U375" s="2" t="s">
        <v>3190</v>
      </c>
      <c r="V375" s="15"/>
      <c r="W375" s="2" t="s">
        <v>1124</v>
      </c>
      <c r="X375" s="2" t="s">
        <v>1455</v>
      </c>
      <c r="Y375" s="2" t="s">
        <v>1456</v>
      </c>
      <c r="Z375" s="9">
        <v>0.406</v>
      </c>
      <c r="AA375" s="9">
        <v>0.5211</v>
      </c>
      <c r="AB375" s="15"/>
      <c r="AC375" s="9">
        <v>0.1445</v>
      </c>
      <c r="AD375" s="9" t="str">
        <f t="shared" si="1"/>
        <v>#REF!</v>
      </c>
    </row>
    <row r="376" hidden="1">
      <c r="A376" s="2" t="s">
        <v>2163</v>
      </c>
      <c r="B376" s="2" t="s">
        <v>856</v>
      </c>
      <c r="C376" s="2" t="s">
        <v>1675</v>
      </c>
      <c r="D376" s="2" t="s">
        <v>64</v>
      </c>
      <c r="E376" s="7" t="b">
        <v>1</v>
      </c>
      <c r="F376" s="9">
        <v>65.0</v>
      </c>
      <c r="G376" s="9">
        <v>14.66661116504135</v>
      </c>
      <c r="H376" s="9">
        <v>0.0010739576923076</v>
      </c>
      <c r="I376" s="7" t="b">
        <v>1</v>
      </c>
      <c r="J376" s="9">
        <v>0.0</v>
      </c>
      <c r="K376" s="7" t="b">
        <v>0</v>
      </c>
      <c r="L376" s="9">
        <v>0.0</v>
      </c>
      <c r="M376" s="9">
        <v>0.0</v>
      </c>
      <c r="N376" s="15"/>
      <c r="O376" s="15"/>
      <c r="P376" s="15"/>
      <c r="Q376" s="15"/>
      <c r="R376" s="15"/>
      <c r="S376" s="9">
        <v>0.0</v>
      </c>
      <c r="T376" s="9">
        <v>0.0</v>
      </c>
      <c r="U376" s="15"/>
      <c r="V376" s="15"/>
      <c r="W376" s="2" t="s">
        <v>82</v>
      </c>
      <c r="X376" s="2" t="s">
        <v>1787</v>
      </c>
      <c r="Y376" s="2" t="s">
        <v>2211</v>
      </c>
      <c r="Z376" s="9">
        <v>0.0</v>
      </c>
      <c r="AA376" s="9">
        <v>0.0</v>
      </c>
      <c r="AB376" s="15"/>
      <c r="AC376" s="15"/>
      <c r="AD376" s="9" t="str">
        <f t="shared" si="1"/>
        <v>#REF!</v>
      </c>
    </row>
    <row r="377">
      <c r="A377" s="2" t="s">
        <v>2163</v>
      </c>
      <c r="B377" s="2" t="s">
        <v>306</v>
      </c>
      <c r="C377" s="2" t="s">
        <v>1675</v>
      </c>
      <c r="D377" s="2" t="s">
        <v>64</v>
      </c>
      <c r="E377" s="7" t="b">
        <v>1</v>
      </c>
      <c r="F377" s="9">
        <v>1123.0</v>
      </c>
      <c r="G377" s="9">
        <v>12.09542014363791</v>
      </c>
      <c r="H377" s="9">
        <v>0.0583620035618877</v>
      </c>
      <c r="I377" s="7" t="b">
        <v>1</v>
      </c>
      <c r="J377" s="9">
        <v>0.0</v>
      </c>
      <c r="K377" s="7" t="b">
        <v>0</v>
      </c>
      <c r="L377" s="9">
        <v>1247.0</v>
      </c>
      <c r="M377" s="9">
        <v>1.1104</v>
      </c>
      <c r="N377" s="2" t="s">
        <v>3830</v>
      </c>
      <c r="O377" s="2" t="s">
        <v>3831</v>
      </c>
      <c r="P377" s="9">
        <v>42.46</v>
      </c>
      <c r="Q377" s="9">
        <v>40.0</v>
      </c>
      <c r="R377" s="9">
        <v>0.0</v>
      </c>
      <c r="S377" s="9">
        <v>0.887</v>
      </c>
      <c r="T377" s="9">
        <v>0.983</v>
      </c>
      <c r="U377" s="2" t="s">
        <v>274</v>
      </c>
      <c r="V377" s="9">
        <v>0.0</v>
      </c>
      <c r="W377" s="2" t="s">
        <v>82</v>
      </c>
      <c r="X377" s="2" t="s">
        <v>237</v>
      </c>
      <c r="Y377" s="2" t="s">
        <v>3834</v>
      </c>
      <c r="Z377" s="9">
        <v>0.7186</v>
      </c>
      <c r="AA377" s="9">
        <v>0.887</v>
      </c>
      <c r="AB377" s="9">
        <v>0.0</v>
      </c>
      <c r="AC377" s="9">
        <v>0.8693</v>
      </c>
      <c r="AD377" s="9" t="str">
        <f t="shared" si="1"/>
        <v>#REF!</v>
      </c>
    </row>
    <row r="378" hidden="1">
      <c r="A378" s="2" t="s">
        <v>1471</v>
      </c>
      <c r="B378" s="2" t="s">
        <v>441</v>
      </c>
      <c r="C378" s="2" t="s">
        <v>1675</v>
      </c>
      <c r="D378" s="2" t="s">
        <v>64</v>
      </c>
      <c r="E378" s="7" t="b">
        <v>1</v>
      </c>
      <c r="F378" s="9">
        <v>130.0</v>
      </c>
      <c r="G378" s="9">
        <v>23.36347575757219</v>
      </c>
      <c r="H378" s="9">
        <v>0.0247804</v>
      </c>
      <c r="I378" s="7" t="b">
        <v>1</v>
      </c>
      <c r="J378" s="9">
        <v>0.0</v>
      </c>
      <c r="K378" s="7" t="b">
        <v>0</v>
      </c>
      <c r="L378" s="9">
        <v>124.0</v>
      </c>
      <c r="M378" s="9">
        <v>0.9538</v>
      </c>
      <c r="N378" s="2" t="s">
        <v>1794</v>
      </c>
      <c r="O378" s="2" t="s">
        <v>1795</v>
      </c>
      <c r="P378" s="9">
        <v>60.98</v>
      </c>
      <c r="Q378" s="9">
        <v>55.5</v>
      </c>
      <c r="R378" s="9">
        <v>0.0</v>
      </c>
      <c r="S378" s="9">
        <v>0.5887</v>
      </c>
      <c r="T378" s="9">
        <v>1.0011</v>
      </c>
      <c r="U378" s="2" t="s">
        <v>315</v>
      </c>
      <c r="V378" s="9">
        <v>0.675</v>
      </c>
      <c r="W378" s="2" t="s">
        <v>82</v>
      </c>
      <c r="X378" s="2" t="s">
        <v>237</v>
      </c>
      <c r="Y378" s="2" t="s">
        <v>1428</v>
      </c>
      <c r="Z378" s="9">
        <v>0.462</v>
      </c>
      <c r="AA378" s="9">
        <v>0.5887</v>
      </c>
      <c r="AB378" s="9">
        <v>0.675</v>
      </c>
      <c r="AC378" s="9">
        <v>0.8667</v>
      </c>
      <c r="AD378" s="9" t="str">
        <f t="shared" si="1"/>
        <v>#REF!</v>
      </c>
    </row>
    <row r="379" hidden="1">
      <c r="A379" s="2" t="s">
        <v>1471</v>
      </c>
      <c r="B379" s="2" t="s">
        <v>1009</v>
      </c>
      <c r="C379" s="2" t="s">
        <v>1675</v>
      </c>
      <c r="D379" s="2" t="s">
        <v>64</v>
      </c>
      <c r="E379" s="7" t="b">
        <v>1</v>
      </c>
      <c r="F379" s="9">
        <v>83.0</v>
      </c>
      <c r="G379" s="9">
        <v>15.16910844942252</v>
      </c>
      <c r="H379" s="9">
        <v>0.0051900469879518</v>
      </c>
      <c r="I379" s="7" t="b">
        <v>1</v>
      </c>
      <c r="J379" s="9">
        <v>0.0</v>
      </c>
      <c r="K379" s="7" t="b">
        <v>0</v>
      </c>
      <c r="L379" s="9">
        <v>3.0</v>
      </c>
      <c r="M379" s="9">
        <v>0.0361</v>
      </c>
      <c r="N379" s="2" t="s">
        <v>1664</v>
      </c>
      <c r="O379" s="2" t="s">
        <v>1665</v>
      </c>
      <c r="P379" s="9">
        <v>48.67</v>
      </c>
      <c r="Q379" s="9">
        <v>44.0</v>
      </c>
      <c r="R379" s="9">
        <v>0.0</v>
      </c>
      <c r="S379" s="9">
        <v>0.1401</v>
      </c>
      <c r="T379" s="9">
        <v>1.0</v>
      </c>
      <c r="U379" s="2" t="s">
        <v>2858</v>
      </c>
      <c r="V379" s="15"/>
      <c r="W379" s="2" t="s">
        <v>157</v>
      </c>
      <c r="X379" s="2" t="s">
        <v>182</v>
      </c>
      <c r="Y379" s="2" t="s">
        <v>1491</v>
      </c>
      <c r="Z379" s="9">
        <v>0.1083</v>
      </c>
      <c r="AA379" s="9">
        <v>0.1401</v>
      </c>
      <c r="AB379" s="15"/>
      <c r="AC379" s="9">
        <v>0.525</v>
      </c>
      <c r="AD379" s="9" t="str">
        <f t="shared" si="1"/>
        <v>#REF!</v>
      </c>
    </row>
    <row r="380" hidden="1">
      <c r="A380" s="2" t="s">
        <v>3849</v>
      </c>
      <c r="B380" s="2" t="s">
        <v>542</v>
      </c>
      <c r="C380" s="2" t="s">
        <v>1675</v>
      </c>
      <c r="D380" s="2" t="s">
        <v>64</v>
      </c>
      <c r="E380" s="7" t="b">
        <v>1</v>
      </c>
      <c r="F380" s="9">
        <v>99.0</v>
      </c>
      <c r="G380" s="9">
        <v>21.64592924038797</v>
      </c>
      <c r="H380" s="9">
        <v>0.0062989494949494</v>
      </c>
      <c r="I380" s="7" t="b">
        <v>1</v>
      </c>
      <c r="J380" s="9">
        <v>0.0</v>
      </c>
      <c r="K380" s="7" t="b">
        <v>0</v>
      </c>
      <c r="L380" s="9">
        <v>118.0</v>
      </c>
      <c r="M380" s="9">
        <v>1.1919</v>
      </c>
      <c r="N380" s="2" t="s">
        <v>530</v>
      </c>
      <c r="O380" s="2" t="s">
        <v>416</v>
      </c>
      <c r="P380" s="9">
        <v>90.1</v>
      </c>
      <c r="Q380" s="9">
        <v>79.0</v>
      </c>
      <c r="R380" s="9">
        <v>0.0</v>
      </c>
      <c r="S380" s="9">
        <v>0.5987</v>
      </c>
      <c r="T380" s="9">
        <v>0.9537</v>
      </c>
      <c r="U380" s="2" t="s">
        <v>3783</v>
      </c>
      <c r="V380" s="9">
        <v>0.0592</v>
      </c>
      <c r="W380" s="2" t="s">
        <v>1094</v>
      </c>
      <c r="X380" s="2" t="s">
        <v>1466</v>
      </c>
      <c r="Y380" s="2" t="s">
        <v>1456</v>
      </c>
      <c r="Z380" s="9">
        <v>0.4732</v>
      </c>
      <c r="AA380" s="9">
        <v>0.5987</v>
      </c>
      <c r="AB380" s="9">
        <v>0.0592</v>
      </c>
      <c r="AC380" s="9">
        <v>0.1005</v>
      </c>
      <c r="AD380" s="9" t="str">
        <f t="shared" si="1"/>
        <v>#REF!</v>
      </c>
    </row>
    <row r="381" hidden="1">
      <c r="A381" s="2" t="s">
        <v>3849</v>
      </c>
      <c r="B381" s="2" t="s">
        <v>1027</v>
      </c>
      <c r="C381" s="2" t="s">
        <v>1675</v>
      </c>
      <c r="D381" s="2" t="s">
        <v>64</v>
      </c>
      <c r="E381" s="7" t="b">
        <v>1</v>
      </c>
      <c r="F381" s="9">
        <v>376.0</v>
      </c>
      <c r="G381" s="9">
        <v>12.87637437764613</v>
      </c>
      <c r="H381" s="9">
        <v>0.0064781090425531</v>
      </c>
      <c r="I381" s="7" t="b">
        <v>1</v>
      </c>
      <c r="J381" s="9">
        <v>0.0</v>
      </c>
      <c r="K381" s="7" t="b">
        <v>0</v>
      </c>
      <c r="L381" s="9">
        <v>80.0</v>
      </c>
      <c r="M381" s="9">
        <v>0.2128</v>
      </c>
      <c r="N381" s="2" t="s">
        <v>1825</v>
      </c>
      <c r="O381" s="2" t="s">
        <v>1533</v>
      </c>
      <c r="P381" s="9">
        <v>57.96</v>
      </c>
      <c r="Q381" s="9">
        <v>54.0</v>
      </c>
      <c r="R381" s="9">
        <v>0.133333</v>
      </c>
      <c r="S381" s="9">
        <v>0.5458</v>
      </c>
      <c r="T381" s="9">
        <v>0.9775</v>
      </c>
      <c r="U381" s="2" t="s">
        <v>2081</v>
      </c>
      <c r="V381" s="9">
        <v>0.0432</v>
      </c>
      <c r="W381" s="2" t="s">
        <v>82</v>
      </c>
      <c r="X381" s="2" t="s">
        <v>517</v>
      </c>
      <c r="Y381" s="2" t="s">
        <v>1437</v>
      </c>
      <c r="Z381" s="9">
        <v>0.4311</v>
      </c>
      <c r="AA381" s="9">
        <v>0.5458</v>
      </c>
      <c r="AB381" s="9">
        <v>0.0432</v>
      </c>
      <c r="AC381" s="9">
        <v>0.1274</v>
      </c>
      <c r="AD381" s="9" t="str">
        <f t="shared" si="1"/>
        <v>#REF!</v>
      </c>
    </row>
    <row r="382" hidden="1">
      <c r="A382" s="2" t="s">
        <v>1662</v>
      </c>
      <c r="B382" s="2" t="s">
        <v>396</v>
      </c>
      <c r="C382" s="2" t="s">
        <v>1675</v>
      </c>
      <c r="D382" s="2" t="s">
        <v>64</v>
      </c>
      <c r="E382" s="7" t="b">
        <v>1</v>
      </c>
      <c r="F382" s="9">
        <v>89.0</v>
      </c>
      <c r="G382" s="9">
        <v>20.96267854729709</v>
      </c>
      <c r="H382" s="9">
        <v>0.0087430314606741</v>
      </c>
      <c r="I382" s="7" t="b">
        <v>1</v>
      </c>
      <c r="J382" s="9">
        <v>0.0</v>
      </c>
      <c r="K382" s="7" t="b">
        <v>0</v>
      </c>
      <c r="L382" s="9">
        <v>80.0</v>
      </c>
      <c r="M382" s="9">
        <v>0.8989</v>
      </c>
      <c r="N382" s="2" t="s">
        <v>1984</v>
      </c>
      <c r="O382" s="2" t="s">
        <v>1985</v>
      </c>
      <c r="P382" s="9">
        <v>53.61</v>
      </c>
      <c r="Q382" s="9">
        <v>49.0</v>
      </c>
      <c r="R382" s="9">
        <v>0.0</v>
      </c>
      <c r="S382" s="9">
        <v>0.5221</v>
      </c>
      <c r="T382" s="9">
        <v>1.0005</v>
      </c>
      <c r="U382" s="2" t="s">
        <v>1817</v>
      </c>
      <c r="V382" s="9">
        <v>0.0</v>
      </c>
      <c r="W382" s="2" t="s">
        <v>82</v>
      </c>
      <c r="X382" s="2" t="s">
        <v>495</v>
      </c>
      <c r="Y382" s="2" t="s">
        <v>1408</v>
      </c>
      <c r="Z382" s="9">
        <v>0.4095</v>
      </c>
      <c r="AA382" s="9">
        <v>0.5221</v>
      </c>
      <c r="AB382" s="9">
        <v>0.0</v>
      </c>
      <c r="AC382" s="9">
        <v>0.8143</v>
      </c>
      <c r="AD382" s="9" t="str">
        <f t="shared" si="1"/>
        <v>#REF!</v>
      </c>
    </row>
    <row r="383" hidden="1">
      <c r="A383" s="2" t="s">
        <v>3547</v>
      </c>
      <c r="B383" s="2" t="s">
        <v>1031</v>
      </c>
      <c r="C383" s="2" t="s">
        <v>1675</v>
      </c>
      <c r="D383" s="2" t="s">
        <v>64</v>
      </c>
      <c r="E383" s="7" t="b">
        <v>1</v>
      </c>
      <c r="F383" s="9">
        <v>93.0</v>
      </c>
      <c r="G383" s="9">
        <v>9.0737415973292</v>
      </c>
      <c r="H383" s="9">
        <v>0.0019524967741935</v>
      </c>
      <c r="I383" s="7" t="b">
        <v>1</v>
      </c>
      <c r="J383" s="9">
        <v>0.0</v>
      </c>
      <c r="K383" s="7" t="b">
        <v>0</v>
      </c>
      <c r="L383" s="9">
        <v>71.0</v>
      </c>
      <c r="M383" s="9">
        <v>0.7634</v>
      </c>
      <c r="N383" s="2" t="s">
        <v>1394</v>
      </c>
      <c r="O383" s="2" t="s">
        <v>1629</v>
      </c>
      <c r="P383" s="9">
        <v>43.93</v>
      </c>
      <c r="Q383" s="9">
        <v>39.0</v>
      </c>
      <c r="R383" s="9">
        <v>0.0</v>
      </c>
      <c r="S383" s="9">
        <v>0.3193</v>
      </c>
      <c r="T383" s="9">
        <v>0.47</v>
      </c>
      <c r="U383" s="2" t="s">
        <v>2991</v>
      </c>
      <c r="V383" s="9">
        <v>0.0</v>
      </c>
      <c r="W383" s="2" t="s">
        <v>157</v>
      </c>
      <c r="X383" s="2" t="s">
        <v>1521</v>
      </c>
      <c r="Y383" s="2" t="s">
        <v>1536</v>
      </c>
      <c r="Z383" s="9">
        <v>0.2458</v>
      </c>
      <c r="AA383" s="9">
        <v>0.3193</v>
      </c>
      <c r="AB383" s="9">
        <v>0.0</v>
      </c>
      <c r="AC383" s="9">
        <v>0.0</v>
      </c>
      <c r="AD383" s="9" t="str">
        <f t="shared" si="1"/>
        <v>#REF!</v>
      </c>
    </row>
    <row r="384" hidden="1">
      <c r="A384" s="2" t="s">
        <v>3547</v>
      </c>
      <c r="B384" s="2" t="s">
        <v>1053</v>
      </c>
      <c r="C384" s="2" t="s">
        <v>1675</v>
      </c>
      <c r="D384" s="2" t="s">
        <v>64</v>
      </c>
      <c r="E384" s="7" t="b">
        <v>1</v>
      </c>
      <c r="F384" s="9">
        <v>53.0</v>
      </c>
      <c r="G384" s="9">
        <v>3.590259509098711</v>
      </c>
      <c r="H384" s="9">
        <v>0.0011328301886792</v>
      </c>
      <c r="I384" s="7" t="b">
        <v>1</v>
      </c>
      <c r="J384" s="9">
        <v>0.0</v>
      </c>
      <c r="K384" s="7" t="b">
        <v>0</v>
      </c>
      <c r="L384" s="9">
        <v>3277.0</v>
      </c>
      <c r="M384" s="9">
        <v>61.8302</v>
      </c>
      <c r="N384" s="2" t="s">
        <v>3122</v>
      </c>
      <c r="O384" s="2" t="s">
        <v>2949</v>
      </c>
      <c r="P384" s="9">
        <v>39.57</v>
      </c>
      <c r="Q384" s="9">
        <v>37.0</v>
      </c>
      <c r="R384" s="9">
        <v>0.009311</v>
      </c>
      <c r="S384" s="9">
        <v>0.7029</v>
      </c>
      <c r="T384" s="9">
        <v>0.4363</v>
      </c>
      <c r="U384" s="2" t="s">
        <v>2735</v>
      </c>
      <c r="V384" s="9">
        <v>0.8903</v>
      </c>
      <c r="W384" s="2" t="s">
        <v>1600</v>
      </c>
      <c r="X384" s="2" t="s">
        <v>1466</v>
      </c>
      <c r="Y384" s="2" t="s">
        <v>2821</v>
      </c>
      <c r="Z384" s="9">
        <v>0.6184</v>
      </c>
      <c r="AA384" s="9">
        <v>0.7029</v>
      </c>
      <c r="AB384" s="9">
        <v>0.8903</v>
      </c>
      <c r="AC384" s="9">
        <v>0.1462</v>
      </c>
      <c r="AD384" s="9" t="str">
        <f t="shared" si="1"/>
        <v>#REF!</v>
      </c>
    </row>
    <row r="385" hidden="1">
      <c r="A385" s="2" t="s">
        <v>3627</v>
      </c>
      <c r="B385" s="2" t="s">
        <v>997</v>
      </c>
      <c r="C385" s="2" t="s">
        <v>1675</v>
      </c>
      <c r="D385" s="2" t="s">
        <v>64</v>
      </c>
      <c r="E385" s="7" t="b">
        <v>1</v>
      </c>
      <c r="F385" s="9">
        <v>104.0</v>
      </c>
      <c r="G385" s="9">
        <v>15.47910518689272</v>
      </c>
      <c r="H385" s="9">
        <v>0.0016832615384615</v>
      </c>
      <c r="I385" s="7" t="b">
        <v>1</v>
      </c>
      <c r="J385" s="9">
        <v>0.0</v>
      </c>
      <c r="K385" s="7" t="b">
        <v>0</v>
      </c>
      <c r="L385" s="9">
        <v>54.0</v>
      </c>
      <c r="M385" s="9">
        <v>0.5192</v>
      </c>
      <c r="N385" s="2" t="s">
        <v>2329</v>
      </c>
      <c r="O385" s="2" t="s">
        <v>2330</v>
      </c>
      <c r="P385" s="9">
        <v>52.61</v>
      </c>
      <c r="Q385" s="9">
        <v>50.0</v>
      </c>
      <c r="R385" s="9">
        <v>0.0</v>
      </c>
      <c r="S385" s="9">
        <v>0.4892</v>
      </c>
      <c r="T385" s="9">
        <v>1.0004</v>
      </c>
      <c r="U385" s="2" t="s">
        <v>1453</v>
      </c>
      <c r="V385" s="15"/>
      <c r="W385" s="2" t="s">
        <v>157</v>
      </c>
      <c r="X385" s="2" t="s">
        <v>1455</v>
      </c>
      <c r="Y385" s="2" t="s">
        <v>1456</v>
      </c>
      <c r="Z385" s="9">
        <v>0.3834</v>
      </c>
      <c r="AA385" s="9">
        <v>0.4892</v>
      </c>
      <c r="AB385" s="15"/>
      <c r="AC385" s="9">
        <v>0.8331</v>
      </c>
      <c r="AD385" s="9" t="str">
        <f t="shared" si="1"/>
        <v>#REF!</v>
      </c>
    </row>
    <row r="386" hidden="1">
      <c r="A386" s="2" t="s">
        <v>3558</v>
      </c>
      <c r="B386" s="2" t="s">
        <v>70</v>
      </c>
      <c r="C386" s="2" t="s">
        <v>1675</v>
      </c>
      <c r="D386" s="2" t="s">
        <v>64</v>
      </c>
      <c r="E386" s="7" t="b">
        <v>1</v>
      </c>
      <c r="F386" s="9">
        <v>100.0</v>
      </c>
      <c r="G386" s="9">
        <v>8.720359449994945</v>
      </c>
      <c r="H386" s="9">
        <v>0.002192307</v>
      </c>
      <c r="I386" s="7" t="b">
        <v>1</v>
      </c>
      <c r="J386" s="9">
        <v>0.0</v>
      </c>
      <c r="K386" s="7" t="b">
        <v>0</v>
      </c>
      <c r="L386" s="9">
        <v>441.0</v>
      </c>
      <c r="M386" s="9">
        <v>4.41</v>
      </c>
      <c r="N386" s="2" t="s">
        <v>530</v>
      </c>
      <c r="O386" s="2" t="s">
        <v>1943</v>
      </c>
      <c r="P386" s="9">
        <v>52.59</v>
      </c>
      <c r="Q386" s="9">
        <v>44.0</v>
      </c>
      <c r="R386" s="9">
        <v>0.015873</v>
      </c>
      <c r="S386" s="9">
        <v>0.5112</v>
      </c>
      <c r="T386" s="9">
        <v>0.5927</v>
      </c>
      <c r="U386" s="2" t="s">
        <v>1434</v>
      </c>
      <c r="V386" s="9">
        <v>0.8812</v>
      </c>
      <c r="W386" s="2" t="s">
        <v>181</v>
      </c>
      <c r="X386" s="2" t="s">
        <v>517</v>
      </c>
      <c r="Y386" s="2" t="s">
        <v>1593</v>
      </c>
      <c r="Z386" s="9">
        <v>0.4418</v>
      </c>
      <c r="AA386" s="9">
        <v>0.5112</v>
      </c>
      <c r="AB386" s="9">
        <v>0.8812</v>
      </c>
      <c r="AC386" s="9">
        <v>0.1905</v>
      </c>
      <c r="AD386" s="9" t="str">
        <f t="shared" si="1"/>
        <v>#REF!</v>
      </c>
    </row>
    <row r="387" hidden="1">
      <c r="A387" s="2" t="s">
        <v>3558</v>
      </c>
      <c r="B387" s="2" t="s">
        <v>63</v>
      </c>
      <c r="C387" s="2" t="s">
        <v>1675</v>
      </c>
      <c r="D387" s="2" t="s">
        <v>64</v>
      </c>
      <c r="E387" s="7" t="b">
        <v>1</v>
      </c>
      <c r="F387" s="9">
        <v>30.0</v>
      </c>
      <c r="G387" s="9">
        <v>5.610744855458941</v>
      </c>
      <c r="H387" s="9">
        <v>0.00227304</v>
      </c>
      <c r="I387" s="7" t="b">
        <v>1</v>
      </c>
      <c r="J387" s="9">
        <v>0.0</v>
      </c>
      <c r="K387" s="7" t="b">
        <v>0</v>
      </c>
      <c r="L387" s="9">
        <v>1212.0</v>
      </c>
      <c r="M387" s="9">
        <v>40.4</v>
      </c>
      <c r="N387" s="2" t="s">
        <v>3895</v>
      </c>
      <c r="O387" s="2" t="s">
        <v>3896</v>
      </c>
      <c r="P387" s="9">
        <v>41.84</v>
      </c>
      <c r="Q387" s="9">
        <v>39.0</v>
      </c>
      <c r="R387" s="9">
        <v>0.009375</v>
      </c>
      <c r="S387" s="9">
        <v>0.6624</v>
      </c>
      <c r="T387" s="9">
        <v>0.4706</v>
      </c>
      <c r="U387" s="2" t="s">
        <v>3644</v>
      </c>
      <c r="V387" s="9">
        <v>0.8923</v>
      </c>
      <c r="W387" s="2" t="s">
        <v>1094</v>
      </c>
      <c r="X387" s="2" t="s">
        <v>1466</v>
      </c>
      <c r="Y387" s="2" t="s">
        <v>3114</v>
      </c>
      <c r="Z387" s="9">
        <v>0.5577</v>
      </c>
      <c r="AA387" s="9">
        <v>0.6624</v>
      </c>
      <c r="AB387" s="9">
        <v>0.8923</v>
      </c>
      <c r="AC387" s="9">
        <v>0.1542</v>
      </c>
      <c r="AD387" s="9" t="str">
        <f t="shared" si="1"/>
        <v>#REF!</v>
      </c>
    </row>
    <row r="388" hidden="1">
      <c r="A388" s="2" t="s">
        <v>3558</v>
      </c>
      <c r="B388" s="2" t="s">
        <v>474</v>
      </c>
      <c r="C388" s="2" t="s">
        <v>1675</v>
      </c>
      <c r="D388" s="2" t="s">
        <v>64</v>
      </c>
      <c r="E388" s="7" t="b">
        <v>1</v>
      </c>
      <c r="F388" s="9">
        <v>61.0</v>
      </c>
      <c r="G388" s="9">
        <v>4.23680902929438</v>
      </c>
      <c r="H388" s="9">
        <v>0.0015446163934426</v>
      </c>
      <c r="I388" s="7" t="b">
        <v>1</v>
      </c>
      <c r="J388" s="9">
        <v>0.0</v>
      </c>
      <c r="K388" s="7" t="b">
        <v>0</v>
      </c>
      <c r="L388" s="9">
        <v>436.0</v>
      </c>
      <c r="M388" s="9">
        <v>7.1475</v>
      </c>
      <c r="N388" s="2" t="s">
        <v>3394</v>
      </c>
      <c r="O388" s="2" t="s">
        <v>1426</v>
      </c>
      <c r="P388" s="9">
        <v>52.25</v>
      </c>
      <c r="Q388" s="9">
        <v>43.0</v>
      </c>
      <c r="R388" s="9">
        <v>0.015873</v>
      </c>
      <c r="S388" s="9">
        <v>0.5161</v>
      </c>
      <c r="T388" s="9">
        <v>0.6008</v>
      </c>
      <c r="U388" s="2" t="s">
        <v>1398</v>
      </c>
      <c r="V388" s="9">
        <v>0.8786</v>
      </c>
      <c r="W388" s="2" t="s">
        <v>1591</v>
      </c>
      <c r="X388" s="2" t="s">
        <v>517</v>
      </c>
      <c r="Y388" s="2" t="s">
        <v>3567</v>
      </c>
      <c r="Z388" s="9">
        <v>0.4401</v>
      </c>
      <c r="AA388" s="9">
        <v>0.5161</v>
      </c>
      <c r="AB388" s="9">
        <v>0.8786</v>
      </c>
      <c r="AC388" s="9">
        <v>0.1814</v>
      </c>
      <c r="AD388" s="9" t="str">
        <f t="shared" si="1"/>
        <v>#REF!</v>
      </c>
    </row>
    <row r="389" hidden="1">
      <c r="A389" s="2" t="s">
        <v>3558</v>
      </c>
      <c r="B389" s="2" t="s">
        <v>1040</v>
      </c>
      <c r="C389" s="2" t="s">
        <v>1675</v>
      </c>
      <c r="D389" s="2" t="s">
        <v>64</v>
      </c>
      <c r="E389" s="7" t="b">
        <v>1</v>
      </c>
      <c r="F389" s="9">
        <v>2785.0</v>
      </c>
      <c r="G389" s="9">
        <v>1.449752088640186</v>
      </c>
      <c r="H389" s="9">
        <v>0.0014078766247755</v>
      </c>
      <c r="I389" s="7" t="b">
        <v>1</v>
      </c>
      <c r="J389" s="9">
        <v>0.0</v>
      </c>
      <c r="K389" s="7" t="b">
        <v>0</v>
      </c>
      <c r="L389" s="9">
        <v>10506.0</v>
      </c>
      <c r="M389" s="9">
        <v>3.7724</v>
      </c>
      <c r="N389" s="2" t="s">
        <v>3909</v>
      </c>
      <c r="O389" s="2" t="s">
        <v>3910</v>
      </c>
      <c r="P389" s="9">
        <v>43.32</v>
      </c>
      <c r="Q389" s="9">
        <v>39.0</v>
      </c>
      <c r="R389" s="9">
        <v>0.011786</v>
      </c>
      <c r="S389" s="9">
        <v>0.7435</v>
      </c>
      <c r="T389" s="9">
        <v>0.2904</v>
      </c>
      <c r="U389" s="2" t="s">
        <v>2134</v>
      </c>
      <c r="V389" s="9">
        <v>0.874</v>
      </c>
      <c r="W389" s="2" t="s">
        <v>1821</v>
      </c>
      <c r="X389" s="2" t="s">
        <v>517</v>
      </c>
      <c r="Y389" s="2" t="s">
        <v>1593</v>
      </c>
      <c r="Z389" s="9">
        <v>0.6646</v>
      </c>
      <c r="AA389" s="9">
        <v>0.7435</v>
      </c>
      <c r="AB389" s="9">
        <v>0.874</v>
      </c>
      <c r="AC389" s="9">
        <v>0.1539</v>
      </c>
      <c r="AD389" s="9" t="str">
        <f t="shared" si="1"/>
        <v>#REF!</v>
      </c>
    </row>
    <row r="390" hidden="1">
      <c r="A390" s="2" t="s">
        <v>3558</v>
      </c>
      <c r="B390" s="2" t="s">
        <v>1047</v>
      </c>
      <c r="C390" s="2" t="s">
        <v>1675</v>
      </c>
      <c r="D390" s="2" t="s">
        <v>64</v>
      </c>
      <c r="E390" s="7" t="b">
        <v>1</v>
      </c>
      <c r="F390" s="9">
        <v>243.0</v>
      </c>
      <c r="G390" s="9">
        <v>2.195045096154283</v>
      </c>
      <c r="H390" s="9">
        <v>0.002083137037037</v>
      </c>
      <c r="I390" s="7" t="b">
        <v>1</v>
      </c>
      <c r="J390" s="9">
        <v>0.0</v>
      </c>
      <c r="K390" s="7" t="b">
        <v>0</v>
      </c>
      <c r="L390" s="9">
        <v>9618.0</v>
      </c>
      <c r="M390" s="9">
        <v>39.5802</v>
      </c>
      <c r="N390" s="2" t="s">
        <v>3913</v>
      </c>
      <c r="O390" s="2" t="s">
        <v>3914</v>
      </c>
      <c r="P390" s="9">
        <v>43.33</v>
      </c>
      <c r="Q390" s="9">
        <v>40.0</v>
      </c>
      <c r="R390" s="9">
        <v>0.01202</v>
      </c>
      <c r="S390" s="9">
        <v>0.7432</v>
      </c>
      <c r="T390" s="9">
        <v>0.2802</v>
      </c>
      <c r="U390" s="2" t="s">
        <v>3162</v>
      </c>
      <c r="V390" s="9">
        <v>0.8727</v>
      </c>
      <c r="W390" s="2" t="s">
        <v>1600</v>
      </c>
      <c r="X390" s="2" t="s">
        <v>517</v>
      </c>
      <c r="Y390" s="2" t="s">
        <v>1593</v>
      </c>
      <c r="Z390" s="9">
        <v>0.6652</v>
      </c>
      <c r="AA390" s="9">
        <v>0.7432</v>
      </c>
      <c r="AB390" s="9">
        <v>0.8727</v>
      </c>
      <c r="AC390" s="9">
        <v>0.1566</v>
      </c>
      <c r="AD390" s="9" t="str">
        <f t="shared" si="1"/>
        <v>#REF!</v>
      </c>
    </row>
    <row r="391" hidden="1">
      <c r="A391" s="2" t="s">
        <v>3558</v>
      </c>
      <c r="B391" s="2" t="s">
        <v>1053</v>
      </c>
      <c r="C391" s="2" t="s">
        <v>1675</v>
      </c>
      <c r="D391" s="2" t="s">
        <v>64</v>
      </c>
      <c r="E391" s="7" t="b">
        <v>1</v>
      </c>
      <c r="F391" s="9">
        <v>247.0</v>
      </c>
      <c r="G391" s="9">
        <v>2.015936193027559</v>
      </c>
      <c r="H391" s="9">
        <v>0.0016566801619433</v>
      </c>
      <c r="I391" s="7" t="b">
        <v>1</v>
      </c>
      <c r="J391" s="9">
        <v>0.0</v>
      </c>
      <c r="K391" s="7" t="b">
        <v>0</v>
      </c>
      <c r="L391" s="9">
        <v>10122.0</v>
      </c>
      <c r="M391" s="9">
        <v>40.9798</v>
      </c>
      <c r="N391" s="2" t="s">
        <v>3920</v>
      </c>
      <c r="O391" s="2" t="s">
        <v>3580</v>
      </c>
      <c r="P391" s="9">
        <v>43.24</v>
      </c>
      <c r="Q391" s="9">
        <v>39.0</v>
      </c>
      <c r="R391" s="9">
        <v>0.011957</v>
      </c>
      <c r="S391" s="9">
        <v>0.7459</v>
      </c>
      <c r="T391" s="9">
        <v>0.2898</v>
      </c>
      <c r="U391" s="2" t="s">
        <v>2134</v>
      </c>
      <c r="V391" s="9">
        <v>0.8744</v>
      </c>
      <c r="W391" s="2" t="s">
        <v>1771</v>
      </c>
      <c r="X391" s="2" t="s">
        <v>517</v>
      </c>
      <c r="Y391" s="2" t="s">
        <v>1593</v>
      </c>
      <c r="Z391" s="9">
        <v>0.6662</v>
      </c>
      <c r="AA391" s="9">
        <v>0.7459</v>
      </c>
      <c r="AB391" s="9">
        <v>0.8744</v>
      </c>
      <c r="AC391" s="9">
        <v>0.1533</v>
      </c>
      <c r="AD391" s="9" t="str">
        <f t="shared" si="1"/>
        <v>#REF!</v>
      </c>
    </row>
    <row r="392" hidden="1">
      <c r="A392" s="2" t="s">
        <v>3541</v>
      </c>
      <c r="B392" s="2" t="s">
        <v>942</v>
      </c>
      <c r="C392" s="2" t="s">
        <v>1675</v>
      </c>
      <c r="D392" s="2" t="s">
        <v>64</v>
      </c>
      <c r="E392" s="7" t="b">
        <v>1</v>
      </c>
      <c r="F392" s="9">
        <v>974.0</v>
      </c>
      <c r="G392" s="9">
        <v>4.969016392968599</v>
      </c>
      <c r="H392" s="9">
        <v>0.001699137577002</v>
      </c>
      <c r="I392" s="7" t="b">
        <v>1</v>
      </c>
      <c r="J392" s="9">
        <v>0.0</v>
      </c>
      <c r="K392" s="7" t="b">
        <v>0</v>
      </c>
      <c r="L392" s="9">
        <v>4365.0</v>
      </c>
      <c r="M392" s="9">
        <v>4.4815</v>
      </c>
      <c r="N392" s="2" t="s">
        <v>3927</v>
      </c>
      <c r="O392" s="2" t="s">
        <v>3928</v>
      </c>
      <c r="P392" s="9">
        <v>57.35</v>
      </c>
      <c r="Q392" s="9">
        <v>48.0</v>
      </c>
      <c r="R392" s="9">
        <v>0.015743</v>
      </c>
      <c r="S392" s="9">
        <v>0.7941</v>
      </c>
      <c r="T392" s="9">
        <v>0.6298</v>
      </c>
      <c r="U392" s="2" t="s">
        <v>2987</v>
      </c>
      <c r="V392" s="9">
        <v>0.8177</v>
      </c>
      <c r="W392" s="2" t="s">
        <v>1884</v>
      </c>
      <c r="X392" s="2" t="s">
        <v>517</v>
      </c>
      <c r="Y392" s="2" t="s">
        <v>2719</v>
      </c>
      <c r="Z392" s="9">
        <v>0.7097</v>
      </c>
      <c r="AA392" s="9">
        <v>0.7941</v>
      </c>
      <c r="AB392" s="9">
        <v>0.8177</v>
      </c>
      <c r="AC392" s="9">
        <v>0.1569</v>
      </c>
      <c r="AD392" s="9" t="str">
        <f t="shared" si="1"/>
        <v>#REF!</v>
      </c>
    </row>
    <row r="393" hidden="1">
      <c r="A393" s="2" t="s">
        <v>3525</v>
      </c>
      <c r="B393" s="2" t="s">
        <v>611</v>
      </c>
      <c r="C393" s="2" t="s">
        <v>1675</v>
      </c>
      <c r="D393" s="2" t="s">
        <v>64</v>
      </c>
      <c r="E393" s="7" t="b">
        <v>1</v>
      </c>
      <c r="F393" s="9">
        <v>391.0</v>
      </c>
      <c r="G393" s="9">
        <v>9.871348840471668</v>
      </c>
      <c r="H393" s="9">
        <v>0.0030832</v>
      </c>
      <c r="I393" s="7" t="b">
        <v>1</v>
      </c>
      <c r="J393" s="9">
        <v>0.0</v>
      </c>
      <c r="K393" s="7" t="b">
        <v>0</v>
      </c>
      <c r="L393" s="9">
        <v>42.0</v>
      </c>
      <c r="M393" s="9">
        <v>0.1074</v>
      </c>
      <c r="N393" s="2" t="s">
        <v>2619</v>
      </c>
      <c r="O393" s="2" t="s">
        <v>1462</v>
      </c>
      <c r="P393" s="9">
        <v>39.52</v>
      </c>
      <c r="Q393" s="9">
        <v>38.0</v>
      </c>
      <c r="R393" s="9">
        <v>0.0</v>
      </c>
      <c r="S393" s="9">
        <v>0.3814</v>
      </c>
      <c r="T393" s="9">
        <v>0.7996</v>
      </c>
      <c r="U393" s="2" t="s">
        <v>3058</v>
      </c>
      <c r="V393" s="9">
        <v>0.0</v>
      </c>
      <c r="W393" s="2" t="s">
        <v>82</v>
      </c>
      <c r="X393" s="2" t="s">
        <v>1521</v>
      </c>
      <c r="Y393" s="2" t="s">
        <v>1498</v>
      </c>
      <c r="Z393" s="9">
        <v>0.3287</v>
      </c>
      <c r="AA393" s="9">
        <v>0.3814</v>
      </c>
      <c r="AB393" s="9">
        <v>0.0</v>
      </c>
      <c r="AC393" s="9">
        <v>0.1502</v>
      </c>
      <c r="AD393" s="9" t="str">
        <f t="shared" si="1"/>
        <v>#REF!</v>
      </c>
    </row>
    <row r="394" hidden="1">
      <c r="A394" s="2" t="s">
        <v>3525</v>
      </c>
      <c r="B394" s="2" t="s">
        <v>942</v>
      </c>
      <c r="C394" s="2" t="s">
        <v>1675</v>
      </c>
      <c r="D394" s="2" t="s">
        <v>64</v>
      </c>
      <c r="E394" s="7" t="b">
        <v>1</v>
      </c>
      <c r="F394" s="9">
        <v>770.0</v>
      </c>
      <c r="G394" s="9">
        <v>5.690145100589258</v>
      </c>
      <c r="H394" s="9">
        <v>0.0017619318181818</v>
      </c>
      <c r="I394" s="7" t="b">
        <v>1</v>
      </c>
      <c r="J394" s="9">
        <v>0.0</v>
      </c>
      <c r="K394" s="7" t="b">
        <v>0</v>
      </c>
      <c r="L394" s="9">
        <v>3147.0</v>
      </c>
      <c r="M394" s="9">
        <v>4.087</v>
      </c>
      <c r="N394" s="2" t="s">
        <v>3116</v>
      </c>
      <c r="O394" s="2" t="s">
        <v>886</v>
      </c>
      <c r="P394" s="9">
        <v>58.79</v>
      </c>
      <c r="Q394" s="9">
        <v>51.0</v>
      </c>
      <c r="R394" s="9">
        <v>0.014896</v>
      </c>
      <c r="S394" s="9">
        <v>0.7883</v>
      </c>
      <c r="T394" s="9">
        <v>0.6824</v>
      </c>
      <c r="U394" s="2" t="s">
        <v>3947</v>
      </c>
      <c r="V394" s="9">
        <v>0.8028</v>
      </c>
      <c r="W394" s="2" t="s">
        <v>2760</v>
      </c>
      <c r="X394" s="2" t="s">
        <v>517</v>
      </c>
      <c r="Y394" s="2" t="s">
        <v>2719</v>
      </c>
      <c r="Z394" s="9">
        <v>0.691</v>
      </c>
      <c r="AA394" s="9">
        <v>0.7883</v>
      </c>
      <c r="AB394" s="9">
        <v>0.8028</v>
      </c>
      <c r="AC394" s="9">
        <v>0.1618</v>
      </c>
      <c r="AD394" s="9" t="str">
        <f t="shared" si="1"/>
        <v>#REF!</v>
      </c>
    </row>
    <row r="395" hidden="1">
      <c r="A395" s="2" t="s">
        <v>3525</v>
      </c>
      <c r="B395" s="2" t="s">
        <v>1009</v>
      </c>
      <c r="C395" s="2" t="s">
        <v>1675</v>
      </c>
      <c r="D395" s="2" t="s">
        <v>64</v>
      </c>
      <c r="E395" s="7" t="b">
        <v>1</v>
      </c>
      <c r="F395" s="9">
        <v>105.0</v>
      </c>
      <c r="G395" s="9">
        <v>7.85595103530603</v>
      </c>
      <c r="H395" s="9">
        <v>0.0017633599999999</v>
      </c>
      <c r="I395" s="7" t="b">
        <v>1</v>
      </c>
      <c r="J395" s="9">
        <v>0.0</v>
      </c>
      <c r="K395" s="7" t="b">
        <v>0</v>
      </c>
      <c r="L395" s="9">
        <v>10.0</v>
      </c>
      <c r="M395" s="9">
        <v>0.0952</v>
      </c>
      <c r="N395" s="2" t="s">
        <v>1664</v>
      </c>
      <c r="O395" s="2" t="s">
        <v>1665</v>
      </c>
      <c r="P395" s="9">
        <v>35.0</v>
      </c>
      <c r="Q395" s="9">
        <v>33.0</v>
      </c>
      <c r="R395" s="9">
        <v>0.0</v>
      </c>
      <c r="S395" s="9">
        <v>0.2759</v>
      </c>
      <c r="T395" s="9">
        <v>1.0001</v>
      </c>
      <c r="U395" s="2" t="s">
        <v>2198</v>
      </c>
      <c r="V395" s="15"/>
      <c r="W395" s="2" t="s">
        <v>1657</v>
      </c>
      <c r="X395" s="2" t="s">
        <v>182</v>
      </c>
      <c r="Y395" s="2" t="s">
        <v>1491</v>
      </c>
      <c r="Z395" s="9">
        <v>0.227</v>
      </c>
      <c r="AA395" s="9">
        <v>0.2759</v>
      </c>
      <c r="AB395" s="15"/>
      <c r="AC395" s="9">
        <v>0.0138</v>
      </c>
      <c r="AD395" s="9" t="str">
        <f t="shared" si="1"/>
        <v>#REF!</v>
      </c>
    </row>
    <row r="396" hidden="1">
      <c r="A396" s="2" t="s">
        <v>3477</v>
      </c>
      <c r="B396" s="2" t="s">
        <v>203</v>
      </c>
      <c r="C396" s="2" t="s">
        <v>1675</v>
      </c>
      <c r="D396" s="2" t="s">
        <v>64</v>
      </c>
      <c r="E396" s="7" t="b">
        <v>1</v>
      </c>
      <c r="F396" s="9">
        <v>36.0</v>
      </c>
      <c r="G396" s="9">
        <v>43.66711933063208</v>
      </c>
      <c r="H396" s="9">
        <v>0.2036525</v>
      </c>
      <c r="I396" s="7" t="b">
        <v>1</v>
      </c>
      <c r="J396" s="9">
        <v>0.0</v>
      </c>
      <c r="K396" s="7" t="b">
        <v>0</v>
      </c>
      <c r="L396" s="9">
        <v>12.0</v>
      </c>
      <c r="M396" s="9">
        <v>0.3333</v>
      </c>
      <c r="N396" s="2" t="s">
        <v>3953</v>
      </c>
      <c r="O396" s="2" t="s">
        <v>2635</v>
      </c>
      <c r="P396" s="9">
        <v>83.25</v>
      </c>
      <c r="Q396" s="9">
        <v>82.0</v>
      </c>
      <c r="R396" s="9">
        <v>0.0</v>
      </c>
      <c r="S396" s="9">
        <v>0.4291</v>
      </c>
      <c r="T396" s="9">
        <v>0.9274</v>
      </c>
      <c r="U396" s="2" t="s">
        <v>3095</v>
      </c>
      <c r="V396" s="15"/>
      <c r="W396" s="15"/>
      <c r="X396" s="2" t="s">
        <v>182</v>
      </c>
      <c r="Y396" s="2" t="s">
        <v>1632</v>
      </c>
      <c r="Z396" s="9">
        <v>0.3291</v>
      </c>
      <c r="AA396" s="9">
        <v>0.4291</v>
      </c>
      <c r="AB396" s="15"/>
      <c r="AC396" s="9">
        <v>0.0313</v>
      </c>
      <c r="AD396" s="9" t="str">
        <f t="shared" si="1"/>
        <v>#REF!</v>
      </c>
    </row>
    <row r="397" hidden="1">
      <c r="A397" s="2" t="s">
        <v>3477</v>
      </c>
      <c r="B397" s="2" t="s">
        <v>503</v>
      </c>
      <c r="C397" s="2" t="s">
        <v>1675</v>
      </c>
      <c r="D397" s="2" t="s">
        <v>64</v>
      </c>
      <c r="E397" s="7" t="b">
        <v>1</v>
      </c>
      <c r="F397" s="9">
        <v>105.0</v>
      </c>
      <c r="G397" s="9">
        <v>17.31798151549012</v>
      </c>
      <c r="H397" s="9">
        <v>0.00279818</v>
      </c>
      <c r="I397" s="7" t="b">
        <v>1</v>
      </c>
      <c r="J397" s="9">
        <v>0.0</v>
      </c>
      <c r="K397" s="7" t="b">
        <v>0</v>
      </c>
      <c r="L397" s="9">
        <v>122.0</v>
      </c>
      <c r="M397" s="9">
        <v>1.1619</v>
      </c>
      <c r="N397" s="2" t="s">
        <v>1551</v>
      </c>
      <c r="O397" s="2" t="s">
        <v>1396</v>
      </c>
      <c r="P397" s="9">
        <v>59.57</v>
      </c>
      <c r="Q397" s="9">
        <v>51.0</v>
      </c>
      <c r="R397" s="9">
        <v>0.0</v>
      </c>
      <c r="S397" s="9">
        <v>0.4909</v>
      </c>
      <c r="T397" s="9">
        <v>0.8514</v>
      </c>
      <c r="U397" s="2" t="s">
        <v>1589</v>
      </c>
      <c r="V397" s="9">
        <v>0.8193</v>
      </c>
      <c r="W397" s="2" t="s">
        <v>157</v>
      </c>
      <c r="X397" s="2" t="s">
        <v>517</v>
      </c>
      <c r="Y397" s="2" t="s">
        <v>1711</v>
      </c>
      <c r="Z397" s="9">
        <v>0.4037</v>
      </c>
      <c r="AA397" s="9">
        <v>0.4909</v>
      </c>
      <c r="AB397" s="9">
        <v>0.8193</v>
      </c>
      <c r="AC397" s="9">
        <v>0.1556</v>
      </c>
      <c r="AD397" s="9" t="str">
        <f t="shared" si="1"/>
        <v>#REF!</v>
      </c>
    </row>
    <row r="398" hidden="1">
      <c r="A398" s="2" t="s">
        <v>3477</v>
      </c>
      <c r="B398" s="2" t="s">
        <v>534</v>
      </c>
      <c r="C398" s="2" t="s">
        <v>1675</v>
      </c>
      <c r="D398" s="2" t="s">
        <v>64</v>
      </c>
      <c r="E398" s="7" t="b">
        <v>1</v>
      </c>
      <c r="F398" s="9">
        <v>845.0</v>
      </c>
      <c r="G398" s="9">
        <v>19.83593618415631</v>
      </c>
      <c r="H398" s="9">
        <v>0.0223345609467455</v>
      </c>
      <c r="I398" s="7" t="b">
        <v>1</v>
      </c>
      <c r="J398" s="9">
        <v>0.0</v>
      </c>
      <c r="K398" s="7" t="b">
        <v>0</v>
      </c>
      <c r="L398" s="9">
        <v>298.0</v>
      </c>
      <c r="M398" s="9">
        <v>0.3527</v>
      </c>
      <c r="N398" s="2" t="s">
        <v>3292</v>
      </c>
      <c r="O398" s="2" t="s">
        <v>3969</v>
      </c>
      <c r="P398" s="9">
        <v>84.71</v>
      </c>
      <c r="Q398" s="9">
        <v>77.0</v>
      </c>
      <c r="R398" s="9">
        <v>0.0</v>
      </c>
      <c r="S398" s="9">
        <v>0.6554</v>
      </c>
      <c r="T398" s="9">
        <v>0.8989</v>
      </c>
      <c r="U398" s="2" t="s">
        <v>1971</v>
      </c>
      <c r="V398" s="9">
        <v>0.718</v>
      </c>
      <c r="W398" s="2" t="s">
        <v>1193</v>
      </c>
      <c r="X398" s="2" t="s">
        <v>517</v>
      </c>
      <c r="Y398" s="2" t="s">
        <v>3207</v>
      </c>
      <c r="Z398" s="9">
        <v>0.5384</v>
      </c>
      <c r="AA398" s="9">
        <v>0.6554</v>
      </c>
      <c r="AB398" s="9">
        <v>0.718</v>
      </c>
      <c r="AC398" s="9">
        <v>0.7637</v>
      </c>
      <c r="AD398" s="9" t="str">
        <f t="shared" si="1"/>
        <v>#REF!</v>
      </c>
    </row>
    <row r="399" hidden="1">
      <c r="A399" s="2" t="s">
        <v>3477</v>
      </c>
      <c r="B399" s="2" t="s">
        <v>542</v>
      </c>
      <c r="C399" s="2" t="s">
        <v>1675</v>
      </c>
      <c r="D399" s="2" t="s">
        <v>64</v>
      </c>
      <c r="E399" s="7" t="b">
        <v>1</v>
      </c>
      <c r="F399" s="9">
        <v>609.0</v>
      </c>
      <c r="G399" s="9">
        <v>13.520927260149</v>
      </c>
      <c r="H399" s="9">
        <v>0.014996658456486</v>
      </c>
      <c r="I399" s="7" t="b">
        <v>1</v>
      </c>
      <c r="J399" s="9">
        <v>0.0</v>
      </c>
      <c r="K399" s="7" t="b">
        <v>0</v>
      </c>
      <c r="L399" s="9">
        <v>537.0</v>
      </c>
      <c r="M399" s="9">
        <v>0.8818</v>
      </c>
      <c r="N399" s="2" t="s">
        <v>3287</v>
      </c>
      <c r="O399" s="2" t="s">
        <v>3975</v>
      </c>
      <c r="P399" s="9">
        <v>84.95</v>
      </c>
      <c r="Q399" s="9">
        <v>74.0</v>
      </c>
      <c r="R399" s="9">
        <v>0.009709</v>
      </c>
      <c r="S399" s="9">
        <v>0.771</v>
      </c>
      <c r="T399" s="9">
        <v>0.958</v>
      </c>
      <c r="U399" s="2" t="s">
        <v>3676</v>
      </c>
      <c r="V399" s="9">
        <v>0.1277</v>
      </c>
      <c r="W399" s="2" t="s">
        <v>1657</v>
      </c>
      <c r="X399" s="2" t="s">
        <v>1466</v>
      </c>
      <c r="Y399" s="2" t="s">
        <v>1456</v>
      </c>
      <c r="Z399" s="9">
        <v>0.623</v>
      </c>
      <c r="AA399" s="9">
        <v>0.771</v>
      </c>
      <c r="AB399" s="9">
        <v>0.1277</v>
      </c>
      <c r="AC399" s="9">
        <v>0.168</v>
      </c>
      <c r="AD399" s="9" t="str">
        <f t="shared" si="1"/>
        <v>#REF!</v>
      </c>
    </row>
    <row r="400" hidden="1">
      <c r="A400" s="2" t="s">
        <v>3477</v>
      </c>
      <c r="B400" s="2" t="s">
        <v>885</v>
      </c>
      <c r="C400" s="2" t="s">
        <v>1675</v>
      </c>
      <c r="D400" s="2" t="s">
        <v>64</v>
      </c>
      <c r="E400" s="7" t="b">
        <v>1</v>
      </c>
      <c r="F400" s="9">
        <v>110.0</v>
      </c>
      <c r="G400" s="9">
        <v>22.78927940758327</v>
      </c>
      <c r="H400" s="9">
        <v>0.0054268509090909</v>
      </c>
      <c r="I400" s="7" t="b">
        <v>1</v>
      </c>
      <c r="J400" s="9">
        <v>0.0</v>
      </c>
      <c r="K400" s="7" t="b">
        <v>0</v>
      </c>
      <c r="L400" s="9">
        <v>280.0</v>
      </c>
      <c r="M400" s="9">
        <v>2.5455</v>
      </c>
      <c r="N400" s="2" t="s">
        <v>1628</v>
      </c>
      <c r="O400" s="2" t="s">
        <v>2475</v>
      </c>
      <c r="P400" s="9">
        <v>70.41</v>
      </c>
      <c r="Q400" s="9">
        <v>60.0</v>
      </c>
      <c r="R400" s="9">
        <v>0.016393</v>
      </c>
      <c r="S400" s="9">
        <v>0.2821</v>
      </c>
      <c r="T400" s="9">
        <v>0.5411</v>
      </c>
      <c r="U400" s="2" t="s">
        <v>1547</v>
      </c>
      <c r="V400" s="9">
        <v>0.3829</v>
      </c>
      <c r="W400" s="2" t="s">
        <v>1193</v>
      </c>
      <c r="X400" s="2" t="s">
        <v>517</v>
      </c>
      <c r="Y400" s="2" t="s">
        <v>2176</v>
      </c>
      <c r="Z400" s="9">
        <v>0.222</v>
      </c>
      <c r="AA400" s="9">
        <v>0.2821</v>
      </c>
      <c r="AB400" s="9">
        <v>0.3829</v>
      </c>
      <c r="AC400" s="9">
        <v>0.8412</v>
      </c>
      <c r="AD400" s="9" t="str">
        <f t="shared" si="1"/>
        <v>#REF!</v>
      </c>
    </row>
    <row r="401" hidden="1">
      <c r="A401" s="2" t="s">
        <v>3477</v>
      </c>
      <c r="B401" s="2" t="s">
        <v>969</v>
      </c>
      <c r="C401" s="2" t="s">
        <v>1675</v>
      </c>
      <c r="D401" s="2" t="s">
        <v>64</v>
      </c>
      <c r="E401" s="7" t="b">
        <v>1</v>
      </c>
      <c r="F401" s="9">
        <v>128.0</v>
      </c>
      <c r="G401" s="9">
        <v>14.48187065927178</v>
      </c>
      <c r="H401" s="9">
        <v>0.00442938515625</v>
      </c>
      <c r="I401" s="7" t="b">
        <v>1</v>
      </c>
      <c r="J401" s="9">
        <v>0.0</v>
      </c>
      <c r="K401" s="7" t="b">
        <v>0</v>
      </c>
      <c r="L401" s="9">
        <v>14.0</v>
      </c>
      <c r="M401" s="9">
        <v>0.1094</v>
      </c>
      <c r="N401" s="2" t="s">
        <v>1628</v>
      </c>
      <c r="O401" s="2" t="s">
        <v>1552</v>
      </c>
      <c r="P401" s="9">
        <v>81.57</v>
      </c>
      <c r="Q401" s="9">
        <v>67.0</v>
      </c>
      <c r="R401" s="9">
        <v>0.0</v>
      </c>
      <c r="S401" s="9">
        <v>0.327</v>
      </c>
      <c r="T401" s="9">
        <v>0.9653</v>
      </c>
      <c r="U401" s="2" t="s">
        <v>2426</v>
      </c>
      <c r="V401" s="15"/>
      <c r="W401" s="2" t="s">
        <v>1821</v>
      </c>
      <c r="X401" s="2" t="s">
        <v>182</v>
      </c>
      <c r="Y401" s="2" t="s">
        <v>1491</v>
      </c>
      <c r="Z401" s="9">
        <v>0.26</v>
      </c>
      <c r="AA401" s="9">
        <v>0.327</v>
      </c>
      <c r="AB401" s="15"/>
      <c r="AC401" s="9">
        <v>0.1666</v>
      </c>
      <c r="AD401" s="9" t="str">
        <f t="shared" si="1"/>
        <v>#REF!</v>
      </c>
    </row>
    <row r="402" hidden="1">
      <c r="A402" s="2" t="s">
        <v>3477</v>
      </c>
      <c r="B402" s="2" t="s">
        <v>973</v>
      </c>
      <c r="C402" s="2" t="s">
        <v>1675</v>
      </c>
      <c r="D402" s="2" t="s">
        <v>64</v>
      </c>
      <c r="E402" s="7" t="b">
        <v>1</v>
      </c>
      <c r="F402" s="9">
        <v>61.0</v>
      </c>
      <c r="G402" s="9">
        <v>22.45312513984347</v>
      </c>
      <c r="H402" s="9">
        <v>0.012620944262295</v>
      </c>
      <c r="I402" s="7" t="b">
        <v>1</v>
      </c>
      <c r="J402" s="9">
        <v>0.0</v>
      </c>
      <c r="K402" s="7" t="b">
        <v>0</v>
      </c>
      <c r="L402" s="9">
        <v>25.0</v>
      </c>
      <c r="M402" s="9">
        <v>0.4098</v>
      </c>
      <c r="N402" s="2" t="s">
        <v>1984</v>
      </c>
      <c r="O402" s="2" t="s">
        <v>2025</v>
      </c>
      <c r="P402" s="9">
        <v>94.72</v>
      </c>
      <c r="Q402" s="9">
        <v>85.0</v>
      </c>
      <c r="R402" s="9">
        <v>0.0</v>
      </c>
      <c r="S402" s="9">
        <v>0.3375</v>
      </c>
      <c r="T402" s="9">
        <v>0.8303</v>
      </c>
      <c r="U402" s="2" t="s">
        <v>1571</v>
      </c>
      <c r="V402" s="15"/>
      <c r="W402" s="2" t="s">
        <v>3996</v>
      </c>
      <c r="X402" s="2" t="s">
        <v>182</v>
      </c>
      <c r="Y402" s="2" t="s">
        <v>1491</v>
      </c>
      <c r="Z402" s="9">
        <v>0.3127</v>
      </c>
      <c r="AA402" s="9">
        <v>0.3375</v>
      </c>
      <c r="AB402" s="15"/>
      <c r="AC402" s="9">
        <v>0.7876</v>
      </c>
      <c r="AD402" s="9" t="str">
        <f t="shared" si="1"/>
        <v>#REF!</v>
      </c>
    </row>
    <row r="403" hidden="1">
      <c r="A403" s="2" t="s">
        <v>3477</v>
      </c>
      <c r="B403" s="2" t="s">
        <v>1027</v>
      </c>
      <c r="C403" s="2" t="s">
        <v>1675</v>
      </c>
      <c r="D403" s="2" t="s">
        <v>64</v>
      </c>
      <c r="E403" s="7" t="b">
        <v>1</v>
      </c>
      <c r="F403" s="9">
        <v>160.0</v>
      </c>
      <c r="G403" s="9">
        <v>16.22698125559432</v>
      </c>
      <c r="H403" s="9">
        <v>0.004387031875</v>
      </c>
      <c r="I403" s="7" t="b">
        <v>1</v>
      </c>
      <c r="J403" s="9">
        <v>0.0</v>
      </c>
      <c r="K403" s="7" t="b">
        <v>0</v>
      </c>
      <c r="L403" s="9">
        <v>18.0</v>
      </c>
      <c r="M403" s="9">
        <v>0.1125</v>
      </c>
      <c r="N403" s="2" t="s">
        <v>2619</v>
      </c>
      <c r="O403" s="2" t="s">
        <v>1462</v>
      </c>
      <c r="P403" s="9">
        <v>68.94</v>
      </c>
      <c r="Q403" s="9">
        <v>63.5</v>
      </c>
      <c r="R403" s="9">
        <v>0.0</v>
      </c>
      <c r="S403" s="9">
        <v>0.3522</v>
      </c>
      <c r="T403" s="9">
        <v>0.9495</v>
      </c>
      <c r="U403" s="2" t="s">
        <v>1192</v>
      </c>
      <c r="V403" s="9">
        <v>0.0</v>
      </c>
      <c r="W403" s="2" t="s">
        <v>82</v>
      </c>
      <c r="X403" s="2" t="s">
        <v>1466</v>
      </c>
      <c r="Y403" s="2" t="s">
        <v>1542</v>
      </c>
      <c r="Z403" s="9">
        <v>0.271</v>
      </c>
      <c r="AA403" s="9">
        <v>0.3522</v>
      </c>
      <c r="AB403" s="9">
        <v>0.0</v>
      </c>
      <c r="AC403" s="9">
        <v>0.0834</v>
      </c>
      <c r="AD403" s="9" t="str">
        <f t="shared" si="1"/>
        <v>#REF!</v>
      </c>
    </row>
    <row r="404" hidden="1">
      <c r="A404" s="2" t="s">
        <v>3477</v>
      </c>
      <c r="B404" s="2" t="s">
        <v>1036</v>
      </c>
      <c r="C404" s="2" t="s">
        <v>1675</v>
      </c>
      <c r="D404" s="2" t="s">
        <v>64</v>
      </c>
      <c r="E404" s="7" t="b">
        <v>1</v>
      </c>
      <c r="F404" s="9">
        <v>99.0</v>
      </c>
      <c r="G404" s="9">
        <v>10.65617282705293</v>
      </c>
      <c r="H404" s="9">
        <v>0.0020547676767676</v>
      </c>
      <c r="I404" s="7" t="b">
        <v>1</v>
      </c>
      <c r="J404" s="9">
        <v>0.0</v>
      </c>
      <c r="K404" s="7" t="b">
        <v>0</v>
      </c>
      <c r="L404" s="9">
        <v>6.0</v>
      </c>
      <c r="M404" s="9">
        <v>0.0606</v>
      </c>
      <c r="N404" s="2" t="s">
        <v>1485</v>
      </c>
      <c r="O404" s="2" t="s">
        <v>1486</v>
      </c>
      <c r="P404" s="9">
        <v>43.17</v>
      </c>
      <c r="Q404" s="9">
        <v>43.0</v>
      </c>
      <c r="R404" s="9">
        <v>0.0</v>
      </c>
      <c r="S404" s="9">
        <v>0.2108</v>
      </c>
      <c r="T404" s="9">
        <v>1.0001</v>
      </c>
      <c r="U404" s="2" t="s">
        <v>1016</v>
      </c>
      <c r="V404" s="15"/>
      <c r="W404" s="2" t="s">
        <v>82</v>
      </c>
      <c r="X404" s="2" t="s">
        <v>1455</v>
      </c>
      <c r="Y404" s="2" t="s">
        <v>1542</v>
      </c>
      <c r="Z404" s="9">
        <v>0.1846</v>
      </c>
      <c r="AA404" s="9">
        <v>0.2108</v>
      </c>
      <c r="AB404" s="15"/>
      <c r="AC404" s="9">
        <v>0.55</v>
      </c>
      <c r="AD404" s="9" t="str">
        <f t="shared" si="1"/>
        <v>#REF!</v>
      </c>
    </row>
    <row r="405" hidden="1">
      <c r="A405" s="2" t="s">
        <v>3258</v>
      </c>
      <c r="B405" s="2" t="s">
        <v>1027</v>
      </c>
      <c r="C405" s="2" t="s">
        <v>1316</v>
      </c>
      <c r="D405" s="2" t="s">
        <v>64</v>
      </c>
      <c r="E405" s="7" t="b">
        <v>1</v>
      </c>
      <c r="F405" s="9">
        <v>259.0</v>
      </c>
      <c r="G405" s="9">
        <v>9.842462885665627</v>
      </c>
      <c r="H405" s="9">
        <v>0.0026128447876447</v>
      </c>
      <c r="I405" s="7" t="b">
        <v>1</v>
      </c>
      <c r="J405" s="9">
        <v>0.0</v>
      </c>
      <c r="K405" s="7" t="b">
        <v>0</v>
      </c>
      <c r="L405" s="9">
        <v>69.0</v>
      </c>
      <c r="M405" s="9">
        <v>0.2664</v>
      </c>
      <c r="N405" s="2" t="s">
        <v>1450</v>
      </c>
      <c r="O405" s="2" t="s">
        <v>1451</v>
      </c>
      <c r="P405" s="9">
        <v>57.43</v>
      </c>
      <c r="Q405" s="9">
        <v>57.0</v>
      </c>
      <c r="R405" s="9">
        <v>0.0</v>
      </c>
      <c r="S405" s="9">
        <v>0.5455</v>
      </c>
      <c r="T405" s="9">
        <v>1.0009</v>
      </c>
      <c r="U405" s="2" t="s">
        <v>4023</v>
      </c>
      <c r="V405" s="9">
        <v>0.6619</v>
      </c>
      <c r="W405" s="2" t="s">
        <v>82</v>
      </c>
      <c r="X405" s="2" t="s">
        <v>517</v>
      </c>
      <c r="Y405" s="2" t="s">
        <v>1835</v>
      </c>
      <c r="Z405" s="9">
        <v>0.4238</v>
      </c>
      <c r="AA405" s="9">
        <v>0.5455</v>
      </c>
      <c r="AB405" s="9">
        <v>0.6619</v>
      </c>
      <c r="AC405" s="9">
        <v>0.1348</v>
      </c>
      <c r="AD405" s="9" t="str">
        <f t="shared" si="1"/>
        <v>#REF!</v>
      </c>
    </row>
    <row r="406" hidden="1">
      <c r="A406" s="2" t="s">
        <v>3258</v>
      </c>
      <c r="B406" s="2" t="s">
        <v>1031</v>
      </c>
      <c r="C406" s="2" t="s">
        <v>1316</v>
      </c>
      <c r="D406" s="2" t="s">
        <v>64</v>
      </c>
      <c r="E406" s="7" t="b">
        <v>1</v>
      </c>
      <c r="F406" s="9">
        <v>139.0</v>
      </c>
      <c r="G406" s="9">
        <v>16.78084429673055</v>
      </c>
      <c r="H406" s="9">
        <v>0.0099449050359712</v>
      </c>
      <c r="I406" s="7" t="b">
        <v>1</v>
      </c>
      <c r="J406" s="9">
        <v>0.0</v>
      </c>
      <c r="K406" s="7" t="b">
        <v>0</v>
      </c>
      <c r="L406" s="9">
        <v>110.0</v>
      </c>
      <c r="M406" s="9">
        <v>0.7914</v>
      </c>
      <c r="N406" s="2" t="s">
        <v>1784</v>
      </c>
      <c r="O406" s="2" t="s">
        <v>1426</v>
      </c>
      <c r="P406" s="9">
        <v>57.33</v>
      </c>
      <c r="Q406" s="9">
        <v>57.5</v>
      </c>
      <c r="R406" s="9">
        <v>0.142857</v>
      </c>
      <c r="S406" s="9">
        <v>0.6012</v>
      </c>
      <c r="T406" s="9">
        <v>1.0014</v>
      </c>
      <c r="U406" s="2" t="s">
        <v>4031</v>
      </c>
      <c r="V406" s="9">
        <v>0.07</v>
      </c>
      <c r="W406" s="2" t="s">
        <v>157</v>
      </c>
      <c r="X406" s="2" t="s">
        <v>517</v>
      </c>
      <c r="Y406" s="2" t="s">
        <v>1399</v>
      </c>
      <c r="Z406" s="9">
        <v>0.4703</v>
      </c>
      <c r="AA406" s="9">
        <v>0.6012</v>
      </c>
      <c r="AB406" s="9">
        <v>0.07</v>
      </c>
      <c r="AC406" s="9">
        <v>0.2502</v>
      </c>
      <c r="AD406" s="9" t="str">
        <f t="shared" si="1"/>
        <v>#REF!</v>
      </c>
    </row>
    <row r="407" hidden="1">
      <c r="A407" s="2" t="s">
        <v>3824</v>
      </c>
      <c r="B407" s="2" t="s">
        <v>942</v>
      </c>
      <c r="C407" s="2" t="s">
        <v>1675</v>
      </c>
      <c r="D407" s="2" t="s">
        <v>64</v>
      </c>
      <c r="E407" s="7" t="b">
        <v>1</v>
      </c>
      <c r="F407" s="9">
        <v>1165.0</v>
      </c>
      <c r="G407" s="9">
        <v>4.178466326604297</v>
      </c>
      <c r="H407" s="9">
        <v>0.0014371416309012</v>
      </c>
      <c r="I407" s="7" t="b">
        <v>1</v>
      </c>
      <c r="J407" s="9">
        <v>0.0</v>
      </c>
      <c r="K407" s="7" t="b">
        <v>0</v>
      </c>
      <c r="L407" s="9">
        <v>4718.0</v>
      </c>
      <c r="M407" s="9">
        <v>4.0498</v>
      </c>
      <c r="N407" s="2" t="s">
        <v>4036</v>
      </c>
      <c r="O407" s="2" t="s">
        <v>4037</v>
      </c>
      <c r="P407" s="9">
        <v>57.43</v>
      </c>
      <c r="Q407" s="9">
        <v>49.0</v>
      </c>
      <c r="R407" s="9">
        <v>0.010094</v>
      </c>
      <c r="S407" s="9">
        <v>0.805</v>
      </c>
      <c r="T407" s="9">
        <v>0.6247</v>
      </c>
      <c r="U407" s="2" t="s">
        <v>2878</v>
      </c>
      <c r="V407" s="9">
        <v>0.7673</v>
      </c>
      <c r="W407" s="2" t="s">
        <v>181</v>
      </c>
      <c r="X407" s="2" t="s">
        <v>495</v>
      </c>
      <c r="Y407" s="2" t="s">
        <v>2889</v>
      </c>
      <c r="Z407" s="9">
        <v>0.7178</v>
      </c>
      <c r="AA407" s="9">
        <v>0.805</v>
      </c>
      <c r="AB407" s="9">
        <v>0.7673</v>
      </c>
      <c r="AC407" s="9">
        <v>0.1605</v>
      </c>
      <c r="AD407" s="9" t="str">
        <f t="shared" si="1"/>
        <v>#REF!</v>
      </c>
    </row>
    <row r="408" hidden="1">
      <c r="A408" s="2" t="s">
        <v>3511</v>
      </c>
      <c r="B408" s="2" t="s">
        <v>1047</v>
      </c>
      <c r="C408" s="2" t="s">
        <v>1675</v>
      </c>
      <c r="D408" s="2" t="s">
        <v>64</v>
      </c>
      <c r="E408" s="7" t="b">
        <v>1</v>
      </c>
      <c r="F408" s="9">
        <v>68.0</v>
      </c>
      <c r="G408" s="9">
        <v>3.0051926896823</v>
      </c>
      <c r="H408" s="9">
        <v>0.0010986</v>
      </c>
      <c r="I408" s="7" t="b">
        <v>1</v>
      </c>
      <c r="J408" s="9">
        <v>0.0</v>
      </c>
      <c r="K408" s="7" t="b">
        <v>0</v>
      </c>
      <c r="L408" s="9">
        <v>15859.0</v>
      </c>
      <c r="M408" s="9">
        <v>233.2206</v>
      </c>
      <c r="N408" s="2" t="s">
        <v>4039</v>
      </c>
      <c r="O408" s="2" t="s">
        <v>3672</v>
      </c>
      <c r="P408" s="9">
        <v>46.09</v>
      </c>
      <c r="Q408" s="9">
        <v>40.0</v>
      </c>
      <c r="R408" s="9">
        <v>0.015091</v>
      </c>
      <c r="S408" s="9">
        <v>0.7563</v>
      </c>
      <c r="T408" s="9">
        <v>0.2348</v>
      </c>
      <c r="U408" s="2" t="s">
        <v>4041</v>
      </c>
      <c r="V408" s="9">
        <v>0.851</v>
      </c>
      <c r="W408" s="2" t="s">
        <v>1600</v>
      </c>
      <c r="X408" s="2" t="s">
        <v>517</v>
      </c>
      <c r="Y408" s="2" t="s">
        <v>1593</v>
      </c>
      <c r="Z408" s="9">
        <v>0.6794</v>
      </c>
      <c r="AA408" s="9">
        <v>0.7563</v>
      </c>
      <c r="AB408" s="9">
        <v>0.851</v>
      </c>
      <c r="AC408" s="9">
        <v>0.1495</v>
      </c>
      <c r="AD408" s="9" t="str">
        <f t="shared" si="1"/>
        <v>#REF!</v>
      </c>
    </row>
    <row r="409" hidden="1">
      <c r="A409" s="2" t="s">
        <v>3487</v>
      </c>
      <c r="B409" s="2" t="s">
        <v>997</v>
      </c>
      <c r="C409" s="2" t="s">
        <v>1675</v>
      </c>
      <c r="D409" s="2" t="s">
        <v>64</v>
      </c>
      <c r="E409" s="7" t="b">
        <v>1</v>
      </c>
      <c r="F409" s="9">
        <v>89.0</v>
      </c>
      <c r="G409" s="9">
        <v>49.21476911885823</v>
      </c>
      <c r="H409" s="9">
        <v>0.014537406741573</v>
      </c>
      <c r="I409" s="7" t="b">
        <v>1</v>
      </c>
      <c r="J409" s="9">
        <v>0.0</v>
      </c>
      <c r="K409" s="7" t="b">
        <v>0</v>
      </c>
      <c r="L409" s="9">
        <v>51.0</v>
      </c>
      <c r="M409" s="9">
        <v>0.573</v>
      </c>
      <c r="N409" s="2" t="s">
        <v>1460</v>
      </c>
      <c r="O409" s="2" t="s">
        <v>1912</v>
      </c>
      <c r="P409" s="9">
        <v>96.71</v>
      </c>
      <c r="Q409" s="9">
        <v>92.0</v>
      </c>
      <c r="R409" s="9">
        <v>0.0</v>
      </c>
      <c r="S409" s="9">
        <v>0.4853</v>
      </c>
      <c r="T409" s="9">
        <v>1.0007</v>
      </c>
      <c r="U409" s="2" t="s">
        <v>4042</v>
      </c>
      <c r="V409" s="9">
        <v>0.55</v>
      </c>
      <c r="W409" s="2" t="s">
        <v>157</v>
      </c>
      <c r="X409" s="2" t="s">
        <v>517</v>
      </c>
      <c r="Y409" s="2" t="s">
        <v>1711</v>
      </c>
      <c r="Z409" s="9">
        <v>0.3779</v>
      </c>
      <c r="AA409" s="9">
        <v>0.4853</v>
      </c>
      <c r="AB409" s="9">
        <v>0.55</v>
      </c>
      <c r="AC409" s="9">
        <v>0.5957</v>
      </c>
      <c r="AD409" s="9" t="str">
        <f t="shared" si="1"/>
        <v>#REF!</v>
      </c>
    </row>
    <row r="410" hidden="1">
      <c r="A410" s="2" t="s">
        <v>3597</v>
      </c>
      <c r="B410" s="2" t="s">
        <v>856</v>
      </c>
      <c r="C410" s="2" t="s">
        <v>1675</v>
      </c>
      <c r="D410" s="2" t="s">
        <v>64</v>
      </c>
      <c r="E410" s="7" t="b">
        <v>1</v>
      </c>
      <c r="F410" s="9">
        <v>1443.0</v>
      </c>
      <c r="G410" s="9">
        <v>4.385646139269896</v>
      </c>
      <c r="H410" s="9">
        <v>0.0021234817740817</v>
      </c>
      <c r="I410" s="7" t="b">
        <v>1</v>
      </c>
      <c r="J410" s="9">
        <v>0.0</v>
      </c>
      <c r="K410" s="7" t="b">
        <v>0</v>
      </c>
      <c r="L410" s="9">
        <v>0.0</v>
      </c>
      <c r="M410" s="9">
        <v>0.0</v>
      </c>
      <c r="N410" s="15"/>
      <c r="O410" s="15"/>
      <c r="P410" s="15"/>
      <c r="Q410" s="15"/>
      <c r="R410" s="15"/>
      <c r="S410" s="9">
        <v>0.0</v>
      </c>
      <c r="T410" s="9">
        <v>0.0</v>
      </c>
      <c r="U410" s="15"/>
      <c r="V410" s="15"/>
      <c r="W410" s="2" t="s">
        <v>82</v>
      </c>
      <c r="X410" s="2" t="s">
        <v>1787</v>
      </c>
      <c r="Y410" s="2" t="s">
        <v>2211</v>
      </c>
      <c r="Z410" s="9">
        <v>0.0</v>
      </c>
      <c r="AA410" s="9">
        <v>0.0</v>
      </c>
      <c r="AB410" s="15"/>
      <c r="AC410" s="15"/>
      <c r="AD410" s="9" t="str">
        <f t="shared" si="1"/>
        <v>#REF!</v>
      </c>
    </row>
    <row r="411" hidden="1">
      <c r="A411" s="2" t="s">
        <v>3577</v>
      </c>
      <c r="B411" s="2" t="s">
        <v>856</v>
      </c>
      <c r="C411" s="2" t="s">
        <v>1675</v>
      </c>
      <c r="D411" s="2" t="s">
        <v>64</v>
      </c>
      <c r="E411" s="7" t="b">
        <v>1</v>
      </c>
      <c r="F411" s="9">
        <v>880.0</v>
      </c>
      <c r="G411" s="9">
        <v>6.203162699886902</v>
      </c>
      <c r="H411" s="9">
        <v>0.0025921336363636</v>
      </c>
      <c r="I411" s="7" t="b">
        <v>1</v>
      </c>
      <c r="J411" s="9">
        <v>0.0</v>
      </c>
      <c r="K411" s="7" t="b">
        <v>0</v>
      </c>
      <c r="L411" s="9">
        <v>2.0</v>
      </c>
      <c r="M411" s="9">
        <v>0.0023</v>
      </c>
      <c r="N411" s="2" t="s">
        <v>175</v>
      </c>
      <c r="O411" s="2" t="s">
        <v>177</v>
      </c>
      <c r="P411" s="9">
        <v>82.5</v>
      </c>
      <c r="Q411" s="9">
        <v>82.5</v>
      </c>
      <c r="R411" s="9">
        <v>0.0</v>
      </c>
      <c r="S411" s="9">
        <v>0.0</v>
      </c>
      <c r="T411" s="9">
        <v>1.0</v>
      </c>
      <c r="U411" s="2" t="s">
        <v>1630</v>
      </c>
      <c r="V411" s="15"/>
      <c r="W411" s="2" t="s">
        <v>82</v>
      </c>
      <c r="X411" s="2" t="s">
        <v>1455</v>
      </c>
      <c r="Y411" s="2" t="s">
        <v>1542</v>
      </c>
      <c r="Z411" s="9">
        <v>0.0</v>
      </c>
      <c r="AA411" s="9">
        <v>0.0</v>
      </c>
      <c r="AB411" s="15"/>
      <c r="AC411" s="9">
        <v>0.0</v>
      </c>
      <c r="AD411" s="9" t="str">
        <f t="shared" si="1"/>
        <v>#REF!</v>
      </c>
    </row>
    <row r="412" hidden="1">
      <c r="A412" s="2" t="s">
        <v>3893</v>
      </c>
      <c r="B412" s="2" t="s">
        <v>48</v>
      </c>
      <c r="C412" s="2" t="s">
        <v>1675</v>
      </c>
      <c r="D412" s="2" t="s">
        <v>64</v>
      </c>
      <c r="E412" s="7" t="b">
        <v>1</v>
      </c>
      <c r="F412" s="9">
        <v>90.0</v>
      </c>
      <c r="G412" s="9">
        <v>32.89822143140073</v>
      </c>
      <c r="H412" s="9">
        <v>0.0066785066666666</v>
      </c>
      <c r="I412" s="7" t="b">
        <v>1</v>
      </c>
      <c r="J412" s="9">
        <v>0.0</v>
      </c>
      <c r="K412" s="7" t="b">
        <v>0</v>
      </c>
      <c r="L412" s="9">
        <v>3.0</v>
      </c>
      <c r="M412" s="9">
        <v>0.0333</v>
      </c>
      <c r="N412" s="2" t="s">
        <v>175</v>
      </c>
      <c r="O412" s="2" t="s">
        <v>177</v>
      </c>
      <c r="P412" s="9">
        <v>51.33</v>
      </c>
      <c r="Q412" s="9">
        <v>45.0</v>
      </c>
      <c r="R412" s="9">
        <v>0.0</v>
      </c>
      <c r="S412" s="9">
        <v>0.1375</v>
      </c>
      <c r="T412" s="9">
        <v>1.0</v>
      </c>
      <c r="U412" s="2" t="s">
        <v>4046</v>
      </c>
      <c r="V412" s="15"/>
      <c r="W412" s="2" t="s">
        <v>82</v>
      </c>
      <c r="X412" s="2" t="s">
        <v>1455</v>
      </c>
      <c r="Y412" s="2" t="s">
        <v>1542</v>
      </c>
      <c r="Z412" s="9">
        <v>0.1067</v>
      </c>
      <c r="AA412" s="9">
        <v>0.1375</v>
      </c>
      <c r="AB412" s="15"/>
      <c r="AC412" s="9">
        <v>0.8193</v>
      </c>
      <c r="AD412" s="9" t="str">
        <f t="shared" si="1"/>
        <v>#REF!</v>
      </c>
    </row>
    <row r="413" hidden="1">
      <c r="A413" s="2" t="s">
        <v>3893</v>
      </c>
      <c r="B413" s="2" t="s">
        <v>501</v>
      </c>
      <c r="C413" s="2" t="s">
        <v>1675</v>
      </c>
      <c r="D413" s="2" t="s">
        <v>64</v>
      </c>
      <c r="E413" s="7" t="b">
        <v>1</v>
      </c>
      <c r="F413" s="9">
        <v>404.0</v>
      </c>
      <c r="G413" s="9">
        <v>4.430723950986312</v>
      </c>
      <c r="H413" s="9">
        <v>0.0010542118811881</v>
      </c>
      <c r="I413" s="7" t="b">
        <v>1</v>
      </c>
      <c r="J413" s="9">
        <v>0.0</v>
      </c>
      <c r="K413" s="7" t="b">
        <v>0</v>
      </c>
      <c r="L413" s="9">
        <v>650.0</v>
      </c>
      <c r="M413" s="9">
        <v>1.6089</v>
      </c>
      <c r="N413" s="2" t="s">
        <v>2334</v>
      </c>
      <c r="O413" s="2" t="s">
        <v>2866</v>
      </c>
      <c r="P413" s="9">
        <v>66.5</v>
      </c>
      <c r="Q413" s="9">
        <v>53.0</v>
      </c>
      <c r="R413" s="9">
        <v>0.021858</v>
      </c>
      <c r="S413" s="9">
        <v>0.3639</v>
      </c>
      <c r="T413" s="9">
        <v>0.228</v>
      </c>
      <c r="U413" s="2" t="s">
        <v>3343</v>
      </c>
      <c r="V413" s="9">
        <v>0.7532</v>
      </c>
      <c r="W413" s="15"/>
      <c r="X413" s="2" t="s">
        <v>517</v>
      </c>
      <c r="Y413" s="2" t="s">
        <v>1593</v>
      </c>
      <c r="Z413" s="9">
        <v>0.3779</v>
      </c>
      <c r="AA413" s="9">
        <v>0.3639</v>
      </c>
      <c r="AB413" s="9">
        <v>0.7532</v>
      </c>
      <c r="AC413" s="9">
        <v>0.1883</v>
      </c>
      <c r="AD413" s="9" t="str">
        <f t="shared" si="1"/>
        <v>#REF!</v>
      </c>
    </row>
    <row r="414" hidden="1">
      <c r="A414" s="2" t="s">
        <v>3948</v>
      </c>
      <c r="B414" s="2" t="s">
        <v>501</v>
      </c>
      <c r="C414" s="2" t="s">
        <v>1675</v>
      </c>
      <c r="D414" s="2" t="s">
        <v>64</v>
      </c>
      <c r="E414" s="7" t="b">
        <v>1</v>
      </c>
      <c r="F414" s="9">
        <v>347.0</v>
      </c>
      <c r="G414" s="9">
        <v>4.884163395697819</v>
      </c>
      <c r="H414" s="9">
        <v>0.0011006939481268</v>
      </c>
      <c r="I414" s="7" t="b">
        <v>1</v>
      </c>
      <c r="J414" s="9">
        <v>0.0</v>
      </c>
      <c r="K414" s="7" t="b">
        <v>0</v>
      </c>
      <c r="L414" s="9">
        <v>617.0</v>
      </c>
      <c r="M414" s="9">
        <v>1.7781</v>
      </c>
      <c r="N414" s="2" t="s">
        <v>4047</v>
      </c>
      <c r="O414" s="2" t="s">
        <v>511</v>
      </c>
      <c r="P414" s="9">
        <v>68.1</v>
      </c>
      <c r="Q414" s="9">
        <v>55.0</v>
      </c>
      <c r="R414" s="9">
        <v>0.010989</v>
      </c>
      <c r="S414" s="9">
        <v>0.3949</v>
      </c>
      <c r="T414" s="9">
        <v>0.2785</v>
      </c>
      <c r="U414" s="2" t="s">
        <v>2443</v>
      </c>
      <c r="V414" s="9">
        <v>0.8727</v>
      </c>
      <c r="W414" s="15"/>
      <c r="X414" s="2" t="s">
        <v>517</v>
      </c>
      <c r="Y414" s="2" t="s">
        <v>1593</v>
      </c>
      <c r="Z414" s="9">
        <v>0.4084</v>
      </c>
      <c r="AA414" s="9">
        <v>0.3949</v>
      </c>
      <c r="AB414" s="9">
        <v>0.8727</v>
      </c>
      <c r="AC414" s="9">
        <v>0.1779</v>
      </c>
      <c r="AD414" s="9" t="str">
        <f t="shared" si="1"/>
        <v>#REF!</v>
      </c>
    </row>
    <row r="415" hidden="1">
      <c r="A415" s="2" t="s">
        <v>3948</v>
      </c>
      <c r="B415" s="2" t="s">
        <v>611</v>
      </c>
      <c r="C415" s="2" t="s">
        <v>1675</v>
      </c>
      <c r="D415" s="2" t="s">
        <v>64</v>
      </c>
      <c r="E415" s="7" t="b">
        <v>1</v>
      </c>
      <c r="F415" s="9">
        <v>201.0</v>
      </c>
      <c r="G415" s="9">
        <v>30.80919941335957</v>
      </c>
      <c r="H415" s="9">
        <v>0.015414263681592</v>
      </c>
      <c r="I415" s="7" t="b">
        <v>1</v>
      </c>
      <c r="J415" s="9">
        <v>0.0</v>
      </c>
      <c r="K415" s="7" t="b">
        <v>0</v>
      </c>
      <c r="L415" s="9">
        <v>5.0</v>
      </c>
      <c r="M415" s="9">
        <v>0.0249</v>
      </c>
      <c r="N415" s="2" t="s">
        <v>1664</v>
      </c>
      <c r="O415" s="2" t="s">
        <v>1665</v>
      </c>
      <c r="P415" s="9">
        <v>48.8</v>
      </c>
      <c r="Q415" s="9">
        <v>45.0</v>
      </c>
      <c r="R415" s="9">
        <v>0.0</v>
      </c>
      <c r="S415" s="9">
        <v>0.2015</v>
      </c>
      <c r="T415" s="9">
        <v>1.0</v>
      </c>
      <c r="U415" s="2" t="s">
        <v>352</v>
      </c>
      <c r="V415" s="15"/>
      <c r="W415" s="2" t="s">
        <v>82</v>
      </c>
      <c r="X415" s="2" t="s">
        <v>1455</v>
      </c>
      <c r="Y415" s="2" t="s">
        <v>1542</v>
      </c>
      <c r="Z415" s="9">
        <v>0.1564</v>
      </c>
      <c r="AA415" s="9">
        <v>0.2015</v>
      </c>
      <c r="AB415" s="15"/>
      <c r="AC415" s="9">
        <v>0.87</v>
      </c>
      <c r="AD415" s="9" t="str">
        <f t="shared" si="1"/>
        <v>#REF!</v>
      </c>
    </row>
    <row r="416" hidden="1">
      <c r="A416" s="2" t="s">
        <v>3948</v>
      </c>
      <c r="B416" s="2" t="s">
        <v>306</v>
      </c>
      <c r="C416" s="2" t="s">
        <v>1675</v>
      </c>
      <c r="D416" s="2" t="s">
        <v>64</v>
      </c>
      <c r="E416" s="7" t="b">
        <v>1</v>
      </c>
      <c r="F416" s="9">
        <v>156.0</v>
      </c>
      <c r="G416" s="9">
        <v>48.86627204331418</v>
      </c>
      <c r="H416" s="9">
        <v>0.1350282051282051</v>
      </c>
      <c r="I416" s="7" t="b">
        <v>1</v>
      </c>
      <c r="J416" s="9">
        <v>0.0</v>
      </c>
      <c r="K416" s="7" t="b">
        <v>0</v>
      </c>
      <c r="L416" s="9">
        <v>71.0</v>
      </c>
      <c r="M416" s="9">
        <v>0.4551</v>
      </c>
      <c r="N416" s="2" t="s">
        <v>4048</v>
      </c>
      <c r="O416" s="2" t="s">
        <v>1545</v>
      </c>
      <c r="P416" s="9">
        <v>99.49</v>
      </c>
      <c r="Q416" s="9">
        <v>83.0</v>
      </c>
      <c r="R416" s="9">
        <v>0.0</v>
      </c>
      <c r="S416" s="9">
        <v>0.5621</v>
      </c>
      <c r="T416" s="9">
        <v>1.002</v>
      </c>
      <c r="U416" s="2" t="s">
        <v>4051</v>
      </c>
      <c r="V416" s="9">
        <v>0.525</v>
      </c>
      <c r="W416" s="2" t="s">
        <v>82</v>
      </c>
      <c r="X416" s="2" t="s">
        <v>495</v>
      </c>
      <c r="Y416" s="2" t="s">
        <v>1792</v>
      </c>
      <c r="Z416" s="9">
        <v>0.4358</v>
      </c>
      <c r="AA416" s="9">
        <v>0.5621</v>
      </c>
      <c r="AB416" s="9">
        <v>0.525</v>
      </c>
      <c r="AC416" s="9">
        <v>0.6567</v>
      </c>
      <c r="AD416" s="9" t="str">
        <f t="shared" si="1"/>
        <v>#REF!</v>
      </c>
    </row>
    <row r="417" hidden="1">
      <c r="A417" s="2" t="s">
        <v>3948</v>
      </c>
      <c r="B417" s="2" t="s">
        <v>1031</v>
      </c>
      <c r="C417" s="2" t="s">
        <v>1675</v>
      </c>
      <c r="D417" s="2" t="s">
        <v>64</v>
      </c>
      <c r="E417" s="7" t="b">
        <v>1</v>
      </c>
      <c r="F417" s="9">
        <v>60.0</v>
      </c>
      <c r="G417" s="9">
        <v>18.20729016570438</v>
      </c>
      <c r="H417" s="9">
        <v>0.0050695133333333</v>
      </c>
      <c r="I417" s="7" t="b">
        <v>1</v>
      </c>
      <c r="J417" s="9">
        <v>0.0</v>
      </c>
      <c r="K417" s="7" t="b">
        <v>0</v>
      </c>
      <c r="L417" s="9">
        <v>50.0</v>
      </c>
      <c r="M417" s="9">
        <v>0.8333</v>
      </c>
      <c r="N417" s="2" t="s">
        <v>2162</v>
      </c>
      <c r="O417" s="2" t="s">
        <v>1396</v>
      </c>
      <c r="P417" s="9">
        <v>54.86</v>
      </c>
      <c r="Q417" s="9">
        <v>50.0</v>
      </c>
      <c r="R417" s="9">
        <v>0.0</v>
      </c>
      <c r="S417" s="9">
        <v>0.5086</v>
      </c>
      <c r="T417" s="9">
        <v>1.0006</v>
      </c>
      <c r="U417" s="2" t="s">
        <v>640</v>
      </c>
      <c r="V417" s="9">
        <v>0.0</v>
      </c>
      <c r="W417" s="2" t="s">
        <v>82</v>
      </c>
      <c r="X417" s="2" t="s">
        <v>517</v>
      </c>
      <c r="Y417" s="2" t="s">
        <v>2057</v>
      </c>
      <c r="Z417" s="9">
        <v>0.3914</v>
      </c>
      <c r="AA417" s="9">
        <v>0.5086</v>
      </c>
      <c r="AB417" s="9">
        <v>0.0</v>
      </c>
      <c r="AC417" s="9">
        <v>0.2542</v>
      </c>
      <c r="AD417" s="9" t="str">
        <f t="shared" si="1"/>
        <v>#REF!</v>
      </c>
    </row>
    <row r="418" hidden="1">
      <c r="A418" s="2" t="s">
        <v>3945</v>
      </c>
      <c r="B418" s="2" t="s">
        <v>306</v>
      </c>
      <c r="C418" s="2" t="s">
        <v>1675</v>
      </c>
      <c r="D418" s="2" t="s">
        <v>64</v>
      </c>
      <c r="E418" s="7" t="b">
        <v>1</v>
      </c>
      <c r="F418" s="9">
        <v>56.0</v>
      </c>
      <c r="G418" s="9">
        <v>15.43410830915896</v>
      </c>
      <c r="H418" s="9">
        <v>0.0049499214285714</v>
      </c>
      <c r="I418" s="7" t="b">
        <v>1</v>
      </c>
      <c r="J418" s="9">
        <v>0.0</v>
      </c>
      <c r="K418" s="7" t="b">
        <v>0</v>
      </c>
      <c r="L418" s="9">
        <v>34.0</v>
      </c>
      <c r="M418" s="9">
        <v>0.6071</v>
      </c>
      <c r="N418" s="2" t="s">
        <v>1984</v>
      </c>
      <c r="O418" s="2" t="s">
        <v>1953</v>
      </c>
      <c r="P418" s="9">
        <v>54.97</v>
      </c>
      <c r="Q418" s="9">
        <v>54.0</v>
      </c>
      <c r="R418" s="9">
        <v>1.0</v>
      </c>
      <c r="S418" s="9">
        <v>0.466</v>
      </c>
      <c r="T418" s="9">
        <v>0.9689</v>
      </c>
      <c r="U418" s="2" t="s">
        <v>2165</v>
      </c>
      <c r="V418" s="9">
        <v>0.8193</v>
      </c>
      <c r="W418" s="2" t="s">
        <v>82</v>
      </c>
      <c r="X418" s="2" t="s">
        <v>237</v>
      </c>
      <c r="Y418" s="2" t="s">
        <v>2003</v>
      </c>
      <c r="Z418" s="9">
        <v>0.3563</v>
      </c>
      <c r="AA418" s="9">
        <v>0.466</v>
      </c>
      <c r="AB418" s="9">
        <v>0.8193</v>
      </c>
      <c r="AC418" s="9">
        <v>0.1781</v>
      </c>
      <c r="AD418" s="9" t="str">
        <f t="shared" si="1"/>
        <v>#REF!</v>
      </c>
    </row>
    <row r="419" hidden="1">
      <c r="A419" s="2" t="s">
        <v>2047</v>
      </c>
      <c r="B419" s="2" t="s">
        <v>611</v>
      </c>
      <c r="C419" s="2" t="s">
        <v>1675</v>
      </c>
      <c r="D419" s="2" t="s">
        <v>64</v>
      </c>
      <c r="E419" s="7" t="b">
        <v>1</v>
      </c>
      <c r="F419" s="9">
        <v>182.0</v>
      </c>
      <c r="G419" s="9">
        <v>28.35261697130087</v>
      </c>
      <c r="H419" s="9">
        <v>0.0118280219780219</v>
      </c>
      <c r="I419" s="7" t="b">
        <v>1</v>
      </c>
      <c r="J419" s="9">
        <v>0.0</v>
      </c>
      <c r="K419" s="7" t="b">
        <v>0</v>
      </c>
      <c r="L419" s="9">
        <v>6.0</v>
      </c>
      <c r="M419" s="9">
        <v>0.033</v>
      </c>
      <c r="N419" s="2" t="s">
        <v>1664</v>
      </c>
      <c r="O419" s="2" t="s">
        <v>1665</v>
      </c>
      <c r="P419" s="9">
        <v>40.33</v>
      </c>
      <c r="Q419" s="9">
        <v>37.0</v>
      </c>
      <c r="R419" s="9">
        <v>0.0</v>
      </c>
      <c r="S419" s="9">
        <v>0.1954</v>
      </c>
      <c r="T419" s="9">
        <v>0.8926</v>
      </c>
      <c r="U419" s="2" t="s">
        <v>1398</v>
      </c>
      <c r="V419" s="15"/>
      <c r="W419" s="2" t="s">
        <v>82</v>
      </c>
      <c r="X419" s="2" t="s">
        <v>1455</v>
      </c>
      <c r="Y419" s="2" t="s">
        <v>1542</v>
      </c>
      <c r="Z419" s="9">
        <v>0.1517</v>
      </c>
      <c r="AA419" s="9">
        <v>0.1954</v>
      </c>
      <c r="AB419" s="15"/>
      <c r="AC419" s="9">
        <v>0.0432</v>
      </c>
      <c r="AD419" s="9" t="str">
        <f t="shared" si="1"/>
        <v>#REF!</v>
      </c>
    </row>
    <row r="420" hidden="1">
      <c r="A420" s="2" t="s">
        <v>2047</v>
      </c>
      <c r="B420" s="2" t="s">
        <v>306</v>
      </c>
      <c r="C420" s="2" t="s">
        <v>1675</v>
      </c>
      <c r="D420" s="2" t="s">
        <v>64</v>
      </c>
      <c r="E420" s="7" t="b">
        <v>1</v>
      </c>
      <c r="F420" s="9">
        <v>112.0</v>
      </c>
      <c r="G420" s="9">
        <v>41.98566352089154</v>
      </c>
      <c r="H420" s="9">
        <v>0.072292</v>
      </c>
      <c r="I420" s="7" t="b">
        <v>1</v>
      </c>
      <c r="J420" s="9">
        <v>0.0</v>
      </c>
      <c r="K420" s="7" t="b">
        <v>0</v>
      </c>
      <c r="L420" s="9">
        <v>52.0</v>
      </c>
      <c r="M420" s="9">
        <v>0.4643</v>
      </c>
      <c r="N420" s="2" t="s">
        <v>309</v>
      </c>
      <c r="O420" s="2" t="s">
        <v>310</v>
      </c>
      <c r="P420" s="9">
        <v>96.85</v>
      </c>
      <c r="Q420" s="9">
        <v>85.0</v>
      </c>
      <c r="R420" s="9">
        <v>0.0</v>
      </c>
      <c r="S420" s="9">
        <v>0.5247</v>
      </c>
      <c r="T420" s="9">
        <v>0.9847</v>
      </c>
      <c r="U420" s="2" t="s">
        <v>2641</v>
      </c>
      <c r="V420" s="9">
        <v>0.0</v>
      </c>
      <c r="W420" s="2" t="s">
        <v>82</v>
      </c>
      <c r="X420" s="2" t="s">
        <v>517</v>
      </c>
      <c r="Y420" s="2" t="s">
        <v>4056</v>
      </c>
      <c r="Z420" s="9">
        <v>0.4039</v>
      </c>
      <c r="AA420" s="9">
        <v>0.5247</v>
      </c>
      <c r="AB420" s="9">
        <v>0.0</v>
      </c>
      <c r="AC420" s="9">
        <v>0.7258</v>
      </c>
      <c r="AD420" s="9" t="str">
        <f t="shared" si="1"/>
        <v>#REF!</v>
      </c>
    </row>
    <row r="421" hidden="1">
      <c r="A421" s="2" t="s">
        <v>2047</v>
      </c>
      <c r="B421" s="2" t="s">
        <v>1031</v>
      </c>
      <c r="C421" s="2" t="s">
        <v>1675</v>
      </c>
      <c r="D421" s="2" t="s">
        <v>64</v>
      </c>
      <c r="E421" s="7" t="b">
        <v>1</v>
      </c>
      <c r="F421" s="9">
        <v>62.0</v>
      </c>
      <c r="G421" s="9">
        <v>17.47441587618314</v>
      </c>
      <c r="H421" s="9">
        <v>0.0048253709677419</v>
      </c>
      <c r="I421" s="7" t="b">
        <v>1</v>
      </c>
      <c r="J421" s="9">
        <v>0.0</v>
      </c>
      <c r="K421" s="7" t="b">
        <v>0</v>
      </c>
      <c r="L421" s="9">
        <v>46.0</v>
      </c>
      <c r="M421" s="9">
        <v>0.7419</v>
      </c>
      <c r="N421" s="2" t="s">
        <v>1984</v>
      </c>
      <c r="O421" s="2" t="s">
        <v>1985</v>
      </c>
      <c r="P421" s="9">
        <v>54.48</v>
      </c>
      <c r="Q421" s="9">
        <v>48.0</v>
      </c>
      <c r="R421" s="9">
        <v>0.0</v>
      </c>
      <c r="S421" s="9">
        <v>0.4938</v>
      </c>
      <c r="T421" s="9">
        <v>0.9862</v>
      </c>
      <c r="U421" s="2" t="s">
        <v>1741</v>
      </c>
      <c r="V421" s="15"/>
      <c r="W421" s="2" t="s">
        <v>82</v>
      </c>
      <c r="X421" s="2" t="s">
        <v>1621</v>
      </c>
      <c r="Y421" s="2" t="s">
        <v>2057</v>
      </c>
      <c r="Z421" s="9">
        <v>0.3801</v>
      </c>
      <c r="AA421" s="9">
        <v>0.4938</v>
      </c>
      <c r="AB421" s="15"/>
      <c r="AC421" s="9">
        <v>0.7088</v>
      </c>
      <c r="AD421" s="9" t="str">
        <f t="shared" si="1"/>
        <v>#REF!</v>
      </c>
    </row>
    <row r="422" hidden="1">
      <c r="A422" s="2" t="s">
        <v>3872</v>
      </c>
      <c r="B422" s="2" t="s">
        <v>306</v>
      </c>
      <c r="C422" s="2" t="s">
        <v>1675</v>
      </c>
      <c r="D422" s="2" t="s">
        <v>64</v>
      </c>
      <c r="E422" s="7" t="b">
        <v>1</v>
      </c>
      <c r="F422" s="9">
        <v>124.0</v>
      </c>
      <c r="G422" s="9">
        <v>13.71825089761226</v>
      </c>
      <c r="H422" s="9">
        <v>0.0086331870967741</v>
      </c>
      <c r="I422" s="7" t="b">
        <v>1</v>
      </c>
      <c r="J422" s="9">
        <v>0.0</v>
      </c>
      <c r="K422" s="7" t="b">
        <v>0</v>
      </c>
      <c r="L422" s="9">
        <v>71.0</v>
      </c>
      <c r="M422" s="9">
        <v>0.5726</v>
      </c>
      <c r="N422" s="2" t="s">
        <v>1475</v>
      </c>
      <c r="O422" s="2" t="s">
        <v>1795</v>
      </c>
      <c r="P422" s="9">
        <v>56.24</v>
      </c>
      <c r="Q422" s="9">
        <v>51.0</v>
      </c>
      <c r="R422" s="9">
        <v>0.0</v>
      </c>
      <c r="S422" s="9">
        <v>0.5621</v>
      </c>
      <c r="T422" s="9">
        <v>0.9946</v>
      </c>
      <c r="U422" s="2" t="s">
        <v>1434</v>
      </c>
      <c r="V422" s="9">
        <v>0.8193</v>
      </c>
      <c r="W422" s="2" t="s">
        <v>82</v>
      </c>
      <c r="X422" s="2" t="s">
        <v>495</v>
      </c>
      <c r="Y422" s="2" t="s">
        <v>3609</v>
      </c>
      <c r="Z422" s="9">
        <v>0.4358</v>
      </c>
      <c r="AA422" s="9">
        <v>0.5621</v>
      </c>
      <c r="AB422" s="9">
        <v>0.8193</v>
      </c>
      <c r="AC422" s="9">
        <v>0.2177</v>
      </c>
      <c r="AD422" s="9" t="str">
        <f t="shared" si="1"/>
        <v>#REF!</v>
      </c>
    </row>
    <row r="423" hidden="1">
      <c r="A423" s="2" t="s">
        <v>1389</v>
      </c>
      <c r="B423" s="2" t="s">
        <v>441</v>
      </c>
      <c r="C423" s="2" t="s">
        <v>1675</v>
      </c>
      <c r="D423" s="2" t="s">
        <v>64</v>
      </c>
      <c r="E423" s="7" t="b">
        <v>1</v>
      </c>
      <c r="F423" s="9">
        <v>137.0</v>
      </c>
      <c r="G423" s="9">
        <v>23.79965447836637</v>
      </c>
      <c r="H423" s="9">
        <v>0.0270565620437956</v>
      </c>
      <c r="I423" s="7" t="b">
        <v>1</v>
      </c>
      <c r="J423" s="9">
        <v>0.0</v>
      </c>
      <c r="K423" s="7" t="b">
        <v>0</v>
      </c>
      <c r="L423" s="9">
        <v>128.0</v>
      </c>
      <c r="M423" s="9">
        <v>0.9343</v>
      </c>
      <c r="N423" s="2" t="s">
        <v>1794</v>
      </c>
      <c r="O423" s="2" t="s">
        <v>1795</v>
      </c>
      <c r="P423" s="9">
        <v>58.24</v>
      </c>
      <c r="Q423" s="9">
        <v>53.0</v>
      </c>
      <c r="R423" s="9">
        <v>0.0</v>
      </c>
      <c r="S423" s="9">
        <v>0.59</v>
      </c>
      <c r="T423" s="9">
        <v>0.9968</v>
      </c>
      <c r="U423" s="2" t="s">
        <v>4063</v>
      </c>
      <c r="V423" s="15"/>
      <c r="W423" s="2" t="s">
        <v>82</v>
      </c>
      <c r="X423" s="2" t="s">
        <v>1621</v>
      </c>
      <c r="Y423" s="2" t="s">
        <v>2057</v>
      </c>
      <c r="Z423" s="9">
        <v>0.464</v>
      </c>
      <c r="AA423" s="9">
        <v>0.59</v>
      </c>
      <c r="AB423" s="15"/>
      <c r="AC423" s="9">
        <v>0.8345</v>
      </c>
      <c r="AD423" s="9" t="str">
        <f t="shared" si="1"/>
        <v>#REF!</v>
      </c>
    </row>
    <row r="424" hidden="1">
      <c r="A424" s="2" t="s">
        <v>1389</v>
      </c>
      <c r="B424" s="2" t="s">
        <v>1009</v>
      </c>
      <c r="C424" s="2" t="s">
        <v>1675</v>
      </c>
      <c r="D424" s="2" t="s">
        <v>64</v>
      </c>
      <c r="E424" s="7" t="b">
        <v>1</v>
      </c>
      <c r="F424" s="9">
        <v>116.0</v>
      </c>
      <c r="G424" s="9">
        <v>15.26745760137695</v>
      </c>
      <c r="H424" s="9">
        <v>0.0073391431034482</v>
      </c>
      <c r="I424" s="7" t="b">
        <v>1</v>
      </c>
      <c r="J424" s="9">
        <v>0.0</v>
      </c>
      <c r="K424" s="7" t="b">
        <v>0</v>
      </c>
      <c r="L424" s="9">
        <v>19.0</v>
      </c>
      <c r="M424" s="9">
        <v>0.1638</v>
      </c>
      <c r="N424" s="2" t="s">
        <v>2474</v>
      </c>
      <c r="O424" s="2" t="s">
        <v>2552</v>
      </c>
      <c r="P424" s="9">
        <v>49.89</v>
      </c>
      <c r="Q424" s="9">
        <v>42.0</v>
      </c>
      <c r="R424" s="9">
        <v>0.333333</v>
      </c>
      <c r="S424" s="9">
        <v>0.2545</v>
      </c>
      <c r="T424" s="9">
        <v>0.7681</v>
      </c>
      <c r="U424" s="2" t="s">
        <v>1540</v>
      </c>
      <c r="V424" s="9">
        <v>0.0</v>
      </c>
      <c r="W424" s="2" t="s">
        <v>157</v>
      </c>
      <c r="X424" s="2" t="s">
        <v>1521</v>
      </c>
      <c r="Y424" s="2" t="s">
        <v>3037</v>
      </c>
      <c r="Z424" s="9">
        <v>0.2124</v>
      </c>
      <c r="AA424" s="9">
        <v>0.2545</v>
      </c>
      <c r="AB424" s="9">
        <v>0.0</v>
      </c>
      <c r="AC424" s="9">
        <v>0.1087</v>
      </c>
      <c r="AD424" s="9" t="str">
        <f t="shared" si="1"/>
        <v>#REF!</v>
      </c>
    </row>
    <row r="425" hidden="1">
      <c r="A425" s="2" t="s">
        <v>3832</v>
      </c>
      <c r="B425" s="2" t="s">
        <v>306</v>
      </c>
      <c r="C425" s="2" t="s">
        <v>1675</v>
      </c>
      <c r="D425" s="2" t="s">
        <v>64</v>
      </c>
      <c r="E425" s="7" t="b">
        <v>1</v>
      </c>
      <c r="F425" s="9">
        <v>6153.0</v>
      </c>
      <c r="G425" s="9">
        <v>16.40253467528247</v>
      </c>
      <c r="H425" s="9">
        <v>0.4542517064846416</v>
      </c>
      <c r="I425" s="7" t="b">
        <v>1</v>
      </c>
      <c r="J425" s="9">
        <v>0.0</v>
      </c>
      <c r="K425" s="7" t="b">
        <v>0</v>
      </c>
      <c r="L425" s="9">
        <v>3813.0</v>
      </c>
      <c r="M425" s="9">
        <v>0.6197</v>
      </c>
      <c r="N425" s="2" t="s">
        <v>4065</v>
      </c>
      <c r="O425" s="2" t="s">
        <v>4066</v>
      </c>
      <c r="P425" s="9">
        <v>59.04</v>
      </c>
      <c r="Q425" s="9">
        <v>51.0</v>
      </c>
      <c r="R425" s="9">
        <v>0.07384</v>
      </c>
      <c r="S425" s="9">
        <v>0.9158</v>
      </c>
      <c r="T425" s="9">
        <v>0.8297</v>
      </c>
      <c r="U425" s="2" t="s">
        <v>1207</v>
      </c>
      <c r="V425" s="9">
        <v>0.8573</v>
      </c>
      <c r="W425" s="2" t="s">
        <v>82</v>
      </c>
      <c r="X425" s="2" t="s">
        <v>84</v>
      </c>
      <c r="Y425" s="2" t="s">
        <v>4068</v>
      </c>
      <c r="Z425" s="9">
        <v>0.7908</v>
      </c>
      <c r="AA425" s="9">
        <v>0.9158</v>
      </c>
      <c r="AB425" s="9">
        <v>0.8573</v>
      </c>
      <c r="AC425" s="9">
        <v>0.2648</v>
      </c>
      <c r="AD425" s="9" t="str">
        <f t="shared" si="1"/>
        <v>#REF!</v>
      </c>
    </row>
    <row r="426" hidden="1">
      <c r="A426" s="2" t="s">
        <v>3832</v>
      </c>
      <c r="B426" s="2" t="s">
        <v>997</v>
      </c>
      <c r="C426" s="2" t="s">
        <v>1675</v>
      </c>
      <c r="D426" s="2" t="s">
        <v>64</v>
      </c>
      <c r="E426" s="7" t="b">
        <v>1</v>
      </c>
      <c r="F426" s="9">
        <v>187.0</v>
      </c>
      <c r="G426" s="9">
        <v>37.47933100937386</v>
      </c>
      <c r="H426" s="9">
        <v>0.0176844368983957</v>
      </c>
      <c r="I426" s="7" t="b">
        <v>1</v>
      </c>
      <c r="J426" s="9">
        <v>0.0</v>
      </c>
      <c r="K426" s="7" t="b">
        <v>0</v>
      </c>
      <c r="L426" s="9">
        <v>97.0</v>
      </c>
      <c r="M426" s="9">
        <v>0.5187</v>
      </c>
      <c r="N426" s="2" t="s">
        <v>2277</v>
      </c>
      <c r="O426" s="2" t="s">
        <v>1373</v>
      </c>
      <c r="P426" s="9">
        <v>83.78</v>
      </c>
      <c r="Q426" s="9">
        <v>68.0</v>
      </c>
      <c r="R426" s="9">
        <v>0.0</v>
      </c>
      <c r="S426" s="9">
        <v>0.5539</v>
      </c>
      <c r="T426" s="9">
        <v>1.0012</v>
      </c>
      <c r="U426" s="2" t="s">
        <v>4051</v>
      </c>
      <c r="V426" s="9">
        <v>0.3</v>
      </c>
      <c r="W426" s="2" t="s">
        <v>157</v>
      </c>
      <c r="X426" s="2" t="s">
        <v>517</v>
      </c>
      <c r="Y426" s="2" t="s">
        <v>1375</v>
      </c>
      <c r="Z426" s="9">
        <v>0.4356</v>
      </c>
      <c r="AA426" s="9">
        <v>0.5539</v>
      </c>
      <c r="AB426" s="9">
        <v>0.3</v>
      </c>
      <c r="AC426" s="9">
        <v>0.6665</v>
      </c>
      <c r="AD426" s="9" t="str">
        <f t="shared" si="1"/>
        <v>#REF!</v>
      </c>
    </row>
    <row r="427" hidden="1">
      <c r="A427" s="2" t="s">
        <v>3723</v>
      </c>
      <c r="B427" s="2" t="s">
        <v>611</v>
      </c>
      <c r="C427" s="2" t="s">
        <v>1675</v>
      </c>
      <c r="D427" s="2" t="s">
        <v>64</v>
      </c>
      <c r="E427" s="7" t="b">
        <v>1</v>
      </c>
      <c r="F427" s="9">
        <v>111.0</v>
      </c>
      <c r="G427" s="9">
        <v>29.50544035174453</v>
      </c>
      <c r="H427" s="9">
        <v>0.0078238783783783</v>
      </c>
      <c r="I427" s="7" t="b">
        <v>1</v>
      </c>
      <c r="J427" s="9">
        <v>0.0</v>
      </c>
      <c r="K427" s="7" t="b">
        <v>0</v>
      </c>
      <c r="L427" s="9">
        <v>2.0</v>
      </c>
      <c r="M427" s="9">
        <v>0.018</v>
      </c>
      <c r="N427" s="2" t="s">
        <v>175</v>
      </c>
      <c r="O427" s="2" t="s">
        <v>177</v>
      </c>
      <c r="P427" s="9">
        <v>37.5</v>
      </c>
      <c r="Q427" s="9">
        <v>37.5</v>
      </c>
      <c r="R427" s="9">
        <v>0.0</v>
      </c>
      <c r="S427" s="9">
        <v>0.0868</v>
      </c>
      <c r="T427" s="9">
        <v>1.0</v>
      </c>
      <c r="U427" s="2" t="s">
        <v>603</v>
      </c>
      <c r="V427" s="15"/>
      <c r="W427" s="2" t="s">
        <v>82</v>
      </c>
      <c r="X427" s="2" t="s">
        <v>1455</v>
      </c>
      <c r="Y427" s="2" t="s">
        <v>1542</v>
      </c>
      <c r="Z427" s="9">
        <v>0.0674</v>
      </c>
      <c r="AA427" s="9">
        <v>0.0868</v>
      </c>
      <c r="AB427" s="15"/>
      <c r="AC427" s="9">
        <v>0.55</v>
      </c>
      <c r="AD427" s="9" t="str">
        <f t="shared" si="1"/>
        <v>#REF!</v>
      </c>
    </row>
    <row r="428" hidden="1">
      <c r="A428" s="2" t="s">
        <v>3723</v>
      </c>
      <c r="B428" s="2" t="s">
        <v>306</v>
      </c>
      <c r="C428" s="2" t="s">
        <v>1675</v>
      </c>
      <c r="D428" s="2" t="s">
        <v>64</v>
      </c>
      <c r="E428" s="7" t="b">
        <v>1</v>
      </c>
      <c r="F428" s="9">
        <v>60.0</v>
      </c>
      <c r="G428" s="9">
        <v>44.15416858750597</v>
      </c>
      <c r="H428" s="9">
        <v>0.0431325299999999</v>
      </c>
      <c r="I428" s="7" t="b">
        <v>1</v>
      </c>
      <c r="J428" s="9">
        <v>0.0</v>
      </c>
      <c r="K428" s="7" t="b">
        <v>0</v>
      </c>
      <c r="L428" s="9">
        <v>29.0</v>
      </c>
      <c r="M428" s="9">
        <v>0.4833</v>
      </c>
      <c r="N428" s="2" t="s">
        <v>2651</v>
      </c>
      <c r="O428" s="2" t="s">
        <v>2172</v>
      </c>
      <c r="P428" s="9">
        <v>101.17</v>
      </c>
      <c r="Q428" s="9">
        <v>85.0</v>
      </c>
      <c r="R428" s="9">
        <v>0.0</v>
      </c>
      <c r="S428" s="9">
        <v>0.4502</v>
      </c>
      <c r="T428" s="9">
        <v>1.0008</v>
      </c>
      <c r="U428" s="2" t="s">
        <v>603</v>
      </c>
      <c r="V428" s="15"/>
      <c r="W428" s="2" t="s">
        <v>82</v>
      </c>
      <c r="X428" s="2" t="s">
        <v>1455</v>
      </c>
      <c r="Y428" s="2" t="s">
        <v>1542</v>
      </c>
      <c r="Z428" s="9">
        <v>0.3442</v>
      </c>
      <c r="AA428" s="9">
        <v>0.4502</v>
      </c>
      <c r="AB428" s="15"/>
      <c r="AC428" s="9">
        <v>0.7117</v>
      </c>
      <c r="AD428" s="9" t="str">
        <f t="shared" si="1"/>
        <v>#REF!</v>
      </c>
    </row>
    <row r="429" hidden="1">
      <c r="A429" s="2" t="s">
        <v>3723</v>
      </c>
      <c r="B429" s="2" t="s">
        <v>997</v>
      </c>
      <c r="C429" s="2" t="s">
        <v>1675</v>
      </c>
      <c r="D429" s="2" t="s">
        <v>64</v>
      </c>
      <c r="E429" s="7" t="b">
        <v>1</v>
      </c>
      <c r="F429" s="9">
        <v>1724.0</v>
      </c>
      <c r="G429" s="9">
        <v>30.5487785447259</v>
      </c>
      <c r="H429" s="9">
        <v>0.1052566160092807</v>
      </c>
      <c r="I429" s="7" t="b">
        <v>1</v>
      </c>
      <c r="J429" s="9">
        <v>0.0</v>
      </c>
      <c r="K429" s="7" t="b">
        <v>0</v>
      </c>
      <c r="L429" s="9">
        <v>659.0</v>
      </c>
      <c r="M429" s="9">
        <v>0.3823</v>
      </c>
      <c r="N429" s="2" t="s">
        <v>4078</v>
      </c>
      <c r="O429" s="2" t="s">
        <v>4079</v>
      </c>
      <c r="P429" s="9">
        <v>101.15</v>
      </c>
      <c r="Q429" s="9">
        <v>86.0</v>
      </c>
      <c r="R429" s="9">
        <v>0.029851</v>
      </c>
      <c r="S429" s="9">
        <v>0.7736</v>
      </c>
      <c r="T429" s="9">
        <v>0.986</v>
      </c>
      <c r="U429" s="2" t="s">
        <v>3270</v>
      </c>
      <c r="V429" s="9">
        <v>0.7949</v>
      </c>
      <c r="W429" s="2" t="s">
        <v>157</v>
      </c>
      <c r="X429" s="2" t="s">
        <v>495</v>
      </c>
      <c r="Y429" s="2" t="s">
        <v>2967</v>
      </c>
      <c r="Z429" s="9">
        <v>0.6178</v>
      </c>
      <c r="AA429" s="9">
        <v>0.7736</v>
      </c>
      <c r="AB429" s="9">
        <v>0.7949</v>
      </c>
      <c r="AC429" s="9">
        <v>0.6596</v>
      </c>
      <c r="AD429" s="9" t="str">
        <f t="shared" si="1"/>
        <v>#REF!</v>
      </c>
    </row>
    <row r="430" hidden="1">
      <c r="A430" s="2" t="s">
        <v>2055</v>
      </c>
      <c r="B430" s="2" t="s">
        <v>611</v>
      </c>
      <c r="C430" s="2" t="s">
        <v>1675</v>
      </c>
      <c r="D430" s="2" t="s">
        <v>64</v>
      </c>
      <c r="E430" s="7" t="b">
        <v>1</v>
      </c>
      <c r="F430" s="9">
        <v>146.0</v>
      </c>
      <c r="G430" s="9">
        <v>27.89275049601625</v>
      </c>
      <c r="H430" s="9">
        <v>0.0091902739726027</v>
      </c>
      <c r="I430" s="7" t="b">
        <v>1</v>
      </c>
      <c r="J430" s="9">
        <v>0.0</v>
      </c>
      <c r="K430" s="7" t="b">
        <v>0</v>
      </c>
      <c r="L430" s="9">
        <v>12.0</v>
      </c>
      <c r="M430" s="9">
        <v>0.0822</v>
      </c>
      <c r="N430" s="2" t="s">
        <v>1485</v>
      </c>
      <c r="O430" s="2" t="s">
        <v>1665</v>
      </c>
      <c r="P430" s="9">
        <v>37.83</v>
      </c>
      <c r="Q430" s="9">
        <v>37.0</v>
      </c>
      <c r="R430" s="9">
        <v>0.0</v>
      </c>
      <c r="S430" s="9">
        <v>0.2622</v>
      </c>
      <c r="T430" s="9">
        <v>0.8503</v>
      </c>
      <c r="U430" s="2" t="s">
        <v>3005</v>
      </c>
      <c r="V430" s="15"/>
      <c r="W430" s="2" t="s">
        <v>82</v>
      </c>
      <c r="X430" s="2" t="s">
        <v>1455</v>
      </c>
      <c r="Y430" s="2" t="s">
        <v>1542</v>
      </c>
      <c r="Z430" s="9">
        <v>0.2148</v>
      </c>
      <c r="AA430" s="9">
        <v>0.2622</v>
      </c>
      <c r="AB430" s="15"/>
      <c r="AC430" s="9">
        <v>0.0</v>
      </c>
      <c r="AD430" s="9" t="str">
        <f t="shared" si="1"/>
        <v>#REF!</v>
      </c>
    </row>
    <row r="431" hidden="1">
      <c r="A431" s="2" t="s">
        <v>2055</v>
      </c>
      <c r="B431" s="2" t="s">
        <v>306</v>
      </c>
      <c r="C431" s="2" t="s">
        <v>1675</v>
      </c>
      <c r="D431" s="2" t="s">
        <v>64</v>
      </c>
      <c r="E431" s="7" t="b">
        <v>1</v>
      </c>
      <c r="F431" s="9">
        <v>115.0</v>
      </c>
      <c r="G431" s="9">
        <v>49.31917550844833</v>
      </c>
      <c r="H431" s="9">
        <v>0.1020646956521739</v>
      </c>
      <c r="I431" s="7" t="b">
        <v>1</v>
      </c>
      <c r="J431" s="9">
        <v>0.0</v>
      </c>
      <c r="K431" s="7" t="b">
        <v>0</v>
      </c>
      <c r="L431" s="9">
        <v>60.0</v>
      </c>
      <c r="M431" s="9">
        <v>0.5217</v>
      </c>
      <c r="N431" s="2" t="s">
        <v>1934</v>
      </c>
      <c r="O431" s="2" t="s">
        <v>532</v>
      </c>
      <c r="P431" s="9">
        <v>90.83</v>
      </c>
      <c r="Q431" s="9">
        <v>72.5</v>
      </c>
      <c r="R431" s="9">
        <v>0.0</v>
      </c>
      <c r="S431" s="9">
        <v>0.5412</v>
      </c>
      <c r="T431" s="9">
        <v>0.9995</v>
      </c>
      <c r="U431" s="2" t="s">
        <v>1701</v>
      </c>
      <c r="V431" s="15"/>
      <c r="W431" s="2" t="s">
        <v>82</v>
      </c>
      <c r="X431" s="2" t="s">
        <v>1621</v>
      </c>
      <c r="Y431" s="2" t="s">
        <v>2057</v>
      </c>
      <c r="Z431" s="9">
        <v>0.4186</v>
      </c>
      <c r="AA431" s="9">
        <v>0.5412</v>
      </c>
      <c r="AB431" s="15"/>
      <c r="AC431" s="9">
        <v>0.2636</v>
      </c>
      <c r="AD431" s="9" t="str">
        <f t="shared" si="1"/>
        <v>#REF!</v>
      </c>
    </row>
    <row r="432" hidden="1">
      <c r="A432" s="2" t="s">
        <v>2055</v>
      </c>
      <c r="B432" s="2" t="s">
        <v>1031</v>
      </c>
      <c r="C432" s="2" t="s">
        <v>1675</v>
      </c>
      <c r="D432" s="2" t="s">
        <v>64</v>
      </c>
      <c r="E432" s="7" t="b">
        <v>1</v>
      </c>
      <c r="F432" s="9">
        <v>69.0</v>
      </c>
      <c r="G432" s="9">
        <v>22.89860062202624</v>
      </c>
      <c r="H432" s="9">
        <v>0.0092083086956521</v>
      </c>
      <c r="I432" s="7" t="b">
        <v>1</v>
      </c>
      <c r="J432" s="9">
        <v>0.0</v>
      </c>
      <c r="K432" s="7" t="b">
        <v>0</v>
      </c>
      <c r="L432" s="9">
        <v>61.0</v>
      </c>
      <c r="M432" s="9">
        <v>0.8841</v>
      </c>
      <c r="N432" s="2" t="s">
        <v>2958</v>
      </c>
      <c r="O432" s="2" t="s">
        <v>2866</v>
      </c>
      <c r="P432" s="9">
        <v>67.62</v>
      </c>
      <c r="Q432" s="9">
        <v>50.0</v>
      </c>
      <c r="R432" s="9">
        <v>0.076923</v>
      </c>
      <c r="S432" s="9">
        <v>0.5256</v>
      </c>
      <c r="T432" s="9">
        <v>1.0009</v>
      </c>
      <c r="U432" s="2" t="s">
        <v>3270</v>
      </c>
      <c r="V432" s="9">
        <v>0.0</v>
      </c>
      <c r="W432" s="2" t="s">
        <v>82</v>
      </c>
      <c r="X432" s="2" t="s">
        <v>237</v>
      </c>
      <c r="Y432" s="2" t="s">
        <v>1810</v>
      </c>
      <c r="Z432" s="9">
        <v>0.4068</v>
      </c>
      <c r="AA432" s="9">
        <v>0.5256</v>
      </c>
      <c r="AB432" s="9">
        <v>0.0</v>
      </c>
      <c r="AC432" s="9">
        <v>0.7152</v>
      </c>
      <c r="AD432" s="9" t="str">
        <f t="shared" si="1"/>
        <v>#REF!</v>
      </c>
    </row>
    <row r="433" hidden="1">
      <c r="A433" s="2" t="s">
        <v>3800</v>
      </c>
      <c r="B433" s="2" t="s">
        <v>997</v>
      </c>
      <c r="C433" s="2" t="s">
        <v>1675</v>
      </c>
      <c r="D433" s="2" t="s">
        <v>64</v>
      </c>
      <c r="E433" s="7" t="b">
        <v>1</v>
      </c>
      <c r="F433" s="9">
        <v>176.0</v>
      </c>
      <c r="G433" s="9">
        <v>20.92228606994427</v>
      </c>
      <c r="H433" s="9">
        <v>0.0051972647727272</v>
      </c>
      <c r="I433" s="7" t="b">
        <v>1</v>
      </c>
      <c r="J433" s="9">
        <v>0.0</v>
      </c>
      <c r="K433" s="7" t="b">
        <v>0</v>
      </c>
      <c r="L433" s="9">
        <v>79.0</v>
      </c>
      <c r="M433" s="9">
        <v>0.4489</v>
      </c>
      <c r="N433" s="2" t="s">
        <v>1551</v>
      </c>
      <c r="O433" s="2" t="s">
        <v>1890</v>
      </c>
      <c r="P433" s="9">
        <v>66.52</v>
      </c>
      <c r="Q433" s="9">
        <v>62.0</v>
      </c>
      <c r="R433" s="9">
        <v>0.142857</v>
      </c>
      <c r="S433" s="9">
        <v>0.5328</v>
      </c>
      <c r="T433" s="9">
        <v>0.9943</v>
      </c>
      <c r="U433" s="2" t="s">
        <v>2338</v>
      </c>
      <c r="V433" s="9">
        <v>0.0</v>
      </c>
      <c r="W433" s="2" t="s">
        <v>134</v>
      </c>
      <c r="X433" s="2" t="s">
        <v>1466</v>
      </c>
      <c r="Y433" s="2" t="s">
        <v>3229</v>
      </c>
      <c r="Z433" s="9">
        <v>0.4183</v>
      </c>
      <c r="AA433" s="9">
        <v>0.5328</v>
      </c>
      <c r="AB433" s="9">
        <v>0.0</v>
      </c>
      <c r="AC433" s="9">
        <v>0.2639</v>
      </c>
      <c r="AD433" s="9" t="str">
        <f t="shared" si="1"/>
        <v>#REF!</v>
      </c>
    </row>
    <row r="434" hidden="1">
      <c r="A434" s="2" t="s">
        <v>3654</v>
      </c>
      <c r="B434" s="2" t="s">
        <v>501</v>
      </c>
      <c r="C434" s="2" t="s">
        <v>1675</v>
      </c>
      <c r="D434" s="2" t="s">
        <v>64</v>
      </c>
      <c r="E434" s="7" t="b">
        <v>1</v>
      </c>
      <c r="F434" s="9">
        <v>1388.0</v>
      </c>
      <c r="G434" s="9">
        <v>2.774711225962853</v>
      </c>
      <c r="H434" s="9">
        <v>0.0014169451008645</v>
      </c>
      <c r="I434" s="7" t="b">
        <v>1</v>
      </c>
      <c r="J434" s="9">
        <v>0.0</v>
      </c>
      <c r="K434" s="7" t="b">
        <v>0</v>
      </c>
      <c r="L434" s="9">
        <v>6314.0</v>
      </c>
      <c r="M434" s="9">
        <v>4.549</v>
      </c>
      <c r="N434" s="2" t="s">
        <v>4090</v>
      </c>
      <c r="O434" s="2" t="s">
        <v>4091</v>
      </c>
      <c r="P434" s="9">
        <v>44.49</v>
      </c>
      <c r="Q434" s="9">
        <v>38.0</v>
      </c>
      <c r="R434" s="9">
        <v>0.011387</v>
      </c>
      <c r="S434" s="9">
        <v>0.6088</v>
      </c>
      <c r="T434" s="9">
        <v>0.2606</v>
      </c>
      <c r="U434" s="2" t="s">
        <v>2801</v>
      </c>
      <c r="V434" s="9">
        <v>0.8747</v>
      </c>
      <c r="W434" s="15"/>
      <c r="X434" s="2" t="s">
        <v>517</v>
      </c>
      <c r="Y434" s="2" t="s">
        <v>1593</v>
      </c>
      <c r="Z434" s="9">
        <v>0.5788</v>
      </c>
      <c r="AA434" s="9">
        <v>0.6088</v>
      </c>
      <c r="AB434" s="9">
        <v>0.8747</v>
      </c>
      <c r="AC434" s="9">
        <v>0.1873</v>
      </c>
      <c r="AD434" s="9" t="str">
        <f t="shared" si="1"/>
        <v>#REF!</v>
      </c>
    </row>
    <row r="435" hidden="1">
      <c r="A435" s="2" t="s">
        <v>3698</v>
      </c>
      <c r="B435" s="2" t="s">
        <v>441</v>
      </c>
      <c r="C435" s="2" t="s">
        <v>1675</v>
      </c>
      <c r="D435" s="2" t="s">
        <v>64</v>
      </c>
      <c r="E435" s="7" t="b">
        <v>1</v>
      </c>
      <c r="F435" s="9">
        <v>1061.0</v>
      </c>
      <c r="G435" s="9">
        <v>5.895528052498484</v>
      </c>
      <c r="H435" s="9">
        <v>0.0127379387370405</v>
      </c>
      <c r="I435" s="7" t="b">
        <v>1</v>
      </c>
      <c r="J435" s="9">
        <v>0.0</v>
      </c>
      <c r="K435" s="7" t="b">
        <v>0</v>
      </c>
      <c r="L435" s="9">
        <v>1216.0</v>
      </c>
      <c r="M435" s="9">
        <v>1.1461</v>
      </c>
      <c r="N435" s="2" t="s">
        <v>245</v>
      </c>
      <c r="O435" s="2" t="s">
        <v>2922</v>
      </c>
      <c r="P435" s="9">
        <v>39.61</v>
      </c>
      <c r="Q435" s="9">
        <v>38.0</v>
      </c>
      <c r="R435" s="9">
        <v>0.019608</v>
      </c>
      <c r="S435" s="9">
        <v>0.7088</v>
      </c>
      <c r="T435" s="9">
        <v>0.6279</v>
      </c>
      <c r="U435" s="2" t="s">
        <v>2991</v>
      </c>
      <c r="V435" s="9">
        <v>0.8785</v>
      </c>
      <c r="W435" s="2" t="s">
        <v>2753</v>
      </c>
      <c r="X435" s="2" t="s">
        <v>517</v>
      </c>
      <c r="Y435" s="2" t="s">
        <v>1593</v>
      </c>
      <c r="Z435" s="9">
        <v>0.5875</v>
      </c>
      <c r="AA435" s="9">
        <v>0.7088</v>
      </c>
      <c r="AB435" s="9">
        <v>0.8785</v>
      </c>
      <c r="AC435" s="9">
        <v>0.2598</v>
      </c>
      <c r="AD435" s="9" t="str">
        <f t="shared" si="1"/>
        <v>#REF!</v>
      </c>
    </row>
    <row r="436" hidden="1">
      <c r="A436" s="2" t="s">
        <v>3698</v>
      </c>
      <c r="B436" s="2" t="s">
        <v>1015</v>
      </c>
      <c r="C436" s="2" t="s">
        <v>1675</v>
      </c>
      <c r="D436" s="2" t="s">
        <v>64</v>
      </c>
      <c r="E436" s="7" t="b">
        <v>1</v>
      </c>
      <c r="F436" s="9">
        <v>8669.0</v>
      </c>
      <c r="G436" s="9">
        <v>12.19419779556078</v>
      </c>
      <c r="H436" s="9">
        <v>0.2573348171646095</v>
      </c>
      <c r="I436" s="7" t="b">
        <v>1</v>
      </c>
      <c r="J436" s="9">
        <v>0.0</v>
      </c>
      <c r="K436" s="7" t="b">
        <v>0</v>
      </c>
      <c r="L436" s="9">
        <v>8730.0</v>
      </c>
      <c r="M436" s="9">
        <v>1.007</v>
      </c>
      <c r="N436" s="2" t="s">
        <v>4098</v>
      </c>
      <c r="O436" s="2" t="s">
        <v>3741</v>
      </c>
      <c r="P436" s="9">
        <v>43.78</v>
      </c>
      <c r="Q436" s="9">
        <v>41.0</v>
      </c>
      <c r="R436" s="9">
        <v>0.013237</v>
      </c>
      <c r="S436" s="9">
        <v>0.9517</v>
      </c>
      <c r="T436" s="9">
        <v>0.914</v>
      </c>
      <c r="U436" s="2" t="s">
        <v>1496</v>
      </c>
      <c r="V436" s="9">
        <v>0.8632</v>
      </c>
      <c r="W436" s="2" t="s">
        <v>157</v>
      </c>
      <c r="X436" s="2" t="s">
        <v>84</v>
      </c>
      <c r="Y436" s="2" t="s">
        <v>2675</v>
      </c>
      <c r="Z436" s="9">
        <v>0.8414</v>
      </c>
      <c r="AA436" s="9">
        <v>0.9517</v>
      </c>
      <c r="AB436" s="9">
        <v>0.8632</v>
      </c>
      <c r="AC436" s="9">
        <v>0.846</v>
      </c>
      <c r="AD436" s="9" t="str">
        <f t="shared" si="1"/>
        <v>#REF!</v>
      </c>
    </row>
    <row r="437">
      <c r="A437" s="2" t="s">
        <v>2078</v>
      </c>
      <c r="B437" s="2" t="s">
        <v>306</v>
      </c>
      <c r="C437" s="2" t="s">
        <v>1675</v>
      </c>
      <c r="D437" s="2" t="s">
        <v>64</v>
      </c>
      <c r="E437" s="7" t="b">
        <v>1</v>
      </c>
      <c r="F437" s="9">
        <v>2973.0</v>
      </c>
      <c r="G437" s="9">
        <v>11.90311149357205</v>
      </c>
      <c r="H437" s="9">
        <v>0.1394148133198789</v>
      </c>
      <c r="I437" s="7" t="b">
        <v>1</v>
      </c>
      <c r="J437" s="9">
        <v>0.0</v>
      </c>
      <c r="K437" s="7" t="b">
        <v>0</v>
      </c>
      <c r="L437" s="9">
        <v>3403.0</v>
      </c>
      <c r="M437" s="9">
        <v>1.1446</v>
      </c>
      <c r="N437" s="2" t="s">
        <v>4101</v>
      </c>
      <c r="O437" s="2" t="s">
        <v>4102</v>
      </c>
      <c r="P437" s="9">
        <v>42.39</v>
      </c>
      <c r="Q437" s="9">
        <v>40.0</v>
      </c>
      <c r="R437" s="9">
        <v>0.010616</v>
      </c>
      <c r="S437" s="9">
        <v>0.9474</v>
      </c>
      <c r="T437" s="9">
        <v>0.9797</v>
      </c>
      <c r="U437" s="2" t="s">
        <v>436</v>
      </c>
      <c r="V437" s="9">
        <v>0.8956</v>
      </c>
      <c r="W437" s="2" t="s">
        <v>82</v>
      </c>
      <c r="X437" s="2" t="s">
        <v>99</v>
      </c>
      <c r="Y437" s="2" t="s">
        <v>1515</v>
      </c>
      <c r="Z437" s="9">
        <v>0.814</v>
      </c>
      <c r="AA437" s="9">
        <v>0.9474</v>
      </c>
      <c r="AB437" s="9">
        <v>0.8956</v>
      </c>
      <c r="AC437" s="9">
        <v>0.8721</v>
      </c>
      <c r="AD437" s="9" t="str">
        <f t="shared" si="1"/>
        <v>#REF!</v>
      </c>
    </row>
    <row r="438" hidden="1">
      <c r="A438" s="2" t="s">
        <v>3441</v>
      </c>
      <c r="B438" s="2" t="s">
        <v>942</v>
      </c>
      <c r="C438" s="2" t="s">
        <v>1675</v>
      </c>
      <c r="D438" s="2" t="s">
        <v>64</v>
      </c>
      <c r="E438" s="7" t="b">
        <v>1</v>
      </c>
      <c r="F438" s="9">
        <v>682.0</v>
      </c>
      <c r="G438" s="9">
        <v>5.273198658646542</v>
      </c>
      <c r="H438" s="9">
        <v>0.0013409431085043</v>
      </c>
      <c r="I438" s="7" t="b">
        <v>1</v>
      </c>
      <c r="J438" s="9">
        <v>0.0</v>
      </c>
      <c r="K438" s="7" t="b">
        <v>0</v>
      </c>
      <c r="L438" s="9">
        <v>1333.0</v>
      </c>
      <c r="M438" s="9">
        <v>1.9545</v>
      </c>
      <c r="N438" s="2" t="s">
        <v>4107</v>
      </c>
      <c r="O438" s="2" t="s">
        <v>4108</v>
      </c>
      <c r="P438" s="9">
        <v>56.13</v>
      </c>
      <c r="Q438" s="9">
        <v>45.0</v>
      </c>
      <c r="R438" s="9">
        <v>0.016279</v>
      </c>
      <c r="S438" s="9">
        <v>0.7389</v>
      </c>
      <c r="T438" s="9">
        <v>0.7978</v>
      </c>
      <c r="U438" s="2" t="s">
        <v>3005</v>
      </c>
      <c r="V438" s="9">
        <v>0.4869</v>
      </c>
      <c r="W438" s="2" t="s">
        <v>2753</v>
      </c>
      <c r="X438" s="2" t="s">
        <v>1466</v>
      </c>
      <c r="Y438" s="2" t="s">
        <v>4109</v>
      </c>
      <c r="Z438" s="9">
        <v>0.6279</v>
      </c>
      <c r="AA438" s="9">
        <v>0.7389</v>
      </c>
      <c r="AB438" s="9">
        <v>0.4869</v>
      </c>
      <c r="AC438" s="9">
        <v>0.1578</v>
      </c>
      <c r="AD438" s="9" t="str">
        <f t="shared" si="1"/>
        <v>#REF!</v>
      </c>
    </row>
    <row r="439" hidden="1">
      <c r="A439" s="2" t="s">
        <v>3188</v>
      </c>
      <c r="B439" s="2" t="s">
        <v>1009</v>
      </c>
      <c r="C439" s="2" t="s">
        <v>1316</v>
      </c>
      <c r="D439" s="2" t="s">
        <v>64</v>
      </c>
      <c r="E439" s="7" t="b">
        <v>1</v>
      </c>
      <c r="F439" s="9">
        <v>1123.0</v>
      </c>
      <c r="G439" s="9">
        <v>18.70353886152721</v>
      </c>
      <c r="H439" s="9">
        <v>0.1016159608192341</v>
      </c>
      <c r="I439" s="7" t="b">
        <v>1</v>
      </c>
      <c r="J439" s="9">
        <v>0.0</v>
      </c>
      <c r="K439" s="7" t="b">
        <v>0</v>
      </c>
      <c r="L439" s="9">
        <v>35.0</v>
      </c>
      <c r="M439" s="9">
        <v>0.0312</v>
      </c>
      <c r="N439" s="2" t="s">
        <v>1628</v>
      </c>
      <c r="O439" s="2" t="s">
        <v>1629</v>
      </c>
      <c r="P439" s="9">
        <v>50.46</v>
      </c>
      <c r="Q439" s="9">
        <v>49.0</v>
      </c>
      <c r="R439" s="9">
        <v>1.0</v>
      </c>
      <c r="S439" s="9">
        <v>0.4483</v>
      </c>
      <c r="T439" s="9">
        <v>0.9686</v>
      </c>
      <c r="U439" s="2" t="s">
        <v>2553</v>
      </c>
      <c r="V439" s="9">
        <v>0.8193</v>
      </c>
      <c r="W439" s="2" t="s">
        <v>82</v>
      </c>
      <c r="X439" s="2" t="s">
        <v>495</v>
      </c>
      <c r="Y439" s="2" t="s">
        <v>2508</v>
      </c>
      <c r="Z439" s="9">
        <v>0.3465</v>
      </c>
      <c r="AA439" s="9">
        <v>0.4483</v>
      </c>
      <c r="AB439" s="9">
        <v>0.8193</v>
      </c>
      <c r="AC439" s="9">
        <v>0.0086</v>
      </c>
      <c r="AD439" s="9" t="str">
        <f t="shared" si="1"/>
        <v>#REF!</v>
      </c>
    </row>
    <row r="440">
      <c r="A440" s="2" t="s">
        <v>1347</v>
      </c>
      <c r="B440" s="2" t="s">
        <v>306</v>
      </c>
      <c r="C440" s="2" t="s">
        <v>1316</v>
      </c>
      <c r="D440" s="2" t="s">
        <v>64</v>
      </c>
      <c r="E440" s="7" t="b">
        <v>1</v>
      </c>
      <c r="F440" s="9">
        <v>82.0</v>
      </c>
      <c r="G440" s="9">
        <v>22.68355160695581</v>
      </c>
      <c r="H440" s="9">
        <v>0.015600731707317</v>
      </c>
      <c r="I440" s="7" t="b">
        <v>1</v>
      </c>
      <c r="J440" s="9">
        <v>0.0</v>
      </c>
      <c r="K440" s="7" t="b">
        <v>0</v>
      </c>
      <c r="L440" s="9">
        <v>81.0</v>
      </c>
      <c r="M440" s="9">
        <v>0.9878</v>
      </c>
      <c r="N440" s="2" t="s">
        <v>309</v>
      </c>
      <c r="O440" s="2" t="s">
        <v>310</v>
      </c>
      <c r="P440" s="9">
        <v>61.32</v>
      </c>
      <c r="Q440" s="9">
        <v>63.0</v>
      </c>
      <c r="R440" s="9">
        <v>0.071429</v>
      </c>
      <c r="S440" s="9">
        <v>0.583</v>
      </c>
      <c r="T440" s="9">
        <v>1.0014</v>
      </c>
      <c r="U440" s="2" t="s">
        <v>1840</v>
      </c>
      <c r="V440" s="9">
        <v>0.55</v>
      </c>
      <c r="W440" s="2" t="s">
        <v>82</v>
      </c>
      <c r="X440" s="2" t="s">
        <v>84</v>
      </c>
      <c r="Y440" s="2" t="s">
        <v>2340</v>
      </c>
      <c r="Z440" s="9">
        <v>0.4475</v>
      </c>
      <c r="AA440" s="9">
        <v>0.583</v>
      </c>
      <c r="AB440" s="9">
        <v>0.55</v>
      </c>
      <c r="AC440" s="9">
        <v>0.8466</v>
      </c>
      <c r="AD440" s="9" t="str">
        <f t="shared" si="1"/>
        <v>#REF!</v>
      </c>
    </row>
    <row r="441" hidden="1">
      <c r="A441" s="2" t="s">
        <v>3565</v>
      </c>
      <c r="B441" s="2" t="s">
        <v>501</v>
      </c>
      <c r="C441" s="2" t="s">
        <v>1675</v>
      </c>
      <c r="D441" s="2" t="s">
        <v>64</v>
      </c>
      <c r="E441" s="7" t="b">
        <v>1</v>
      </c>
      <c r="F441" s="9">
        <v>3521.0</v>
      </c>
      <c r="G441" s="9">
        <v>2.201516867405383</v>
      </c>
      <c r="H441" s="9">
        <v>0.002252198807157</v>
      </c>
      <c r="I441" s="7" t="b">
        <v>1</v>
      </c>
      <c r="J441" s="9">
        <v>0.0</v>
      </c>
      <c r="K441" s="7" t="b">
        <v>0</v>
      </c>
      <c r="L441" s="9">
        <v>12898.0</v>
      </c>
      <c r="M441" s="9">
        <v>3.6632</v>
      </c>
      <c r="N441" s="2" t="s">
        <v>4117</v>
      </c>
      <c r="O441" s="2" t="s">
        <v>4118</v>
      </c>
      <c r="P441" s="9">
        <v>47.02</v>
      </c>
      <c r="Q441" s="9">
        <v>39.0</v>
      </c>
      <c r="R441" s="9">
        <v>0.010103</v>
      </c>
      <c r="S441" s="9">
        <v>0.6971</v>
      </c>
      <c r="T441" s="9">
        <v>0.2752</v>
      </c>
      <c r="U441" s="2" t="s">
        <v>2450</v>
      </c>
      <c r="V441" s="9">
        <v>0.8759</v>
      </c>
      <c r="W441" s="15"/>
      <c r="X441" s="2" t="s">
        <v>517</v>
      </c>
      <c r="Y441" s="2" t="s">
        <v>1593</v>
      </c>
      <c r="Z441" s="9">
        <v>0.6572</v>
      </c>
      <c r="AA441" s="9">
        <v>0.6971</v>
      </c>
      <c r="AB441" s="9">
        <v>0.8759</v>
      </c>
      <c r="AC441" s="9">
        <v>0.1889</v>
      </c>
      <c r="AD441" s="9" t="str">
        <f t="shared" si="1"/>
        <v>#REF!</v>
      </c>
    </row>
    <row r="442" hidden="1">
      <c r="A442" s="2" t="s">
        <v>2992</v>
      </c>
      <c r="B442" s="2" t="s">
        <v>997</v>
      </c>
      <c r="C442" s="2" t="s">
        <v>1316</v>
      </c>
      <c r="D442" s="2" t="s">
        <v>64</v>
      </c>
      <c r="E442" s="7" t="b">
        <v>1</v>
      </c>
      <c r="F442" s="9">
        <v>53.0</v>
      </c>
      <c r="G442" s="9">
        <v>24.04751754987823</v>
      </c>
      <c r="H442" s="9">
        <v>0.0020708509433962</v>
      </c>
      <c r="I442" s="7" t="b">
        <v>1</v>
      </c>
      <c r="J442" s="9">
        <v>0.0</v>
      </c>
      <c r="K442" s="7" t="b">
        <v>0</v>
      </c>
      <c r="L442" s="9">
        <v>34.0</v>
      </c>
      <c r="M442" s="9">
        <v>0.6415</v>
      </c>
      <c r="N442" s="2" t="s">
        <v>2619</v>
      </c>
      <c r="O442" s="2" t="s">
        <v>1552</v>
      </c>
      <c r="P442" s="9">
        <v>62.56</v>
      </c>
      <c r="Q442" s="9">
        <v>65.0</v>
      </c>
      <c r="R442" s="9">
        <v>0.333333</v>
      </c>
      <c r="S442" s="9">
        <v>0.4316</v>
      </c>
      <c r="T442" s="9">
        <v>1.0003</v>
      </c>
      <c r="U442" s="2" t="s">
        <v>1207</v>
      </c>
      <c r="V442" s="9">
        <v>0.8193</v>
      </c>
      <c r="W442" s="2" t="s">
        <v>82</v>
      </c>
      <c r="X442" s="2" t="s">
        <v>84</v>
      </c>
      <c r="Y442" s="2" t="s">
        <v>2340</v>
      </c>
      <c r="Z442" s="9">
        <v>0.3361</v>
      </c>
      <c r="AA442" s="9">
        <v>0.4316</v>
      </c>
      <c r="AB442" s="9">
        <v>0.8193</v>
      </c>
      <c r="AC442" s="9">
        <v>0.6098</v>
      </c>
      <c r="AD442" s="9" t="str">
        <f t="shared" si="1"/>
        <v>#REF!</v>
      </c>
    </row>
    <row r="443" hidden="1">
      <c r="A443" s="2" t="s">
        <v>3690</v>
      </c>
      <c r="B443" s="2" t="s">
        <v>534</v>
      </c>
      <c r="C443" s="2" t="s">
        <v>1675</v>
      </c>
      <c r="D443" s="2" t="s">
        <v>64</v>
      </c>
      <c r="E443" s="7" t="b">
        <v>1</v>
      </c>
      <c r="F443" s="9">
        <v>382.0</v>
      </c>
      <c r="G443" s="9">
        <v>13.00496802834399</v>
      </c>
      <c r="H443" s="9">
        <v>0.0043744083769633</v>
      </c>
      <c r="I443" s="7" t="b">
        <v>1</v>
      </c>
      <c r="J443" s="9">
        <v>0.0</v>
      </c>
      <c r="K443" s="7" t="b">
        <v>0</v>
      </c>
      <c r="L443" s="9">
        <v>112.0</v>
      </c>
      <c r="M443" s="9">
        <v>0.2932</v>
      </c>
      <c r="N443" s="2" t="s">
        <v>2379</v>
      </c>
      <c r="O443" s="2" t="s">
        <v>2380</v>
      </c>
      <c r="P443" s="9">
        <v>68.48</v>
      </c>
      <c r="Q443" s="9">
        <v>69.0</v>
      </c>
      <c r="R443" s="9">
        <v>0.0</v>
      </c>
      <c r="S443" s="9">
        <v>0.5656</v>
      </c>
      <c r="T443" s="9">
        <v>0.9525</v>
      </c>
      <c r="U443" s="2" t="s">
        <v>1957</v>
      </c>
      <c r="V443" s="15"/>
      <c r="W443" s="2" t="s">
        <v>1193</v>
      </c>
      <c r="X443" s="2" t="s">
        <v>182</v>
      </c>
      <c r="Y443" s="2" t="s">
        <v>3170</v>
      </c>
      <c r="Z443" s="9">
        <v>0.4398</v>
      </c>
      <c r="AA443" s="9">
        <v>0.5656</v>
      </c>
      <c r="AB443" s="15"/>
      <c r="AC443" s="9">
        <v>0.6906</v>
      </c>
      <c r="AD443" s="9" t="str">
        <f t="shared" si="1"/>
        <v>#REF!</v>
      </c>
    </row>
    <row r="444" hidden="1">
      <c r="A444" s="2" t="s">
        <v>3690</v>
      </c>
      <c r="B444" s="2" t="s">
        <v>997</v>
      </c>
      <c r="C444" s="2" t="s">
        <v>1675</v>
      </c>
      <c r="D444" s="2" t="s">
        <v>64</v>
      </c>
      <c r="E444" s="7" t="b">
        <v>1</v>
      </c>
      <c r="F444" s="9">
        <v>84.0</v>
      </c>
      <c r="G444" s="9">
        <v>38.88572799718128</v>
      </c>
      <c r="H444" s="9">
        <v>0.0085692595238095</v>
      </c>
      <c r="I444" s="7" t="b">
        <v>1</v>
      </c>
      <c r="J444" s="9">
        <v>0.0</v>
      </c>
      <c r="K444" s="7" t="b">
        <v>0</v>
      </c>
      <c r="L444" s="9">
        <v>56.0</v>
      </c>
      <c r="M444" s="9">
        <v>0.6667</v>
      </c>
      <c r="N444" s="2" t="s">
        <v>1460</v>
      </c>
      <c r="O444" s="2" t="s">
        <v>1912</v>
      </c>
      <c r="P444" s="9">
        <v>89.66</v>
      </c>
      <c r="Q444" s="9">
        <v>100.0</v>
      </c>
      <c r="R444" s="9">
        <v>0.0</v>
      </c>
      <c r="S444" s="9">
        <v>0.4968</v>
      </c>
      <c r="T444" s="9">
        <v>1.0007</v>
      </c>
      <c r="U444" s="2" t="s">
        <v>1245</v>
      </c>
      <c r="V444" s="9">
        <v>0.3</v>
      </c>
      <c r="W444" s="2" t="s">
        <v>134</v>
      </c>
      <c r="X444" s="2" t="s">
        <v>517</v>
      </c>
      <c r="Y444" s="2" t="s">
        <v>1375</v>
      </c>
      <c r="Z444" s="9">
        <v>0.3869</v>
      </c>
      <c r="AA444" s="9">
        <v>0.4968</v>
      </c>
      <c r="AB444" s="9">
        <v>0.3</v>
      </c>
      <c r="AC444" s="9">
        <v>0.6584</v>
      </c>
      <c r="AD444" s="9" t="str">
        <f t="shared" si="1"/>
        <v>#REF!</v>
      </c>
    </row>
    <row r="445" hidden="1">
      <c r="A445" s="2" t="s">
        <v>3734</v>
      </c>
      <c r="B445" s="2" t="s">
        <v>542</v>
      </c>
      <c r="C445" s="2" t="s">
        <v>1675</v>
      </c>
      <c r="D445" s="2" t="s">
        <v>64</v>
      </c>
      <c r="E445" s="7" t="b">
        <v>1</v>
      </c>
      <c r="F445" s="9">
        <v>62.0</v>
      </c>
      <c r="G445" s="9">
        <v>12.94215646176107</v>
      </c>
      <c r="H445" s="9">
        <v>0.0014125548387096</v>
      </c>
      <c r="I445" s="7" t="b">
        <v>1</v>
      </c>
      <c r="J445" s="9">
        <v>0.0</v>
      </c>
      <c r="K445" s="7" t="b">
        <v>0</v>
      </c>
      <c r="L445" s="9">
        <v>81.0</v>
      </c>
      <c r="M445" s="9">
        <v>1.3065</v>
      </c>
      <c r="N445" s="2" t="s">
        <v>1784</v>
      </c>
      <c r="O445" s="2" t="s">
        <v>310</v>
      </c>
      <c r="P445" s="9">
        <v>74.95</v>
      </c>
      <c r="Q445" s="9">
        <v>78.0</v>
      </c>
      <c r="R445" s="9">
        <v>0.071429</v>
      </c>
      <c r="S445" s="9">
        <v>0.5651</v>
      </c>
      <c r="T445" s="9">
        <v>0.9924</v>
      </c>
      <c r="U445" s="2" t="s">
        <v>2843</v>
      </c>
      <c r="V445" s="9">
        <v>0.55</v>
      </c>
      <c r="W445" s="2" t="s">
        <v>1884</v>
      </c>
      <c r="X445" s="2" t="s">
        <v>495</v>
      </c>
      <c r="Y445" s="2" t="s">
        <v>1980</v>
      </c>
      <c r="Z445" s="9">
        <v>0.4396</v>
      </c>
      <c r="AA445" s="9">
        <v>0.5651</v>
      </c>
      <c r="AB445" s="9">
        <v>0.55</v>
      </c>
      <c r="AC445" s="9">
        <v>0.1633</v>
      </c>
      <c r="AD445" s="9" t="str">
        <f t="shared" si="1"/>
        <v>#REF!</v>
      </c>
    </row>
    <row r="446" hidden="1">
      <c r="A446" s="2" t="s">
        <v>3734</v>
      </c>
      <c r="B446" s="2" t="s">
        <v>997</v>
      </c>
      <c r="C446" s="2" t="s">
        <v>1675</v>
      </c>
      <c r="D446" s="2" t="s">
        <v>64</v>
      </c>
      <c r="E446" s="7" t="b">
        <v>1</v>
      </c>
      <c r="F446" s="9">
        <v>56.0</v>
      </c>
      <c r="G446" s="9">
        <v>18.63120468419154</v>
      </c>
      <c r="H446" s="9">
        <v>0.00131362125</v>
      </c>
      <c r="I446" s="7" t="b">
        <v>1</v>
      </c>
      <c r="J446" s="9">
        <v>0.0</v>
      </c>
      <c r="K446" s="7" t="b">
        <v>0</v>
      </c>
      <c r="L446" s="9">
        <v>17.0</v>
      </c>
      <c r="M446" s="9">
        <v>0.3036</v>
      </c>
      <c r="N446" s="2" t="s">
        <v>2474</v>
      </c>
      <c r="O446" s="2" t="s">
        <v>2475</v>
      </c>
      <c r="P446" s="9">
        <v>78.06</v>
      </c>
      <c r="Q446" s="9">
        <v>84.0</v>
      </c>
      <c r="R446" s="9">
        <v>0.0</v>
      </c>
      <c r="S446" s="9">
        <v>0.3497</v>
      </c>
      <c r="T446" s="9">
        <v>1.0002</v>
      </c>
      <c r="U446" s="2" t="s">
        <v>1139</v>
      </c>
      <c r="V446" s="9">
        <v>0.0</v>
      </c>
      <c r="W446" s="2" t="s">
        <v>157</v>
      </c>
      <c r="X446" s="2" t="s">
        <v>1521</v>
      </c>
      <c r="Y446" s="2" t="s">
        <v>1491</v>
      </c>
      <c r="Z446" s="9">
        <v>0.2723</v>
      </c>
      <c r="AA446" s="9">
        <v>0.3497</v>
      </c>
      <c r="AB446" s="9">
        <v>0.0</v>
      </c>
      <c r="AC446" s="9">
        <v>0.1751</v>
      </c>
      <c r="AD446" s="9" t="str">
        <f t="shared" si="1"/>
        <v>#REF!</v>
      </c>
    </row>
    <row r="447" hidden="1">
      <c r="A447" s="2" t="s">
        <v>2049</v>
      </c>
      <c r="B447" s="2" t="s">
        <v>942</v>
      </c>
      <c r="C447" s="2" t="s">
        <v>1439</v>
      </c>
      <c r="D447" s="2" t="s">
        <v>64</v>
      </c>
      <c r="E447" s="7" t="b">
        <v>1</v>
      </c>
      <c r="F447" s="9">
        <v>788.0</v>
      </c>
      <c r="G447" s="9">
        <v>5.259821022575358</v>
      </c>
      <c r="H447" s="9">
        <v>0.0015410946700507</v>
      </c>
      <c r="I447" s="7" t="b">
        <v>1</v>
      </c>
      <c r="J447" s="9">
        <v>0.0</v>
      </c>
      <c r="K447" s="7" t="b">
        <v>0</v>
      </c>
      <c r="L447" s="9">
        <v>3101.0</v>
      </c>
      <c r="M447" s="9">
        <v>3.9353</v>
      </c>
      <c r="N447" s="2" t="s">
        <v>4130</v>
      </c>
      <c r="O447" s="2" t="s">
        <v>4132</v>
      </c>
      <c r="P447" s="9">
        <v>57.57</v>
      </c>
      <c r="Q447" s="9">
        <v>50.0</v>
      </c>
      <c r="R447" s="9">
        <v>0.014563</v>
      </c>
      <c r="S447" s="9">
        <v>0.7883</v>
      </c>
      <c r="T447" s="9">
        <v>0.7123</v>
      </c>
      <c r="U447" s="2" t="s">
        <v>1671</v>
      </c>
      <c r="V447" s="9">
        <v>0.7678</v>
      </c>
      <c r="W447" s="2" t="s">
        <v>2760</v>
      </c>
      <c r="X447" s="2" t="s">
        <v>517</v>
      </c>
      <c r="Y447" s="2" t="s">
        <v>2719</v>
      </c>
      <c r="Z447" s="9">
        <v>0.6944</v>
      </c>
      <c r="AA447" s="9">
        <v>0.7883</v>
      </c>
      <c r="AB447" s="9">
        <v>0.7678</v>
      </c>
      <c r="AC447" s="9">
        <v>0.1517</v>
      </c>
      <c r="AD447" s="9" t="str">
        <f t="shared" si="1"/>
        <v>#REF!</v>
      </c>
    </row>
    <row r="448" hidden="1">
      <c r="A448" s="2" t="s">
        <v>1308</v>
      </c>
      <c r="B448" s="2" t="s">
        <v>997</v>
      </c>
      <c r="C448" s="2" t="s">
        <v>119</v>
      </c>
      <c r="D448" s="2" t="s">
        <v>64</v>
      </c>
      <c r="E448" s="7" t="b">
        <v>1</v>
      </c>
      <c r="F448" s="9">
        <v>1078.0</v>
      </c>
      <c r="G448" s="9">
        <v>36.51737259379558</v>
      </c>
      <c r="H448" s="9">
        <v>0.0948195918367346</v>
      </c>
      <c r="I448" s="7" t="b">
        <v>1</v>
      </c>
      <c r="J448" s="9">
        <v>0.0</v>
      </c>
      <c r="K448" s="7" t="b">
        <v>0</v>
      </c>
      <c r="L448" s="9">
        <v>598.0</v>
      </c>
      <c r="M448" s="9">
        <v>0.5547</v>
      </c>
      <c r="N448" s="2" t="s">
        <v>4135</v>
      </c>
      <c r="O448" s="2" t="s">
        <v>4136</v>
      </c>
      <c r="P448" s="9">
        <v>86.01</v>
      </c>
      <c r="Q448" s="9">
        <v>80.0</v>
      </c>
      <c r="R448" s="9">
        <v>0.241758</v>
      </c>
      <c r="S448" s="9">
        <v>0.7625</v>
      </c>
      <c r="T448" s="9">
        <v>0.9885</v>
      </c>
      <c r="U448" s="2" t="s">
        <v>688</v>
      </c>
      <c r="V448" s="9">
        <v>0.6889</v>
      </c>
      <c r="W448" s="2" t="s">
        <v>82</v>
      </c>
      <c r="X448" s="2" t="s">
        <v>84</v>
      </c>
      <c r="Y448" s="2" t="s">
        <v>2340</v>
      </c>
      <c r="Z448" s="9">
        <v>0.6089</v>
      </c>
      <c r="AA448" s="9">
        <v>0.7625</v>
      </c>
      <c r="AB448" s="9">
        <v>0.6889</v>
      </c>
      <c r="AC448" s="9">
        <v>0.6746</v>
      </c>
      <c r="AD448" s="9" t="str">
        <f t="shared" si="1"/>
        <v>#REF!</v>
      </c>
    </row>
    <row r="449" hidden="1">
      <c r="A449" s="2" t="s">
        <v>4138</v>
      </c>
      <c r="B449" s="2" t="s">
        <v>997</v>
      </c>
      <c r="C449" s="2" t="s">
        <v>119</v>
      </c>
      <c r="D449" s="2" t="s">
        <v>64</v>
      </c>
      <c r="E449" s="7" t="b">
        <v>1</v>
      </c>
      <c r="F449" s="9">
        <v>317.0</v>
      </c>
      <c r="G449" s="9">
        <v>21.92230823511323</v>
      </c>
      <c r="H449" s="9">
        <v>0.0102566328075709</v>
      </c>
      <c r="I449" s="7" t="b">
        <v>1</v>
      </c>
      <c r="J449" s="9">
        <v>0.0</v>
      </c>
      <c r="K449" s="7" t="b">
        <v>0</v>
      </c>
      <c r="L449" s="9">
        <v>212.0</v>
      </c>
      <c r="M449" s="9">
        <v>0.6688</v>
      </c>
      <c r="N449" s="2" t="s">
        <v>1689</v>
      </c>
      <c r="O449" s="2" t="s">
        <v>1791</v>
      </c>
      <c r="P449" s="9">
        <v>61.88</v>
      </c>
      <c r="Q449" s="9">
        <v>64.0</v>
      </c>
      <c r="R449" s="9">
        <v>0.030303</v>
      </c>
      <c r="S449" s="9">
        <v>0.6507</v>
      </c>
      <c r="T449" s="9">
        <v>0.998</v>
      </c>
      <c r="U449" s="2" t="s">
        <v>1416</v>
      </c>
      <c r="V449" s="9">
        <v>0.8193</v>
      </c>
      <c r="W449" s="2" t="s">
        <v>157</v>
      </c>
      <c r="X449" s="2" t="s">
        <v>237</v>
      </c>
      <c r="Y449" s="2" t="s">
        <v>1703</v>
      </c>
      <c r="Z449" s="9">
        <v>0.5142</v>
      </c>
      <c r="AA449" s="9">
        <v>0.6507</v>
      </c>
      <c r="AB449" s="9">
        <v>0.8193</v>
      </c>
      <c r="AC449" s="9">
        <v>0.615</v>
      </c>
      <c r="AD449" s="9" t="str">
        <f t="shared" si="1"/>
        <v>#REF!</v>
      </c>
    </row>
    <row r="450" hidden="1">
      <c r="A450" s="2" t="s">
        <v>2164</v>
      </c>
      <c r="B450" s="2" t="s">
        <v>503</v>
      </c>
      <c r="C450" s="2" t="s">
        <v>1439</v>
      </c>
      <c r="D450" s="2" t="s">
        <v>64</v>
      </c>
      <c r="E450" s="7" t="b">
        <v>1</v>
      </c>
      <c r="F450" s="9">
        <v>327.0</v>
      </c>
      <c r="G450" s="9">
        <v>7.570556142285484</v>
      </c>
      <c r="H450" s="9">
        <v>0.0016645483180428</v>
      </c>
      <c r="I450" s="7" t="b">
        <v>1</v>
      </c>
      <c r="J450" s="9">
        <v>0.0</v>
      </c>
      <c r="K450" s="7" t="b">
        <v>0</v>
      </c>
      <c r="L450" s="9">
        <v>197.0</v>
      </c>
      <c r="M450" s="9">
        <v>0.6024</v>
      </c>
      <c r="N450" s="2" t="s">
        <v>1433</v>
      </c>
      <c r="O450" s="2" t="s">
        <v>2866</v>
      </c>
      <c r="P450" s="9">
        <v>70.41</v>
      </c>
      <c r="Q450" s="9">
        <v>66.0</v>
      </c>
      <c r="R450" s="9">
        <v>0.0</v>
      </c>
      <c r="S450" s="9">
        <v>0.5031</v>
      </c>
      <c r="T450" s="9">
        <v>0.6347</v>
      </c>
      <c r="U450" s="2" t="s">
        <v>2735</v>
      </c>
      <c r="V450" s="9">
        <v>0.525</v>
      </c>
      <c r="W450" s="2" t="s">
        <v>82</v>
      </c>
      <c r="X450" s="2" t="s">
        <v>517</v>
      </c>
      <c r="Y450" s="2" t="s">
        <v>3198</v>
      </c>
      <c r="Z450" s="9">
        <v>0.4291</v>
      </c>
      <c r="AA450" s="9">
        <v>0.5031</v>
      </c>
      <c r="AB450" s="9">
        <v>0.525</v>
      </c>
      <c r="AC450" s="9">
        <v>0.1407</v>
      </c>
      <c r="AD450" s="9" t="str">
        <f t="shared" si="1"/>
        <v>#REF!</v>
      </c>
    </row>
    <row r="451" hidden="1">
      <c r="A451" s="2" t="s">
        <v>2164</v>
      </c>
      <c r="B451" s="2" t="s">
        <v>534</v>
      </c>
      <c r="C451" s="2" t="s">
        <v>1439</v>
      </c>
      <c r="D451" s="2" t="s">
        <v>64</v>
      </c>
      <c r="E451" s="7" t="b">
        <v>1</v>
      </c>
      <c r="F451" s="9">
        <v>1152.0</v>
      </c>
      <c r="G451" s="9">
        <v>5.048454500823681</v>
      </c>
      <c r="H451" s="9">
        <v>0.00198690234375</v>
      </c>
      <c r="I451" s="7" t="b">
        <v>1</v>
      </c>
      <c r="J451" s="9">
        <v>0.0</v>
      </c>
      <c r="K451" s="7" t="b">
        <v>0</v>
      </c>
      <c r="L451" s="9">
        <v>250.0</v>
      </c>
      <c r="M451" s="9">
        <v>0.217</v>
      </c>
      <c r="N451" s="2" t="s">
        <v>2113</v>
      </c>
      <c r="O451" s="2" t="s">
        <v>1426</v>
      </c>
      <c r="P451" s="9">
        <v>82.8</v>
      </c>
      <c r="Q451" s="9">
        <v>96.5</v>
      </c>
      <c r="R451" s="9">
        <v>0.018182</v>
      </c>
      <c r="S451" s="9">
        <v>0.4323</v>
      </c>
      <c r="T451" s="9">
        <v>0.4027</v>
      </c>
      <c r="U451" s="2" t="s">
        <v>515</v>
      </c>
      <c r="V451" s="9">
        <v>0.38</v>
      </c>
      <c r="W451" s="2" t="s">
        <v>1657</v>
      </c>
      <c r="X451" s="2" t="s">
        <v>1521</v>
      </c>
      <c r="Y451" s="2" t="s">
        <v>4145</v>
      </c>
      <c r="Z451" s="9">
        <v>0.419</v>
      </c>
      <c r="AA451" s="9">
        <v>0.4323</v>
      </c>
      <c r="AB451" s="9">
        <v>0.38</v>
      </c>
      <c r="AC451" s="9">
        <v>0.2231</v>
      </c>
      <c r="AD451" s="9" t="str">
        <f t="shared" si="1"/>
        <v>#REF!</v>
      </c>
    </row>
    <row r="452" hidden="1">
      <c r="A452" s="2" t="s">
        <v>2164</v>
      </c>
      <c r="B452" s="2" t="s">
        <v>969</v>
      </c>
      <c r="C452" s="2" t="s">
        <v>1439</v>
      </c>
      <c r="D452" s="2" t="s">
        <v>64</v>
      </c>
      <c r="E452" s="7" t="b">
        <v>1</v>
      </c>
      <c r="F452" s="9">
        <v>423.0</v>
      </c>
      <c r="G452" s="9">
        <v>8.408616419089713</v>
      </c>
      <c r="H452" s="9">
        <v>0.0049213576832151</v>
      </c>
      <c r="I452" s="7" t="b">
        <v>1</v>
      </c>
      <c r="J452" s="9">
        <v>0.0</v>
      </c>
      <c r="K452" s="7" t="b">
        <v>0</v>
      </c>
      <c r="L452" s="9">
        <v>1564.0</v>
      </c>
      <c r="M452" s="9">
        <v>3.6974</v>
      </c>
      <c r="N452" s="2" t="s">
        <v>4148</v>
      </c>
      <c r="O452" s="2" t="s">
        <v>1998</v>
      </c>
      <c r="P452" s="9">
        <v>83.77</v>
      </c>
      <c r="Q452" s="9">
        <v>95.0</v>
      </c>
      <c r="R452" s="9">
        <v>0.016</v>
      </c>
      <c r="S452" s="9">
        <v>0.5157</v>
      </c>
      <c r="T452" s="9">
        <v>0.1724</v>
      </c>
      <c r="U452" s="2" t="s">
        <v>4149</v>
      </c>
      <c r="V452" s="9">
        <v>0.089</v>
      </c>
      <c r="W452" s="2" t="s">
        <v>1193</v>
      </c>
      <c r="X452" s="2" t="s">
        <v>1466</v>
      </c>
      <c r="Y452" s="2" t="s">
        <v>1582</v>
      </c>
      <c r="Z452" s="9">
        <v>0.5155</v>
      </c>
      <c r="AA452" s="9">
        <v>0.5157</v>
      </c>
      <c r="AB452" s="9">
        <v>0.089</v>
      </c>
      <c r="AC452" s="9">
        <v>0.0661</v>
      </c>
      <c r="AD452" s="9" t="str">
        <f t="shared" si="1"/>
        <v>#REF!</v>
      </c>
    </row>
    <row r="453" hidden="1">
      <c r="A453" s="2" t="s">
        <v>2164</v>
      </c>
      <c r="B453" s="2" t="s">
        <v>973</v>
      </c>
      <c r="C453" s="2" t="s">
        <v>1439</v>
      </c>
      <c r="D453" s="2" t="s">
        <v>64</v>
      </c>
      <c r="E453" s="7" t="b">
        <v>1</v>
      </c>
      <c r="F453" s="9">
        <v>348.0</v>
      </c>
      <c r="G453" s="9">
        <v>10.90739207811413</v>
      </c>
      <c r="H453" s="9">
        <v>0.0168368965517241</v>
      </c>
      <c r="I453" s="7" t="b">
        <v>1</v>
      </c>
      <c r="J453" s="9">
        <v>0.0</v>
      </c>
      <c r="K453" s="7" t="b">
        <v>0</v>
      </c>
      <c r="L453" s="9">
        <v>996.0</v>
      </c>
      <c r="M453" s="9">
        <v>2.8621</v>
      </c>
      <c r="N453" s="2" t="s">
        <v>4151</v>
      </c>
      <c r="O453" s="2" t="s">
        <v>4152</v>
      </c>
      <c r="P453" s="9">
        <v>83.57</v>
      </c>
      <c r="Q453" s="9">
        <v>95.0</v>
      </c>
      <c r="R453" s="9">
        <v>0.026882</v>
      </c>
      <c r="S453" s="9">
        <v>0.4606</v>
      </c>
      <c r="T453" s="9">
        <v>0.1782</v>
      </c>
      <c r="U453" s="2" t="s">
        <v>2553</v>
      </c>
      <c r="V453" s="9">
        <v>0.1229</v>
      </c>
      <c r="W453" s="2" t="s">
        <v>1124</v>
      </c>
      <c r="X453" s="2" t="s">
        <v>1466</v>
      </c>
      <c r="Y453" s="2" t="s">
        <v>1582</v>
      </c>
      <c r="Z453" s="9">
        <v>0.4636</v>
      </c>
      <c r="AA453" s="9">
        <v>0.4606</v>
      </c>
      <c r="AB453" s="9">
        <v>0.1229</v>
      </c>
      <c r="AC453" s="9">
        <v>0.1259</v>
      </c>
      <c r="AD453" s="9" t="str">
        <f t="shared" si="1"/>
        <v>#REF!</v>
      </c>
    </row>
    <row r="454" hidden="1">
      <c r="A454" s="2" t="s">
        <v>2164</v>
      </c>
      <c r="B454" s="2" t="s">
        <v>982</v>
      </c>
      <c r="C454" s="2" t="s">
        <v>1439</v>
      </c>
      <c r="D454" s="2" t="s">
        <v>64</v>
      </c>
      <c r="E454" s="7" t="b">
        <v>1</v>
      </c>
      <c r="F454" s="9">
        <v>53.0</v>
      </c>
      <c r="G454" s="9">
        <v>14.21302358997347</v>
      </c>
      <c r="H454" s="9">
        <v>0.0051504905660377</v>
      </c>
      <c r="I454" s="7" t="b">
        <v>1</v>
      </c>
      <c r="J454" s="9">
        <v>0.0</v>
      </c>
      <c r="K454" s="7" t="b">
        <v>0</v>
      </c>
      <c r="L454" s="9">
        <v>538.0</v>
      </c>
      <c r="M454" s="9">
        <v>10.1509</v>
      </c>
      <c r="N454" s="2" t="s">
        <v>3287</v>
      </c>
      <c r="O454" s="2" t="s">
        <v>1920</v>
      </c>
      <c r="P454" s="9">
        <v>77.77</v>
      </c>
      <c r="Q454" s="9">
        <v>83.0</v>
      </c>
      <c r="R454" s="9">
        <v>0.017241</v>
      </c>
      <c r="S454" s="9">
        <v>0.4934</v>
      </c>
      <c r="T454" s="9">
        <v>0.2929</v>
      </c>
      <c r="U454" s="2" t="s">
        <v>2809</v>
      </c>
      <c r="V454" s="9">
        <v>0.1831</v>
      </c>
      <c r="W454" s="2" t="s">
        <v>3546</v>
      </c>
      <c r="X454" s="2" t="s">
        <v>1466</v>
      </c>
      <c r="Y454" s="2" t="s">
        <v>1582</v>
      </c>
      <c r="Z454" s="9">
        <v>0.4564</v>
      </c>
      <c r="AA454" s="9">
        <v>0.4934</v>
      </c>
      <c r="AB454" s="9">
        <v>0.1831</v>
      </c>
      <c r="AC454" s="9">
        <v>0.1105</v>
      </c>
      <c r="AD454" s="9" t="str">
        <f t="shared" si="1"/>
        <v>#REF!</v>
      </c>
    </row>
    <row r="455" hidden="1">
      <c r="A455" s="2" t="s">
        <v>2164</v>
      </c>
      <c r="B455" s="2" t="s">
        <v>992</v>
      </c>
      <c r="C455" s="2" t="s">
        <v>1439</v>
      </c>
      <c r="D455" s="2" t="s">
        <v>64</v>
      </c>
      <c r="E455" s="7" t="b">
        <v>1</v>
      </c>
      <c r="F455" s="9">
        <v>328.0</v>
      </c>
      <c r="G455" s="9">
        <v>17.61611697227957</v>
      </c>
      <c r="H455" s="9">
        <v>0.0494318414634146</v>
      </c>
      <c r="I455" s="7" t="b">
        <v>1</v>
      </c>
      <c r="J455" s="9">
        <v>0.0</v>
      </c>
      <c r="K455" s="7" t="b">
        <v>0</v>
      </c>
      <c r="L455" s="9">
        <v>1028.0</v>
      </c>
      <c r="M455" s="9">
        <v>3.1341</v>
      </c>
      <c r="N455" s="2" t="s">
        <v>4158</v>
      </c>
      <c r="O455" s="2" t="s">
        <v>4159</v>
      </c>
      <c r="P455" s="9">
        <v>79.19</v>
      </c>
      <c r="Q455" s="9">
        <v>83.0</v>
      </c>
      <c r="R455" s="9">
        <v>0.036697</v>
      </c>
      <c r="S455" s="9">
        <v>0.7167</v>
      </c>
      <c r="T455" s="9">
        <v>0.6301</v>
      </c>
      <c r="U455" s="2" t="s">
        <v>3581</v>
      </c>
      <c r="V455" s="9">
        <v>0.6209</v>
      </c>
      <c r="W455" s="2" t="s">
        <v>1094</v>
      </c>
      <c r="X455" s="2" t="s">
        <v>517</v>
      </c>
      <c r="Y455" s="2" t="s">
        <v>1593</v>
      </c>
      <c r="Z455" s="9">
        <v>0.5993</v>
      </c>
      <c r="AA455" s="9">
        <v>0.7167</v>
      </c>
      <c r="AB455" s="9">
        <v>0.6209</v>
      </c>
      <c r="AC455" s="9">
        <v>0.2335</v>
      </c>
      <c r="AD455" s="9" t="str">
        <f t="shared" si="1"/>
        <v>#REF!</v>
      </c>
    </row>
    <row r="456" hidden="1">
      <c r="A456" s="2" t="s">
        <v>2164</v>
      </c>
      <c r="B456" s="2" t="s">
        <v>997</v>
      </c>
      <c r="C456" s="2" t="s">
        <v>1439</v>
      </c>
      <c r="D456" s="2" t="s">
        <v>64</v>
      </c>
      <c r="E456" s="7" t="b">
        <v>1</v>
      </c>
      <c r="F456" s="9">
        <v>5095.0</v>
      </c>
      <c r="G456" s="9">
        <v>21.51006871132531</v>
      </c>
      <c r="H456" s="9">
        <v>0.1489718296368989</v>
      </c>
      <c r="I456" s="7" t="b">
        <v>1</v>
      </c>
      <c r="J456" s="9">
        <v>0.0</v>
      </c>
      <c r="K456" s="7" t="b">
        <v>0</v>
      </c>
      <c r="L456" s="9">
        <v>1756.0</v>
      </c>
      <c r="M456" s="9">
        <v>0.3447</v>
      </c>
      <c r="N456" s="2" t="s">
        <v>4161</v>
      </c>
      <c r="O456" s="2" t="s">
        <v>4163</v>
      </c>
      <c r="P456" s="9">
        <v>81.3</v>
      </c>
      <c r="Q456" s="9">
        <v>87.0</v>
      </c>
      <c r="R456" s="9">
        <v>0.026667</v>
      </c>
      <c r="S456" s="9">
        <v>0.8727</v>
      </c>
      <c r="T456" s="9">
        <v>0.9931</v>
      </c>
      <c r="U456" s="2" t="s">
        <v>1528</v>
      </c>
      <c r="V456" s="9">
        <v>0.6763</v>
      </c>
      <c r="W456" s="2" t="s">
        <v>157</v>
      </c>
      <c r="X456" s="2" t="s">
        <v>237</v>
      </c>
      <c r="Y456" s="2" t="s">
        <v>4165</v>
      </c>
      <c r="Z456" s="9">
        <v>0.7125</v>
      </c>
      <c r="AA456" s="9">
        <v>0.8727</v>
      </c>
      <c r="AB456" s="9">
        <v>0.6763</v>
      </c>
      <c r="AC456" s="9">
        <v>0.7544</v>
      </c>
      <c r="AD456" s="9" t="str">
        <f t="shared" si="1"/>
        <v>#REF!</v>
      </c>
    </row>
    <row r="457" hidden="1">
      <c r="A457" s="2" t="s">
        <v>4166</v>
      </c>
      <c r="B457" s="2" t="s">
        <v>997</v>
      </c>
      <c r="C457" s="2" t="s">
        <v>119</v>
      </c>
      <c r="D457" s="2" t="s">
        <v>64</v>
      </c>
      <c r="E457" s="7" t="b">
        <v>1</v>
      </c>
      <c r="F457" s="9">
        <v>105.0</v>
      </c>
      <c r="G457" s="9">
        <v>23.48513698777544</v>
      </c>
      <c r="H457" s="9">
        <v>0.0039095466666666</v>
      </c>
      <c r="I457" s="7" t="b">
        <v>1</v>
      </c>
      <c r="J457" s="9">
        <v>0.0</v>
      </c>
      <c r="K457" s="7" t="b">
        <v>0</v>
      </c>
      <c r="L457" s="9">
        <v>63.0</v>
      </c>
      <c r="M457" s="9">
        <v>0.6</v>
      </c>
      <c r="N457" s="2" t="s">
        <v>400</v>
      </c>
      <c r="O457" s="2" t="s">
        <v>402</v>
      </c>
      <c r="P457" s="9">
        <v>63.59</v>
      </c>
      <c r="Q457" s="9">
        <v>68.0</v>
      </c>
      <c r="R457" s="9">
        <v>0.0</v>
      </c>
      <c r="S457" s="9">
        <v>0.5059</v>
      </c>
      <c r="T457" s="9">
        <v>0.9978</v>
      </c>
      <c r="U457" s="2" t="s">
        <v>1971</v>
      </c>
      <c r="V457" s="9">
        <v>0.0</v>
      </c>
      <c r="W457" s="2" t="s">
        <v>157</v>
      </c>
      <c r="X457" s="2" t="s">
        <v>517</v>
      </c>
      <c r="Y457" s="2" t="s">
        <v>1375</v>
      </c>
      <c r="Z457" s="9">
        <v>0.3961</v>
      </c>
      <c r="AA457" s="9">
        <v>0.5059</v>
      </c>
      <c r="AB457" s="9">
        <v>0.0</v>
      </c>
      <c r="AC457" s="9">
        <v>0.7413</v>
      </c>
      <c r="AD457" s="9" t="str">
        <f t="shared" si="1"/>
        <v>#REF!</v>
      </c>
    </row>
    <row r="458" hidden="1">
      <c r="A458" s="2" t="s">
        <v>1986</v>
      </c>
      <c r="B458" s="2" t="s">
        <v>441</v>
      </c>
      <c r="C458" s="2" t="s">
        <v>1439</v>
      </c>
      <c r="D458" s="2" t="s">
        <v>64</v>
      </c>
      <c r="E458" s="7" t="b">
        <v>1</v>
      </c>
      <c r="F458" s="9">
        <v>466.0</v>
      </c>
      <c r="G458" s="9">
        <v>3.67783352097964</v>
      </c>
      <c r="H458" s="9">
        <v>0.0022099643776824</v>
      </c>
      <c r="I458" s="7" t="b">
        <v>1</v>
      </c>
      <c r="J458" s="9">
        <v>0.0</v>
      </c>
      <c r="K458" s="7" t="b">
        <v>0</v>
      </c>
      <c r="L458" s="9">
        <v>116.0</v>
      </c>
      <c r="M458" s="9">
        <v>0.2489</v>
      </c>
      <c r="N458" s="2" t="s">
        <v>1450</v>
      </c>
      <c r="O458" s="2" t="s">
        <v>1912</v>
      </c>
      <c r="P458" s="9">
        <v>51.95</v>
      </c>
      <c r="Q458" s="9">
        <v>47.0</v>
      </c>
      <c r="R458" s="9">
        <v>0.038462</v>
      </c>
      <c r="S458" s="9">
        <v>0.4975</v>
      </c>
      <c r="T458" s="9">
        <v>0.8461</v>
      </c>
      <c r="U458" s="2" t="s">
        <v>3783</v>
      </c>
      <c r="V458" s="9">
        <v>0.6811</v>
      </c>
      <c r="W458" s="2" t="s">
        <v>198</v>
      </c>
      <c r="X458" s="2" t="s">
        <v>517</v>
      </c>
      <c r="Y458" s="2" t="s">
        <v>2159</v>
      </c>
      <c r="Z458" s="9">
        <v>0.424</v>
      </c>
      <c r="AA458" s="9">
        <v>0.4975</v>
      </c>
      <c r="AB458" s="9">
        <v>0.6811</v>
      </c>
      <c r="AC458" s="9">
        <v>0.1519</v>
      </c>
      <c r="AD458" s="9" t="str">
        <f t="shared" si="1"/>
        <v>#REF!</v>
      </c>
    </row>
    <row r="459" hidden="1">
      <c r="A459" s="2" t="s">
        <v>1986</v>
      </c>
      <c r="B459" s="2" t="s">
        <v>942</v>
      </c>
      <c r="C459" s="2" t="s">
        <v>1439</v>
      </c>
      <c r="D459" s="2" t="s">
        <v>64</v>
      </c>
      <c r="E459" s="7" t="b">
        <v>1</v>
      </c>
      <c r="F459" s="9">
        <v>4574.0</v>
      </c>
      <c r="G459" s="9">
        <v>1.796130132798466</v>
      </c>
      <c r="H459" s="9">
        <v>0.0010401563401836</v>
      </c>
      <c r="I459" s="7" t="b">
        <v>1</v>
      </c>
      <c r="J459" s="9">
        <v>0.0</v>
      </c>
      <c r="K459" s="7" t="b">
        <v>0</v>
      </c>
      <c r="L459" s="9">
        <v>16480.0</v>
      </c>
      <c r="M459" s="9">
        <v>3.603</v>
      </c>
      <c r="N459" s="2" t="s">
        <v>4171</v>
      </c>
      <c r="O459" s="2" t="s">
        <v>4172</v>
      </c>
      <c r="P459" s="9">
        <v>54.17</v>
      </c>
      <c r="Q459" s="9">
        <v>50.0</v>
      </c>
      <c r="R459" s="9">
        <v>0.009746</v>
      </c>
      <c r="S459" s="9">
        <v>0.828</v>
      </c>
      <c r="T459" s="9">
        <v>0.3809</v>
      </c>
      <c r="U459" s="2" t="s">
        <v>3644</v>
      </c>
      <c r="V459" s="9">
        <v>0.7752</v>
      </c>
      <c r="W459" s="2" t="s">
        <v>2760</v>
      </c>
      <c r="X459" s="2" t="s">
        <v>517</v>
      </c>
      <c r="Y459" s="2" t="s">
        <v>4174</v>
      </c>
      <c r="Z459" s="9">
        <v>0.7583</v>
      </c>
      <c r="AA459" s="9">
        <v>0.828</v>
      </c>
      <c r="AB459" s="9">
        <v>0.7752</v>
      </c>
      <c r="AC459" s="9">
        <v>0.1577</v>
      </c>
      <c r="AD459" s="9" t="str">
        <f t="shared" si="1"/>
        <v>#REF!</v>
      </c>
    </row>
    <row r="460" hidden="1">
      <c r="A460" s="2" t="s">
        <v>1986</v>
      </c>
      <c r="B460" s="2" t="s">
        <v>997</v>
      </c>
      <c r="C460" s="2" t="s">
        <v>1439</v>
      </c>
      <c r="D460" s="2" t="s">
        <v>64</v>
      </c>
      <c r="E460" s="7" t="b">
        <v>1</v>
      </c>
      <c r="F460" s="9">
        <v>10168.0</v>
      </c>
      <c r="G460" s="9">
        <v>19.03051928568742</v>
      </c>
      <c r="H460" s="9">
        <v>0.221542321007081</v>
      </c>
      <c r="I460" s="7" t="b">
        <v>1</v>
      </c>
      <c r="J460" s="9">
        <v>0.0</v>
      </c>
      <c r="K460" s="7" t="b">
        <v>0</v>
      </c>
      <c r="L460" s="9">
        <v>4575.0</v>
      </c>
      <c r="M460" s="9">
        <v>0.4499</v>
      </c>
      <c r="N460" s="2" t="s">
        <v>4176</v>
      </c>
      <c r="O460" s="2" t="s">
        <v>4177</v>
      </c>
      <c r="P460" s="9">
        <v>63.93</v>
      </c>
      <c r="Q460" s="9">
        <v>65.0</v>
      </c>
      <c r="R460" s="9">
        <v>0.060032</v>
      </c>
      <c r="S460" s="9">
        <v>0.9176</v>
      </c>
      <c r="T460" s="9">
        <v>0.9639</v>
      </c>
      <c r="U460" s="2" t="s">
        <v>1957</v>
      </c>
      <c r="V460" s="9">
        <v>0.7258</v>
      </c>
      <c r="W460" s="2" t="s">
        <v>82</v>
      </c>
      <c r="X460" s="2" t="s">
        <v>84</v>
      </c>
      <c r="Y460" s="2" t="s">
        <v>4179</v>
      </c>
      <c r="Z460" s="9">
        <v>0.7947</v>
      </c>
      <c r="AA460" s="9">
        <v>0.9176</v>
      </c>
      <c r="AB460" s="9">
        <v>0.7258</v>
      </c>
      <c r="AC460" s="9">
        <v>0.731</v>
      </c>
      <c r="AD460" s="9" t="str">
        <f t="shared" si="1"/>
        <v>#REF!</v>
      </c>
    </row>
    <row r="461" hidden="1">
      <c r="A461" s="2" t="s">
        <v>1986</v>
      </c>
      <c r="B461" s="2" t="s">
        <v>1019</v>
      </c>
      <c r="C461" s="2" t="s">
        <v>1439</v>
      </c>
      <c r="D461" s="2" t="s">
        <v>64</v>
      </c>
      <c r="E461" s="7" t="b">
        <v>1</v>
      </c>
      <c r="F461" s="9">
        <v>371.0</v>
      </c>
      <c r="G461" s="9">
        <v>3.697605936428789</v>
      </c>
      <c r="H461" s="9">
        <v>0.0021725757412398</v>
      </c>
      <c r="I461" s="7" t="b">
        <v>1</v>
      </c>
      <c r="J461" s="9">
        <v>0.0</v>
      </c>
      <c r="K461" s="7" t="b">
        <v>0</v>
      </c>
      <c r="L461" s="9">
        <v>138.0</v>
      </c>
      <c r="M461" s="9">
        <v>0.372</v>
      </c>
      <c r="N461" s="2" t="s">
        <v>2277</v>
      </c>
      <c r="O461" s="2" t="s">
        <v>2172</v>
      </c>
      <c r="P461" s="9">
        <v>50.11</v>
      </c>
      <c r="Q461" s="9">
        <v>45.0</v>
      </c>
      <c r="R461" s="9">
        <v>0.0</v>
      </c>
      <c r="S461" s="9">
        <v>0.5068</v>
      </c>
      <c r="T461" s="9">
        <v>0.7213</v>
      </c>
      <c r="U461" s="2" t="s">
        <v>2973</v>
      </c>
      <c r="V461" s="9">
        <v>0.1028</v>
      </c>
      <c r="W461" s="2" t="s">
        <v>181</v>
      </c>
      <c r="X461" s="2" t="s">
        <v>4183</v>
      </c>
      <c r="Y461" s="2" t="s">
        <v>1788</v>
      </c>
      <c r="Z461" s="9">
        <v>0.4146</v>
      </c>
      <c r="AA461" s="9">
        <v>0.5068</v>
      </c>
      <c r="AB461" s="9">
        <v>0.1028</v>
      </c>
      <c r="AC461" s="9">
        <v>0.227</v>
      </c>
      <c r="AD461" s="9" t="str">
        <f t="shared" si="1"/>
        <v>#REF!</v>
      </c>
    </row>
    <row r="462" hidden="1">
      <c r="A462" s="2" t="s">
        <v>1974</v>
      </c>
      <c r="B462" s="2" t="s">
        <v>542</v>
      </c>
      <c r="C462" s="2" t="s">
        <v>1439</v>
      </c>
      <c r="D462" s="2" t="s">
        <v>64</v>
      </c>
      <c r="E462" s="7" t="b">
        <v>1</v>
      </c>
      <c r="F462" s="9">
        <v>72.0</v>
      </c>
      <c r="G462" s="9">
        <v>10.24096082336549</v>
      </c>
      <c r="H462" s="9">
        <v>0.0010266819444444</v>
      </c>
      <c r="I462" s="7" t="b">
        <v>1</v>
      </c>
      <c r="J462" s="9">
        <v>0.0</v>
      </c>
      <c r="K462" s="7" t="b">
        <v>0</v>
      </c>
      <c r="L462" s="9">
        <v>105.0</v>
      </c>
      <c r="M462" s="9">
        <v>1.4583</v>
      </c>
      <c r="N462" s="2" t="s">
        <v>2782</v>
      </c>
      <c r="O462" s="2" t="s">
        <v>2090</v>
      </c>
      <c r="P462" s="9">
        <v>70.12</v>
      </c>
      <c r="Q462" s="9">
        <v>64.0</v>
      </c>
      <c r="R462" s="9">
        <v>0.0</v>
      </c>
      <c r="S462" s="9">
        <v>0.5812</v>
      </c>
      <c r="T462" s="9">
        <v>0.9843</v>
      </c>
      <c r="U462" s="2" t="s">
        <v>4186</v>
      </c>
      <c r="V462" s="9">
        <v>0.8193</v>
      </c>
      <c r="W462" s="2" t="s">
        <v>2753</v>
      </c>
      <c r="X462" s="2" t="s">
        <v>517</v>
      </c>
      <c r="Y462" s="2" t="s">
        <v>1711</v>
      </c>
      <c r="Z462" s="9">
        <v>0.4634</v>
      </c>
      <c r="AA462" s="9">
        <v>0.5812</v>
      </c>
      <c r="AB462" s="9">
        <v>0.8193</v>
      </c>
      <c r="AC462" s="9">
        <v>0.1187</v>
      </c>
      <c r="AD462" s="9" t="str">
        <f t="shared" si="1"/>
        <v>#REF!</v>
      </c>
    </row>
    <row r="463" hidden="1">
      <c r="A463" s="2" t="s">
        <v>1974</v>
      </c>
      <c r="B463" s="2" t="s">
        <v>937</v>
      </c>
      <c r="C463" s="2" t="s">
        <v>1439</v>
      </c>
      <c r="D463" s="2" t="s">
        <v>64</v>
      </c>
      <c r="E463" s="7" t="b">
        <v>1</v>
      </c>
      <c r="F463" s="9">
        <v>894.0</v>
      </c>
      <c r="G463" s="9">
        <v>1.249133396736893</v>
      </c>
      <c r="H463" s="9">
        <v>0.006022466442953</v>
      </c>
      <c r="I463" s="7" t="b">
        <v>1</v>
      </c>
      <c r="J463" s="9">
        <v>0.0</v>
      </c>
      <c r="K463" s="7" t="b">
        <v>0</v>
      </c>
      <c r="L463" s="9">
        <v>350706.0</v>
      </c>
      <c r="M463" s="9">
        <v>392.2886</v>
      </c>
      <c r="N463" s="2" t="s">
        <v>4188</v>
      </c>
      <c r="O463" s="2" t="s">
        <v>4189</v>
      </c>
      <c r="P463" s="9">
        <v>64.44</v>
      </c>
      <c r="Q463" s="9">
        <v>59.0</v>
      </c>
      <c r="R463" s="9">
        <v>0.012733</v>
      </c>
      <c r="S463" s="9">
        <v>0.8674</v>
      </c>
      <c r="T463" s="9">
        <v>0.1497</v>
      </c>
      <c r="U463" s="2" t="s">
        <v>4191</v>
      </c>
      <c r="V463" s="9">
        <v>0.7315</v>
      </c>
      <c r="W463" s="2" t="s">
        <v>2879</v>
      </c>
      <c r="X463" s="2" t="s">
        <v>495</v>
      </c>
      <c r="Y463" s="2" t="s">
        <v>2880</v>
      </c>
      <c r="Z463" s="9">
        <v>0.82</v>
      </c>
      <c r="AA463" s="9">
        <v>0.8674</v>
      </c>
      <c r="AB463" s="9">
        <v>0.7315</v>
      </c>
      <c r="AC463" s="9">
        <v>0.1349</v>
      </c>
      <c r="AD463" s="9" t="str">
        <f t="shared" si="1"/>
        <v>#REF!</v>
      </c>
    </row>
    <row r="464" hidden="1">
      <c r="A464" s="2" t="s">
        <v>1974</v>
      </c>
      <c r="B464" s="2" t="s">
        <v>1027</v>
      </c>
      <c r="C464" s="2" t="s">
        <v>1439</v>
      </c>
      <c r="D464" s="2" t="s">
        <v>64</v>
      </c>
      <c r="E464" s="7" t="b">
        <v>1</v>
      </c>
      <c r="F464" s="9">
        <v>148.0</v>
      </c>
      <c r="G464" s="9">
        <v>16.41151199294558</v>
      </c>
      <c r="H464" s="9">
        <v>0.0041520662162162</v>
      </c>
      <c r="I464" s="7" t="b">
        <v>1</v>
      </c>
      <c r="J464" s="9">
        <v>0.0</v>
      </c>
      <c r="K464" s="7" t="b">
        <v>0</v>
      </c>
      <c r="L464" s="9">
        <v>80.0</v>
      </c>
      <c r="M464" s="9">
        <v>0.5405</v>
      </c>
      <c r="N464" s="2" t="s">
        <v>1450</v>
      </c>
      <c r="O464" s="2" t="s">
        <v>2330</v>
      </c>
      <c r="P464" s="9">
        <v>49.2</v>
      </c>
      <c r="Q464" s="9">
        <v>43.0</v>
      </c>
      <c r="R464" s="9">
        <v>0.058824</v>
      </c>
      <c r="S464" s="9">
        <v>0.2395</v>
      </c>
      <c r="T464" s="9">
        <v>0.4598</v>
      </c>
      <c r="U464" s="2" t="s">
        <v>2759</v>
      </c>
      <c r="V464" s="9">
        <v>0.8193</v>
      </c>
      <c r="W464" s="2" t="s">
        <v>82</v>
      </c>
      <c r="X464" s="2" t="s">
        <v>495</v>
      </c>
      <c r="Y464" s="2" t="s">
        <v>1479</v>
      </c>
      <c r="Z464" s="9">
        <v>0.186</v>
      </c>
      <c r="AA464" s="9">
        <v>0.2395</v>
      </c>
      <c r="AB464" s="9">
        <v>0.8193</v>
      </c>
      <c r="AC464" s="9">
        <v>0.072</v>
      </c>
      <c r="AD464" s="9" t="str">
        <f t="shared" si="1"/>
        <v>#REF!</v>
      </c>
    </row>
    <row r="465" hidden="1">
      <c r="A465" s="2" t="s">
        <v>1974</v>
      </c>
      <c r="B465" s="2" t="s">
        <v>1040</v>
      </c>
      <c r="C465" s="2" t="s">
        <v>1439</v>
      </c>
      <c r="D465" s="2" t="s">
        <v>64</v>
      </c>
      <c r="E465" s="7" t="b">
        <v>1</v>
      </c>
      <c r="F465" s="9">
        <v>701.0</v>
      </c>
      <c r="G465" s="9">
        <v>2.729218677439092</v>
      </c>
      <c r="H465" s="9">
        <v>0.0012619552068473</v>
      </c>
      <c r="I465" s="7" t="b">
        <v>1</v>
      </c>
      <c r="J465" s="9">
        <v>0.0</v>
      </c>
      <c r="K465" s="7" t="b">
        <v>0</v>
      </c>
      <c r="L465" s="9">
        <v>10162.0</v>
      </c>
      <c r="M465" s="9">
        <v>14.4964</v>
      </c>
      <c r="N465" s="2" t="s">
        <v>4194</v>
      </c>
      <c r="O465" s="2" t="s">
        <v>4195</v>
      </c>
      <c r="P465" s="9">
        <v>41.87</v>
      </c>
      <c r="Q465" s="9">
        <v>37.0</v>
      </c>
      <c r="R465" s="9">
        <v>0.010345</v>
      </c>
      <c r="S465" s="9">
        <v>0.7094</v>
      </c>
      <c r="T465" s="9">
        <v>0.2181</v>
      </c>
      <c r="U465" s="2" t="s">
        <v>3424</v>
      </c>
      <c r="V465" s="9">
        <v>0.8662</v>
      </c>
      <c r="W465" s="2" t="s">
        <v>1780</v>
      </c>
      <c r="X465" s="2" t="s">
        <v>517</v>
      </c>
      <c r="Y465" s="2" t="s">
        <v>1593</v>
      </c>
      <c r="Z465" s="9">
        <v>0.6274</v>
      </c>
      <c r="AA465" s="9">
        <v>0.7094</v>
      </c>
      <c r="AB465" s="9">
        <v>0.8662</v>
      </c>
      <c r="AC465" s="9">
        <v>0.1391</v>
      </c>
      <c r="AD465" s="9" t="str">
        <f t="shared" si="1"/>
        <v>#REF!</v>
      </c>
    </row>
    <row r="466" hidden="1">
      <c r="A466" s="2" t="s">
        <v>1974</v>
      </c>
      <c r="B466" s="2" t="s">
        <v>1053</v>
      </c>
      <c r="C466" s="2" t="s">
        <v>1439</v>
      </c>
      <c r="D466" s="2" t="s">
        <v>64</v>
      </c>
      <c r="E466" s="7" t="b">
        <v>1</v>
      </c>
      <c r="F466" s="9">
        <v>71.0</v>
      </c>
      <c r="G466" s="9">
        <v>6.786102128820549</v>
      </c>
      <c r="H466" s="9">
        <v>0.0053976338028169</v>
      </c>
      <c r="I466" s="7" t="b">
        <v>1</v>
      </c>
      <c r="J466" s="9">
        <v>0.0</v>
      </c>
      <c r="K466" s="7" t="b">
        <v>0</v>
      </c>
      <c r="L466" s="9">
        <v>10135.0</v>
      </c>
      <c r="M466" s="9">
        <v>142.7465</v>
      </c>
      <c r="N466" s="2" t="s">
        <v>4198</v>
      </c>
      <c r="O466" s="2" t="s">
        <v>4199</v>
      </c>
      <c r="P466" s="9">
        <v>41.91</v>
      </c>
      <c r="Q466" s="9">
        <v>37.0</v>
      </c>
      <c r="R466" s="9">
        <v>0.010413</v>
      </c>
      <c r="S466" s="9">
        <v>0.7132</v>
      </c>
      <c r="T466" s="9">
        <v>0.2143</v>
      </c>
      <c r="U466" s="2" t="s">
        <v>3424</v>
      </c>
      <c r="V466" s="9">
        <v>0.8667</v>
      </c>
      <c r="W466" s="2" t="s">
        <v>1600</v>
      </c>
      <c r="X466" s="2" t="s">
        <v>517</v>
      </c>
      <c r="Y466" s="2" t="s">
        <v>1593</v>
      </c>
      <c r="Z466" s="9">
        <v>0.6282</v>
      </c>
      <c r="AA466" s="9">
        <v>0.7132</v>
      </c>
      <c r="AB466" s="9">
        <v>0.8667</v>
      </c>
      <c r="AC466" s="9">
        <v>0.1395</v>
      </c>
      <c r="AD466" s="9" t="str">
        <f t="shared" si="1"/>
        <v>#REF!</v>
      </c>
    </row>
    <row r="467" hidden="1">
      <c r="A467" s="2" t="s">
        <v>1585</v>
      </c>
      <c r="B467" s="2" t="s">
        <v>942</v>
      </c>
      <c r="C467" s="2" t="s">
        <v>1439</v>
      </c>
      <c r="D467" s="2" t="s">
        <v>64</v>
      </c>
      <c r="E467" s="7" t="b">
        <v>1</v>
      </c>
      <c r="F467" s="9">
        <v>2149.0</v>
      </c>
      <c r="G467" s="9">
        <v>2.656060662786033</v>
      </c>
      <c r="H467" s="9">
        <v>0.0010704739879013</v>
      </c>
      <c r="I467" s="7" t="b">
        <v>1</v>
      </c>
      <c r="J467" s="9">
        <v>0.0</v>
      </c>
      <c r="K467" s="7" t="b">
        <v>0</v>
      </c>
      <c r="L467" s="9">
        <v>7272.0</v>
      </c>
      <c r="M467" s="9">
        <v>3.3839</v>
      </c>
      <c r="N467" s="2" t="s">
        <v>4201</v>
      </c>
      <c r="O467" s="2" t="s">
        <v>4202</v>
      </c>
      <c r="P467" s="9">
        <v>54.93</v>
      </c>
      <c r="Q467" s="9">
        <v>51.0</v>
      </c>
      <c r="R467" s="9">
        <v>0.009696</v>
      </c>
      <c r="S467" s="9">
        <v>0.8111</v>
      </c>
      <c r="T467" s="9">
        <v>0.5374</v>
      </c>
      <c r="U467" s="2" t="s">
        <v>2718</v>
      </c>
      <c r="V467" s="9">
        <v>0.8052</v>
      </c>
      <c r="W467" s="2" t="s">
        <v>181</v>
      </c>
      <c r="X467" s="2" t="s">
        <v>517</v>
      </c>
      <c r="Y467" s="2" t="s">
        <v>4174</v>
      </c>
      <c r="Z467" s="9">
        <v>0.7302</v>
      </c>
      <c r="AA467" s="9">
        <v>0.8111</v>
      </c>
      <c r="AB467" s="9">
        <v>0.8052</v>
      </c>
      <c r="AC467" s="9">
        <v>0.1576</v>
      </c>
      <c r="AD467" s="9" t="str">
        <f t="shared" si="1"/>
        <v>#REF!</v>
      </c>
    </row>
    <row r="468" hidden="1">
      <c r="A468" s="2" t="s">
        <v>1585</v>
      </c>
      <c r="B468" s="2" t="s">
        <v>982</v>
      </c>
      <c r="C468" s="2" t="s">
        <v>1439</v>
      </c>
      <c r="D468" s="2" t="s">
        <v>64</v>
      </c>
      <c r="E468" s="7" t="b">
        <v>1</v>
      </c>
      <c r="F468" s="9">
        <v>114.0</v>
      </c>
      <c r="G468" s="9">
        <v>13.71529471912544</v>
      </c>
      <c r="H468" s="9">
        <v>0.0102787</v>
      </c>
      <c r="I468" s="7" t="b">
        <v>1</v>
      </c>
      <c r="J468" s="9">
        <v>0.0</v>
      </c>
      <c r="K468" s="7" t="b">
        <v>0</v>
      </c>
      <c r="L468" s="9">
        <v>251.0</v>
      </c>
      <c r="M468" s="9">
        <v>2.2018</v>
      </c>
      <c r="N468" s="2" t="s">
        <v>1586</v>
      </c>
      <c r="O468" s="2" t="s">
        <v>1807</v>
      </c>
      <c r="P468" s="9">
        <v>59.57</v>
      </c>
      <c r="Q468" s="9">
        <v>59.0</v>
      </c>
      <c r="R468" s="9">
        <v>0.0</v>
      </c>
      <c r="S468" s="9">
        <v>0.7154</v>
      </c>
      <c r="T468" s="9">
        <v>0.9979</v>
      </c>
      <c r="U468" s="2" t="s">
        <v>4206</v>
      </c>
      <c r="V468" s="9">
        <v>0.8625</v>
      </c>
      <c r="W468" s="2" t="s">
        <v>82</v>
      </c>
      <c r="X468" s="2" t="s">
        <v>237</v>
      </c>
      <c r="Y468" s="2" t="s">
        <v>1428</v>
      </c>
      <c r="Z468" s="9">
        <v>0.5571</v>
      </c>
      <c r="AA468" s="9">
        <v>0.7154</v>
      </c>
      <c r="AB468" s="9">
        <v>0.8625</v>
      </c>
      <c r="AC468" s="9">
        <v>0.8261</v>
      </c>
      <c r="AD468" s="9" t="str">
        <f t="shared" si="1"/>
        <v>#REF!</v>
      </c>
    </row>
    <row r="469" hidden="1">
      <c r="A469" s="2" t="s">
        <v>1585</v>
      </c>
      <c r="B469" s="2" t="s">
        <v>997</v>
      </c>
      <c r="C469" s="2" t="s">
        <v>1439</v>
      </c>
      <c r="D469" s="2" t="s">
        <v>64</v>
      </c>
      <c r="E469" s="7" t="b">
        <v>1</v>
      </c>
      <c r="F469" s="9">
        <v>496.0</v>
      </c>
      <c r="G469" s="9">
        <v>19.63741088027056</v>
      </c>
      <c r="H469" s="9">
        <v>0.012854004032258</v>
      </c>
      <c r="I469" s="7" t="b">
        <v>1</v>
      </c>
      <c r="J469" s="9">
        <v>0.0</v>
      </c>
      <c r="K469" s="7" t="b">
        <v>0</v>
      </c>
      <c r="L469" s="9">
        <v>284.0</v>
      </c>
      <c r="M469" s="9">
        <v>0.5726</v>
      </c>
      <c r="N469" s="2" t="s">
        <v>530</v>
      </c>
      <c r="O469" s="2" t="s">
        <v>2635</v>
      </c>
      <c r="P469" s="9">
        <v>58.73</v>
      </c>
      <c r="Q469" s="9">
        <v>58.0</v>
      </c>
      <c r="R469" s="9">
        <v>0.0</v>
      </c>
      <c r="S469" s="9">
        <v>0.6874</v>
      </c>
      <c r="T469" s="9">
        <v>0.9968</v>
      </c>
      <c r="U469" s="2" t="s">
        <v>4042</v>
      </c>
      <c r="V469" s="9">
        <v>0.55</v>
      </c>
      <c r="W469" s="2" t="s">
        <v>82</v>
      </c>
      <c r="X469" s="2" t="s">
        <v>237</v>
      </c>
      <c r="Y469" s="2" t="s">
        <v>1428</v>
      </c>
      <c r="Z469" s="9">
        <v>0.542</v>
      </c>
      <c r="AA469" s="9">
        <v>0.6874</v>
      </c>
      <c r="AB469" s="9">
        <v>0.55</v>
      </c>
      <c r="AC469" s="9">
        <v>0.7408</v>
      </c>
      <c r="AD469" s="9" t="str">
        <f t="shared" si="1"/>
        <v>#REF!</v>
      </c>
    </row>
    <row r="470" hidden="1">
      <c r="A470" s="2" t="s">
        <v>1575</v>
      </c>
      <c r="B470" s="2" t="s">
        <v>942</v>
      </c>
      <c r="C470" s="2" t="s">
        <v>1439</v>
      </c>
      <c r="D470" s="2" t="s">
        <v>64</v>
      </c>
      <c r="E470" s="7" t="b">
        <v>1</v>
      </c>
      <c r="F470" s="9">
        <v>3095.0</v>
      </c>
      <c r="G470" s="9">
        <v>2.260850314638174</v>
      </c>
      <c r="H470" s="9">
        <v>0.0011160577705977</v>
      </c>
      <c r="I470" s="7" t="b">
        <v>1</v>
      </c>
      <c r="J470" s="9">
        <v>0.0</v>
      </c>
      <c r="K470" s="7" t="b">
        <v>0</v>
      </c>
      <c r="L470" s="9">
        <v>12639.0</v>
      </c>
      <c r="M470" s="9">
        <v>4.0837</v>
      </c>
      <c r="N470" s="2" t="s">
        <v>4210</v>
      </c>
      <c r="O470" s="2" t="s">
        <v>4211</v>
      </c>
      <c r="P470" s="9">
        <v>53.3</v>
      </c>
      <c r="Q470" s="9">
        <v>49.0</v>
      </c>
      <c r="R470" s="9">
        <v>0.011392</v>
      </c>
      <c r="S470" s="9">
        <v>0.8247</v>
      </c>
      <c r="T470" s="9">
        <v>0.4383</v>
      </c>
      <c r="U470" s="2" t="s">
        <v>2198</v>
      </c>
      <c r="V470" s="9">
        <v>0.8398</v>
      </c>
      <c r="W470" s="2" t="s">
        <v>181</v>
      </c>
      <c r="X470" s="2" t="s">
        <v>495</v>
      </c>
      <c r="Y470" s="2" t="s">
        <v>2889</v>
      </c>
      <c r="Z470" s="9">
        <v>0.753</v>
      </c>
      <c r="AA470" s="9">
        <v>0.8247</v>
      </c>
      <c r="AB470" s="9">
        <v>0.8398</v>
      </c>
      <c r="AC470" s="9">
        <v>0.1668</v>
      </c>
      <c r="AD470" s="9" t="str">
        <f t="shared" si="1"/>
        <v>#REF!</v>
      </c>
    </row>
    <row r="471" hidden="1">
      <c r="A471" s="2" t="s">
        <v>1575</v>
      </c>
      <c r="B471" s="2" t="s">
        <v>982</v>
      </c>
      <c r="C471" s="2" t="s">
        <v>1439</v>
      </c>
      <c r="D471" s="2" t="s">
        <v>64</v>
      </c>
      <c r="E471" s="7" t="b">
        <v>1</v>
      </c>
      <c r="F471" s="9">
        <v>51.0</v>
      </c>
      <c r="G471" s="9">
        <v>10.9354466884232</v>
      </c>
      <c r="H471" s="9">
        <v>0.0029368098039215</v>
      </c>
      <c r="I471" s="7" t="b">
        <v>1</v>
      </c>
      <c r="J471" s="9">
        <v>0.0</v>
      </c>
      <c r="K471" s="7" t="b">
        <v>0</v>
      </c>
      <c r="L471" s="9">
        <v>108.0</v>
      </c>
      <c r="M471" s="9">
        <v>2.1176</v>
      </c>
      <c r="N471" s="2" t="s">
        <v>1724</v>
      </c>
      <c r="O471" s="2" t="s">
        <v>231</v>
      </c>
      <c r="P471" s="9">
        <v>59.51</v>
      </c>
      <c r="Q471" s="9">
        <v>60.0</v>
      </c>
      <c r="R471" s="9">
        <v>0.0</v>
      </c>
      <c r="S471" s="9">
        <v>0.6121</v>
      </c>
      <c r="T471" s="9">
        <v>1.0017</v>
      </c>
      <c r="U471" s="2" t="s">
        <v>3270</v>
      </c>
      <c r="V471" s="9">
        <v>0.0</v>
      </c>
      <c r="W471" s="2" t="s">
        <v>82</v>
      </c>
      <c r="X471" s="2" t="s">
        <v>495</v>
      </c>
      <c r="Y471" s="2" t="s">
        <v>1408</v>
      </c>
      <c r="Z471" s="9">
        <v>0.4745</v>
      </c>
      <c r="AA471" s="9">
        <v>0.6121</v>
      </c>
      <c r="AB471" s="9">
        <v>0.0</v>
      </c>
      <c r="AC471" s="9">
        <v>0.7658</v>
      </c>
      <c r="AD471" s="9" t="str">
        <f t="shared" si="1"/>
        <v>#REF!</v>
      </c>
    </row>
    <row r="472" hidden="1">
      <c r="A472" s="2" t="s">
        <v>1575</v>
      </c>
      <c r="B472" s="2" t="s">
        <v>997</v>
      </c>
      <c r="C472" s="2" t="s">
        <v>1439</v>
      </c>
      <c r="D472" s="2" t="s">
        <v>64</v>
      </c>
      <c r="E472" s="7" t="b">
        <v>1</v>
      </c>
      <c r="F472" s="9">
        <v>126.0</v>
      </c>
      <c r="G472" s="9">
        <v>22.83841784866389</v>
      </c>
      <c r="H472" s="9">
        <v>0.0044357142857142</v>
      </c>
      <c r="I472" s="7" t="b">
        <v>1</v>
      </c>
      <c r="J472" s="9">
        <v>0.0</v>
      </c>
      <c r="K472" s="7" t="b">
        <v>0</v>
      </c>
      <c r="L472" s="9">
        <v>76.0</v>
      </c>
      <c r="M472" s="9">
        <v>0.6032</v>
      </c>
      <c r="N472" s="2" t="s">
        <v>1394</v>
      </c>
      <c r="O472" s="2" t="s">
        <v>1539</v>
      </c>
      <c r="P472" s="9">
        <v>61.97</v>
      </c>
      <c r="Q472" s="9">
        <v>60.0</v>
      </c>
      <c r="R472" s="9">
        <v>0.0</v>
      </c>
      <c r="S472" s="9">
        <v>0.5255</v>
      </c>
      <c r="T472" s="9">
        <v>1.0007</v>
      </c>
      <c r="U472" s="2" t="s">
        <v>2656</v>
      </c>
      <c r="V472" s="9">
        <v>0.55</v>
      </c>
      <c r="W472" s="2" t="s">
        <v>157</v>
      </c>
      <c r="X472" s="2" t="s">
        <v>495</v>
      </c>
      <c r="Y472" s="2" t="s">
        <v>1718</v>
      </c>
      <c r="Z472" s="9">
        <v>0.4162</v>
      </c>
      <c r="AA472" s="9">
        <v>0.5255</v>
      </c>
      <c r="AB472" s="9">
        <v>0.55</v>
      </c>
      <c r="AC472" s="9">
        <v>0.7572</v>
      </c>
      <c r="AD472" s="9" t="str">
        <f t="shared" si="1"/>
        <v>#REF!</v>
      </c>
    </row>
    <row r="473" hidden="1">
      <c r="A473" s="2" t="s">
        <v>4218</v>
      </c>
      <c r="B473" s="2" t="s">
        <v>1027</v>
      </c>
      <c r="C473" s="2" t="s">
        <v>119</v>
      </c>
      <c r="D473" s="2" t="s">
        <v>64</v>
      </c>
      <c r="E473" s="7" t="b">
        <v>1</v>
      </c>
      <c r="F473" s="9">
        <v>72.0</v>
      </c>
      <c r="G473" s="9">
        <v>52.33307537322974</v>
      </c>
      <c r="H473" s="9">
        <v>0.0205131208333333</v>
      </c>
      <c r="I473" s="7" t="b">
        <v>1</v>
      </c>
      <c r="J473" s="9">
        <v>0.0</v>
      </c>
      <c r="K473" s="7" t="b">
        <v>0</v>
      </c>
      <c r="L473" s="9">
        <v>27.0</v>
      </c>
      <c r="M473" s="9">
        <v>0.375</v>
      </c>
      <c r="N473" s="2" t="s">
        <v>400</v>
      </c>
      <c r="O473" s="2" t="s">
        <v>1985</v>
      </c>
      <c r="P473" s="9">
        <v>98.52</v>
      </c>
      <c r="Q473" s="9">
        <v>76.0</v>
      </c>
      <c r="R473" s="9">
        <v>0.0</v>
      </c>
      <c r="S473" s="9">
        <v>0.3632</v>
      </c>
      <c r="T473" s="9">
        <v>0.8833</v>
      </c>
      <c r="U473" s="2" t="s">
        <v>3190</v>
      </c>
      <c r="V473" s="9">
        <v>0.525</v>
      </c>
      <c r="W473" s="2" t="s">
        <v>82</v>
      </c>
      <c r="X473" s="2" t="s">
        <v>517</v>
      </c>
      <c r="Y473" s="2" t="s">
        <v>1835</v>
      </c>
      <c r="Z473" s="9">
        <v>0.2795</v>
      </c>
      <c r="AA473" s="9">
        <v>0.3632</v>
      </c>
      <c r="AB473" s="9">
        <v>0.525</v>
      </c>
      <c r="AC473" s="9">
        <v>0.1381</v>
      </c>
      <c r="AD473" s="9" t="str">
        <f t="shared" si="1"/>
        <v>#REF!</v>
      </c>
    </row>
    <row r="474" hidden="1">
      <c r="A474" s="2" t="s">
        <v>1565</v>
      </c>
      <c r="B474" s="2" t="s">
        <v>942</v>
      </c>
      <c r="C474" s="2" t="s">
        <v>1439</v>
      </c>
      <c r="D474" s="2" t="s">
        <v>64</v>
      </c>
      <c r="E474" s="7" t="b">
        <v>1</v>
      </c>
      <c r="F474" s="9">
        <v>1274.0</v>
      </c>
      <c r="G474" s="9">
        <v>3.926495979140429</v>
      </c>
      <c r="H474" s="9">
        <v>0.0013876577708006</v>
      </c>
      <c r="I474" s="7" t="b">
        <v>1</v>
      </c>
      <c r="J474" s="9">
        <v>0.0</v>
      </c>
      <c r="K474" s="7" t="b">
        <v>0</v>
      </c>
      <c r="L474" s="9">
        <v>5592.0</v>
      </c>
      <c r="M474" s="9">
        <v>4.3893</v>
      </c>
      <c r="N474" s="2" t="s">
        <v>4225</v>
      </c>
      <c r="O474" s="2" t="s">
        <v>3580</v>
      </c>
      <c r="P474" s="9">
        <v>53.7</v>
      </c>
      <c r="Q474" s="9">
        <v>49.0</v>
      </c>
      <c r="R474" s="9">
        <v>0.007415</v>
      </c>
      <c r="S474" s="9">
        <v>0.812</v>
      </c>
      <c r="T474" s="9">
        <v>0.6108</v>
      </c>
      <c r="U474" s="2" t="s">
        <v>2198</v>
      </c>
      <c r="V474" s="9">
        <v>0.7607</v>
      </c>
      <c r="W474" s="2" t="s">
        <v>1884</v>
      </c>
      <c r="X474" s="2" t="s">
        <v>517</v>
      </c>
      <c r="Y474" s="2" t="s">
        <v>4174</v>
      </c>
      <c r="Z474" s="9">
        <v>0.7241</v>
      </c>
      <c r="AA474" s="9">
        <v>0.812</v>
      </c>
      <c r="AB474" s="9">
        <v>0.7607</v>
      </c>
      <c r="AC474" s="9">
        <v>0.1721</v>
      </c>
      <c r="AD474" s="9" t="str">
        <f t="shared" si="1"/>
        <v>#REF!</v>
      </c>
    </row>
    <row r="475" hidden="1">
      <c r="A475" s="2" t="s">
        <v>1565</v>
      </c>
      <c r="B475" s="2" t="s">
        <v>982</v>
      </c>
      <c r="C475" s="2" t="s">
        <v>1439</v>
      </c>
      <c r="D475" s="2" t="s">
        <v>64</v>
      </c>
      <c r="E475" s="7" t="b">
        <v>1</v>
      </c>
      <c r="F475" s="9">
        <v>495.0</v>
      </c>
      <c r="G475" s="9">
        <v>12.86356662295166</v>
      </c>
      <c r="H475" s="9">
        <v>0.0384228484848484</v>
      </c>
      <c r="I475" s="7" t="b">
        <v>1</v>
      </c>
      <c r="J475" s="9">
        <v>0.0</v>
      </c>
      <c r="K475" s="7" t="b">
        <v>0</v>
      </c>
      <c r="L475" s="9">
        <v>1159.0</v>
      </c>
      <c r="M475" s="9">
        <v>2.3414</v>
      </c>
      <c r="N475" s="2" t="s">
        <v>4229</v>
      </c>
      <c r="O475" s="2" t="s">
        <v>4230</v>
      </c>
      <c r="P475" s="9">
        <v>58.64</v>
      </c>
      <c r="Q475" s="9">
        <v>57.0</v>
      </c>
      <c r="R475" s="9">
        <v>0.037433</v>
      </c>
      <c r="S475" s="9">
        <v>0.8777</v>
      </c>
      <c r="T475" s="9">
        <v>1.0006</v>
      </c>
      <c r="U475" s="2" t="s">
        <v>1995</v>
      </c>
      <c r="V475" s="9">
        <v>0.735</v>
      </c>
      <c r="W475" s="2" t="s">
        <v>82</v>
      </c>
      <c r="X475" s="2" t="s">
        <v>99</v>
      </c>
      <c r="Y475" s="2" t="s">
        <v>1515</v>
      </c>
      <c r="Z475" s="9">
        <v>0.7101</v>
      </c>
      <c r="AA475" s="9">
        <v>0.8777</v>
      </c>
      <c r="AB475" s="9">
        <v>0.735</v>
      </c>
      <c r="AC475" s="9">
        <v>0.8124</v>
      </c>
      <c r="AD475" s="9" t="str">
        <f t="shared" si="1"/>
        <v>#REF!</v>
      </c>
    </row>
    <row r="476" hidden="1">
      <c r="A476" s="2" t="s">
        <v>1833</v>
      </c>
      <c r="B476" s="2" t="s">
        <v>942</v>
      </c>
      <c r="C476" s="2" t="s">
        <v>1439</v>
      </c>
      <c r="D476" s="2" t="s">
        <v>64</v>
      </c>
      <c r="E476" s="7" t="b">
        <v>1</v>
      </c>
      <c r="F476" s="9">
        <v>683.0</v>
      </c>
      <c r="G476" s="9">
        <v>5.889318501843471</v>
      </c>
      <c r="H476" s="9">
        <v>0.0016744361639824</v>
      </c>
      <c r="I476" s="7" t="b">
        <v>1</v>
      </c>
      <c r="J476" s="9">
        <v>0.0</v>
      </c>
      <c r="K476" s="7" t="b">
        <v>0</v>
      </c>
      <c r="L476" s="9">
        <v>2623.0</v>
      </c>
      <c r="M476" s="9">
        <v>3.8404</v>
      </c>
      <c r="N476" s="2" t="s">
        <v>4236</v>
      </c>
      <c r="O476" s="2" t="s">
        <v>3123</v>
      </c>
      <c r="P476" s="9">
        <v>60.36</v>
      </c>
      <c r="Q476" s="9">
        <v>55.0</v>
      </c>
      <c r="R476" s="9">
        <v>0.010576</v>
      </c>
      <c r="S476" s="9">
        <v>0.777</v>
      </c>
      <c r="T476" s="9">
        <v>0.7099</v>
      </c>
      <c r="U476" s="2" t="s">
        <v>1671</v>
      </c>
      <c r="V476" s="9">
        <v>0.6903</v>
      </c>
      <c r="W476" s="2" t="s">
        <v>1884</v>
      </c>
      <c r="X476" s="2" t="s">
        <v>517</v>
      </c>
      <c r="Y476" s="2" t="s">
        <v>2719</v>
      </c>
      <c r="Z476" s="9">
        <v>0.6804</v>
      </c>
      <c r="AA476" s="9">
        <v>0.777</v>
      </c>
      <c r="AB476" s="9">
        <v>0.6903</v>
      </c>
      <c r="AC476" s="9">
        <v>0.1583</v>
      </c>
      <c r="AD476" s="9" t="str">
        <f t="shared" si="1"/>
        <v>#REF!</v>
      </c>
    </row>
    <row r="477" hidden="1">
      <c r="A477" s="2" t="s">
        <v>1826</v>
      </c>
      <c r="B477" s="2" t="s">
        <v>942</v>
      </c>
      <c r="C477" s="2" t="s">
        <v>1439</v>
      </c>
      <c r="D477" s="2" t="s">
        <v>64</v>
      </c>
      <c r="E477" s="7" t="b">
        <v>1</v>
      </c>
      <c r="F477" s="9">
        <v>665.0</v>
      </c>
      <c r="G477" s="9">
        <v>5.047768465228132</v>
      </c>
      <c r="H477" s="9">
        <v>0.0011985084210526</v>
      </c>
      <c r="I477" s="7" t="b">
        <v>1</v>
      </c>
      <c r="J477" s="9">
        <v>0.0</v>
      </c>
      <c r="K477" s="7" t="b">
        <v>0</v>
      </c>
      <c r="L477" s="9">
        <v>2047.0</v>
      </c>
      <c r="M477" s="9">
        <v>3.0782</v>
      </c>
      <c r="N477" s="2" t="s">
        <v>4242</v>
      </c>
      <c r="O477" s="2" t="s">
        <v>4243</v>
      </c>
      <c r="P477" s="9">
        <v>55.79</v>
      </c>
      <c r="Q477" s="9">
        <v>45.0</v>
      </c>
      <c r="R477" s="9">
        <v>0.008052</v>
      </c>
      <c r="S477" s="9">
        <v>0.7633</v>
      </c>
      <c r="T477" s="9">
        <v>0.7509</v>
      </c>
      <c r="U477" s="2" t="s">
        <v>2809</v>
      </c>
      <c r="V477" s="9">
        <v>0.8244</v>
      </c>
      <c r="W477" s="2" t="s">
        <v>2760</v>
      </c>
      <c r="X477" s="2" t="s">
        <v>1466</v>
      </c>
      <c r="Y477" s="2" t="s">
        <v>2937</v>
      </c>
      <c r="Z477" s="9">
        <v>0.6593</v>
      </c>
      <c r="AA477" s="9">
        <v>0.7633</v>
      </c>
      <c r="AB477" s="9">
        <v>0.8244</v>
      </c>
      <c r="AC477" s="9">
        <v>0.1611</v>
      </c>
      <c r="AD477" s="9" t="str">
        <f t="shared" si="1"/>
        <v>#REF!</v>
      </c>
    </row>
    <row r="478" hidden="1">
      <c r="A478" s="2" t="s">
        <v>2004</v>
      </c>
      <c r="B478" s="2" t="s">
        <v>942</v>
      </c>
      <c r="C478" s="2" t="s">
        <v>1439</v>
      </c>
      <c r="D478" s="2" t="s">
        <v>64</v>
      </c>
      <c r="E478" s="7" t="b">
        <v>1</v>
      </c>
      <c r="F478" s="9">
        <v>650.0</v>
      </c>
      <c r="G478" s="9">
        <v>4.834307841581187</v>
      </c>
      <c r="H478" s="9">
        <v>0.0010745038461538</v>
      </c>
      <c r="I478" s="7" t="b">
        <v>1</v>
      </c>
      <c r="J478" s="9">
        <v>0.0</v>
      </c>
      <c r="K478" s="7" t="b">
        <v>0</v>
      </c>
      <c r="L478" s="9">
        <v>2910.0</v>
      </c>
      <c r="M478" s="9">
        <v>4.4769</v>
      </c>
      <c r="N478" s="2" t="s">
        <v>4248</v>
      </c>
      <c r="O478" s="2" t="s">
        <v>4249</v>
      </c>
      <c r="P478" s="9">
        <v>52.03</v>
      </c>
      <c r="Q478" s="9">
        <v>47.0</v>
      </c>
      <c r="R478" s="9">
        <v>0.010787</v>
      </c>
      <c r="S478" s="9">
        <v>0.7941</v>
      </c>
      <c r="T478" s="9">
        <v>0.7513</v>
      </c>
      <c r="U478" s="2" t="s">
        <v>2718</v>
      </c>
      <c r="V478" s="9">
        <v>0.8407</v>
      </c>
      <c r="W478" s="2" t="s">
        <v>2760</v>
      </c>
      <c r="X478" s="2" t="s">
        <v>517</v>
      </c>
      <c r="Y478" s="2" t="s">
        <v>2719</v>
      </c>
      <c r="Z478" s="9">
        <v>0.6918</v>
      </c>
      <c r="AA478" s="9">
        <v>0.7941</v>
      </c>
      <c r="AB478" s="9">
        <v>0.8407</v>
      </c>
      <c r="AC478" s="9">
        <v>0.1652</v>
      </c>
      <c r="AD478" s="9" t="str">
        <f t="shared" si="1"/>
        <v>#REF!</v>
      </c>
    </row>
    <row r="479" hidden="1">
      <c r="A479" s="2" t="s">
        <v>358</v>
      </c>
      <c r="B479" s="2" t="s">
        <v>937</v>
      </c>
      <c r="C479" s="2" t="s">
        <v>119</v>
      </c>
      <c r="D479" s="2" t="s">
        <v>64</v>
      </c>
      <c r="E479" s="7" t="b">
        <v>1</v>
      </c>
      <c r="F479" s="9">
        <v>430.0</v>
      </c>
      <c r="G479" s="9">
        <v>1.640456169563662</v>
      </c>
      <c r="H479" s="9">
        <v>0.0050815813953488</v>
      </c>
      <c r="I479" s="7" t="b">
        <v>1</v>
      </c>
      <c r="J479" s="9">
        <v>0.0</v>
      </c>
      <c r="K479" s="7" t="b">
        <v>0</v>
      </c>
      <c r="L479" s="9">
        <v>219209.0</v>
      </c>
      <c r="M479" s="9">
        <v>509.7884</v>
      </c>
      <c r="N479" s="2" t="s">
        <v>4252</v>
      </c>
      <c r="O479" s="2" t="s">
        <v>4253</v>
      </c>
      <c r="P479" s="9">
        <v>62.49</v>
      </c>
      <c r="Q479" s="9">
        <v>56.0</v>
      </c>
      <c r="R479" s="9">
        <v>0.011798</v>
      </c>
      <c r="S479" s="9">
        <v>0.8567</v>
      </c>
      <c r="T479" s="9">
        <v>0.1473</v>
      </c>
      <c r="U479" s="2" t="s">
        <v>3436</v>
      </c>
      <c r="V479" s="9">
        <v>0.7709</v>
      </c>
      <c r="W479" s="2" t="s">
        <v>2879</v>
      </c>
      <c r="X479" s="2" t="s">
        <v>495</v>
      </c>
      <c r="Y479" s="2" t="s">
        <v>2880</v>
      </c>
      <c r="Z479" s="9">
        <v>0.8086</v>
      </c>
      <c r="AA479" s="9">
        <v>0.8567</v>
      </c>
      <c r="AB479" s="9">
        <v>0.7709</v>
      </c>
      <c r="AC479" s="9">
        <v>0.1479</v>
      </c>
      <c r="AD479" s="9" t="str">
        <f t="shared" si="1"/>
        <v>#REF!</v>
      </c>
    </row>
    <row r="480" hidden="1">
      <c r="A480" s="2" t="s">
        <v>358</v>
      </c>
      <c r="B480" s="2" t="s">
        <v>997</v>
      </c>
      <c r="C480" s="2" t="s">
        <v>119</v>
      </c>
      <c r="D480" s="2" t="s">
        <v>64</v>
      </c>
      <c r="E480" s="7" t="b">
        <v>1</v>
      </c>
      <c r="F480" s="9">
        <v>1143.0</v>
      </c>
      <c r="G480" s="9">
        <v>32.07147414272841</v>
      </c>
      <c r="H480" s="9">
        <v>0.0776712160979877</v>
      </c>
      <c r="I480" s="7" t="b">
        <v>1</v>
      </c>
      <c r="J480" s="9">
        <v>0.0</v>
      </c>
      <c r="K480" s="7" t="b">
        <v>0</v>
      </c>
      <c r="L480" s="9">
        <v>749.0</v>
      </c>
      <c r="M480" s="9">
        <v>0.6553</v>
      </c>
      <c r="N480" s="2" t="s">
        <v>4256</v>
      </c>
      <c r="O480" s="2" t="s">
        <v>4257</v>
      </c>
      <c r="P480" s="9">
        <v>75.72</v>
      </c>
      <c r="Q480" s="9">
        <v>75.0</v>
      </c>
      <c r="R480" s="9">
        <v>0.03125</v>
      </c>
      <c r="S480" s="9">
        <v>0.7875</v>
      </c>
      <c r="T480" s="9">
        <v>0.9915</v>
      </c>
      <c r="U480" s="2" t="s">
        <v>2116</v>
      </c>
      <c r="V480" s="9">
        <v>0.7749</v>
      </c>
      <c r="W480" s="2" t="s">
        <v>157</v>
      </c>
      <c r="X480" s="2" t="s">
        <v>237</v>
      </c>
      <c r="Y480" s="2" t="s">
        <v>1703</v>
      </c>
      <c r="Z480" s="9">
        <v>0.6335</v>
      </c>
      <c r="AA480" s="9">
        <v>0.7875</v>
      </c>
      <c r="AB480" s="9">
        <v>0.7749</v>
      </c>
      <c r="AC480" s="9">
        <v>0.702</v>
      </c>
      <c r="AD480" s="9" t="str">
        <f t="shared" si="1"/>
        <v>#REF!</v>
      </c>
    </row>
    <row r="481" hidden="1">
      <c r="A481" s="2" t="s">
        <v>1505</v>
      </c>
      <c r="B481" s="2" t="s">
        <v>542</v>
      </c>
      <c r="C481" s="2" t="s">
        <v>119</v>
      </c>
      <c r="D481" s="2" t="s">
        <v>64</v>
      </c>
      <c r="E481" s="7" t="b">
        <v>1</v>
      </c>
      <c r="F481" s="9">
        <v>72.0</v>
      </c>
      <c r="G481" s="9">
        <v>18.84975909040076</v>
      </c>
      <c r="H481" s="9">
        <v>0.0034766333333333</v>
      </c>
      <c r="I481" s="7" t="b">
        <v>1</v>
      </c>
      <c r="J481" s="9">
        <v>0.0</v>
      </c>
      <c r="K481" s="7" t="b">
        <v>0</v>
      </c>
      <c r="L481" s="9">
        <v>74.0</v>
      </c>
      <c r="M481" s="9">
        <v>1.0278</v>
      </c>
      <c r="N481" s="2" t="s">
        <v>1784</v>
      </c>
      <c r="O481" s="2" t="s">
        <v>1426</v>
      </c>
      <c r="P481" s="9">
        <v>83.15</v>
      </c>
      <c r="Q481" s="9">
        <v>70.0</v>
      </c>
      <c r="R481" s="9">
        <v>0.0</v>
      </c>
      <c r="S481" s="9">
        <v>0.55</v>
      </c>
      <c r="T481" s="9">
        <v>0.9992</v>
      </c>
      <c r="U481" s="2" t="s">
        <v>4263</v>
      </c>
      <c r="V481" s="9">
        <v>0.55</v>
      </c>
      <c r="W481" s="2" t="s">
        <v>1193</v>
      </c>
      <c r="X481" s="2" t="s">
        <v>517</v>
      </c>
      <c r="Y481" s="2" t="s">
        <v>1711</v>
      </c>
      <c r="Z481" s="9">
        <v>0.4322</v>
      </c>
      <c r="AA481" s="9">
        <v>0.55</v>
      </c>
      <c r="AB481" s="9">
        <v>0.55</v>
      </c>
      <c r="AC481" s="9">
        <v>0.0969</v>
      </c>
      <c r="AD481" s="9" t="str">
        <f t="shared" si="1"/>
        <v>#REF!</v>
      </c>
    </row>
    <row r="482" hidden="1">
      <c r="A482" s="2" t="s">
        <v>1505</v>
      </c>
      <c r="B482" s="2" t="s">
        <v>942</v>
      </c>
      <c r="C482" s="2" t="s">
        <v>119</v>
      </c>
      <c r="D482" s="2" t="s">
        <v>64</v>
      </c>
      <c r="E482" s="7" t="b">
        <v>1</v>
      </c>
      <c r="F482" s="9">
        <v>1047.0</v>
      </c>
      <c r="G482" s="9">
        <v>4.607231143790401</v>
      </c>
      <c r="H482" s="9">
        <v>0.0015703747851002</v>
      </c>
      <c r="I482" s="7" t="b">
        <v>1</v>
      </c>
      <c r="J482" s="9">
        <v>0.0</v>
      </c>
      <c r="K482" s="7" t="b">
        <v>0</v>
      </c>
      <c r="L482" s="9">
        <v>3245.0</v>
      </c>
      <c r="M482" s="9">
        <v>3.0993</v>
      </c>
      <c r="N482" s="2" t="s">
        <v>4267</v>
      </c>
      <c r="O482" s="2" t="s">
        <v>3136</v>
      </c>
      <c r="P482" s="9">
        <v>54.34</v>
      </c>
      <c r="Q482" s="9">
        <v>44.0</v>
      </c>
      <c r="R482" s="9">
        <v>0.014151</v>
      </c>
      <c r="S482" s="9">
        <v>0.787</v>
      </c>
      <c r="T482" s="9">
        <v>0.6839</v>
      </c>
      <c r="U482" s="2" t="s">
        <v>4269</v>
      </c>
      <c r="V482" s="9">
        <v>0.4847</v>
      </c>
      <c r="W482" s="2" t="s">
        <v>181</v>
      </c>
      <c r="X482" s="2" t="s">
        <v>1466</v>
      </c>
      <c r="Y482" s="2" t="s">
        <v>4109</v>
      </c>
      <c r="Z482" s="9">
        <v>0.6916</v>
      </c>
      <c r="AA482" s="9">
        <v>0.787</v>
      </c>
      <c r="AB482" s="9">
        <v>0.4847</v>
      </c>
      <c r="AC482" s="9">
        <v>0.1825</v>
      </c>
      <c r="AD482" s="9" t="str">
        <f t="shared" si="1"/>
        <v>#REF!</v>
      </c>
    </row>
    <row r="483" hidden="1">
      <c r="A483" s="2" t="s">
        <v>4270</v>
      </c>
      <c r="B483" s="2" t="s">
        <v>48</v>
      </c>
      <c r="C483" s="2" t="s">
        <v>119</v>
      </c>
      <c r="D483" s="2" t="s">
        <v>64</v>
      </c>
      <c r="E483" s="7" t="b">
        <v>1</v>
      </c>
      <c r="F483" s="9">
        <v>808.0</v>
      </c>
      <c r="G483" s="9">
        <v>8.247975788839666</v>
      </c>
      <c r="H483" s="9">
        <v>0.0037603774752475</v>
      </c>
      <c r="I483" s="7" t="b">
        <v>1</v>
      </c>
      <c r="J483" s="9">
        <v>0.0</v>
      </c>
      <c r="K483" s="7" t="b">
        <v>0</v>
      </c>
      <c r="L483" s="9">
        <v>155.0</v>
      </c>
      <c r="M483" s="9">
        <v>0.1918</v>
      </c>
      <c r="N483" s="2" t="s">
        <v>1450</v>
      </c>
      <c r="O483" s="2" t="s">
        <v>1396</v>
      </c>
      <c r="P483" s="9">
        <v>48.32</v>
      </c>
      <c r="Q483" s="9">
        <v>42.0</v>
      </c>
      <c r="R483" s="9">
        <v>0.0</v>
      </c>
      <c r="S483" s="9">
        <v>0.4727</v>
      </c>
      <c r="T483" s="9">
        <v>0.7249</v>
      </c>
      <c r="U483" s="2" t="s">
        <v>3042</v>
      </c>
      <c r="V483" s="9">
        <v>0.7847</v>
      </c>
      <c r="W483" s="2" t="s">
        <v>1657</v>
      </c>
      <c r="X483" s="2" t="s">
        <v>1521</v>
      </c>
      <c r="Y483" s="2" t="s">
        <v>3192</v>
      </c>
      <c r="Z483" s="9">
        <v>0.406</v>
      </c>
      <c r="AA483" s="9">
        <v>0.4727</v>
      </c>
      <c r="AB483" s="9">
        <v>0.7847</v>
      </c>
      <c r="AC483" s="9">
        <v>0.2008</v>
      </c>
      <c r="AD483" s="9" t="str">
        <f t="shared" si="1"/>
        <v>#REF!</v>
      </c>
    </row>
    <row r="484" hidden="1">
      <c r="A484" s="2" t="s">
        <v>4270</v>
      </c>
      <c r="B484" s="2" t="s">
        <v>1040</v>
      </c>
      <c r="C484" s="2" t="s">
        <v>119</v>
      </c>
      <c r="D484" s="2" t="s">
        <v>64</v>
      </c>
      <c r="E484" s="7" t="b">
        <v>1</v>
      </c>
      <c r="F484" s="9">
        <v>124.0</v>
      </c>
      <c r="G484" s="9">
        <v>10.98485305765978</v>
      </c>
      <c r="H484" s="9">
        <v>0.0036204516129032</v>
      </c>
      <c r="I484" s="7" t="b">
        <v>1</v>
      </c>
      <c r="J484" s="9">
        <v>0.0</v>
      </c>
      <c r="K484" s="7" t="b">
        <v>0</v>
      </c>
      <c r="L484" s="9">
        <v>391.0</v>
      </c>
      <c r="M484" s="9">
        <v>3.1532</v>
      </c>
      <c r="N484" s="2" t="s">
        <v>1724</v>
      </c>
      <c r="O484" s="2" t="s">
        <v>1383</v>
      </c>
      <c r="P484" s="9">
        <v>43.31</v>
      </c>
      <c r="Q484" s="9">
        <v>39.0</v>
      </c>
      <c r="R484" s="9">
        <v>0.031496</v>
      </c>
      <c r="S484" s="9">
        <v>0.6221</v>
      </c>
      <c r="T484" s="9">
        <v>0.8239</v>
      </c>
      <c r="U484" s="2" t="s">
        <v>2134</v>
      </c>
      <c r="V484" s="9">
        <v>0.8281</v>
      </c>
      <c r="W484" s="2" t="s">
        <v>1884</v>
      </c>
      <c r="X484" s="2" t="s">
        <v>495</v>
      </c>
      <c r="Y484" s="2" t="s">
        <v>1980</v>
      </c>
      <c r="Z484" s="9">
        <v>0.5134</v>
      </c>
      <c r="AA484" s="9">
        <v>0.6221</v>
      </c>
      <c r="AB484" s="9">
        <v>0.8281</v>
      </c>
      <c r="AC484" s="9">
        <v>0.1587</v>
      </c>
      <c r="AD484" s="9" t="str">
        <f t="shared" si="1"/>
        <v>#REF!</v>
      </c>
    </row>
    <row r="485" hidden="1">
      <c r="A485" s="2" t="s">
        <v>4280</v>
      </c>
      <c r="B485" s="2" t="s">
        <v>48</v>
      </c>
      <c r="C485" s="2" t="s">
        <v>119</v>
      </c>
      <c r="D485" s="2" t="s">
        <v>64</v>
      </c>
      <c r="E485" s="7" t="b">
        <v>1</v>
      </c>
      <c r="F485" s="9">
        <v>151.0</v>
      </c>
      <c r="G485" s="9">
        <v>10.62141524625042</v>
      </c>
      <c r="H485" s="9">
        <v>0.0011688099337748</v>
      </c>
      <c r="I485" s="7" t="b">
        <v>1</v>
      </c>
      <c r="J485" s="9">
        <v>0.0</v>
      </c>
      <c r="K485" s="7" t="b">
        <v>0</v>
      </c>
      <c r="L485" s="9">
        <v>33.0</v>
      </c>
      <c r="M485" s="9">
        <v>0.2185</v>
      </c>
      <c r="N485" s="2" t="s">
        <v>2474</v>
      </c>
      <c r="O485" s="2" t="s">
        <v>2475</v>
      </c>
      <c r="P485" s="9">
        <v>51.85</v>
      </c>
      <c r="Q485" s="9">
        <v>46.0</v>
      </c>
      <c r="R485" s="9">
        <v>0.0</v>
      </c>
      <c r="S485" s="9">
        <v>0.4067</v>
      </c>
      <c r="T485" s="9">
        <v>0.9406</v>
      </c>
      <c r="U485" s="2" t="s">
        <v>1540</v>
      </c>
      <c r="V485" s="9">
        <v>0.0</v>
      </c>
      <c r="W485" s="2" t="s">
        <v>1657</v>
      </c>
      <c r="X485" s="2" t="s">
        <v>1521</v>
      </c>
      <c r="Y485" s="2" t="s">
        <v>1491</v>
      </c>
      <c r="Z485" s="9">
        <v>0.3241</v>
      </c>
      <c r="AA485" s="9">
        <v>0.4067</v>
      </c>
      <c r="AB485" s="9">
        <v>0.0</v>
      </c>
      <c r="AC485" s="9">
        <v>0.1918</v>
      </c>
      <c r="AD485" s="9" t="str">
        <f t="shared" si="1"/>
        <v>#REF!</v>
      </c>
    </row>
    <row r="486" hidden="1">
      <c r="A486" s="2" t="s">
        <v>2314</v>
      </c>
      <c r="B486" s="2" t="s">
        <v>501</v>
      </c>
      <c r="C486" s="2" t="s">
        <v>1316</v>
      </c>
      <c r="D486" s="2" t="s">
        <v>64</v>
      </c>
      <c r="E486" s="7" t="b">
        <v>1</v>
      </c>
      <c r="F486" s="9">
        <v>366.0</v>
      </c>
      <c r="G486" s="9">
        <v>4.737401230847616</v>
      </c>
      <c r="H486" s="9">
        <v>0.0010922010928961</v>
      </c>
      <c r="I486" s="7" t="b">
        <v>1</v>
      </c>
      <c r="J486" s="9">
        <v>0.0</v>
      </c>
      <c r="K486" s="7" t="b">
        <v>0</v>
      </c>
      <c r="L486" s="9">
        <v>1125.0</v>
      </c>
      <c r="M486" s="9">
        <v>3.0738</v>
      </c>
      <c r="N486" s="2" t="s">
        <v>4282</v>
      </c>
      <c r="O486" s="2" t="s">
        <v>1334</v>
      </c>
      <c r="P486" s="9">
        <v>49.87</v>
      </c>
      <c r="Q486" s="9">
        <v>46.0</v>
      </c>
      <c r="R486" s="9">
        <v>0.006742</v>
      </c>
      <c r="S486" s="9">
        <v>0.5853</v>
      </c>
      <c r="T486" s="9">
        <v>0.5331</v>
      </c>
      <c r="U486" s="2" t="s">
        <v>4186</v>
      </c>
      <c r="V486" s="9">
        <v>0.8485</v>
      </c>
      <c r="W486" s="15"/>
      <c r="X486" s="2" t="s">
        <v>1466</v>
      </c>
      <c r="Y486" s="2" t="s">
        <v>2821</v>
      </c>
      <c r="Z486" s="9">
        <v>0.5384</v>
      </c>
      <c r="AA486" s="9">
        <v>0.5853</v>
      </c>
      <c r="AB486" s="9">
        <v>0.8485</v>
      </c>
      <c r="AC486" s="9">
        <v>0.1719</v>
      </c>
      <c r="AD486" s="9" t="str">
        <f t="shared" si="1"/>
        <v>#REF!</v>
      </c>
    </row>
    <row r="487" hidden="1">
      <c r="A487" s="2" t="s">
        <v>2314</v>
      </c>
      <c r="B487" s="2" t="s">
        <v>942</v>
      </c>
      <c r="C487" s="2" t="s">
        <v>1316</v>
      </c>
      <c r="D487" s="2" t="s">
        <v>64</v>
      </c>
      <c r="E487" s="7" t="b">
        <v>1</v>
      </c>
      <c r="F487" s="9">
        <v>489.0</v>
      </c>
      <c r="G487" s="9">
        <v>7.116660858683733</v>
      </c>
      <c r="H487" s="9">
        <v>0.0017515059304703</v>
      </c>
      <c r="I487" s="7" t="b">
        <v>1</v>
      </c>
      <c r="J487" s="9">
        <v>0.0</v>
      </c>
      <c r="K487" s="7" t="b">
        <v>0</v>
      </c>
      <c r="L487" s="9">
        <v>1109.0</v>
      </c>
      <c r="M487" s="9">
        <v>2.2679</v>
      </c>
      <c r="N487" s="2" t="s">
        <v>4285</v>
      </c>
      <c r="O487" s="2" t="s">
        <v>4286</v>
      </c>
      <c r="P487" s="9">
        <v>64.23</v>
      </c>
      <c r="Q487" s="9">
        <v>49.0</v>
      </c>
      <c r="R487" s="9">
        <v>0.007463</v>
      </c>
      <c r="S487" s="9">
        <v>0.7253</v>
      </c>
      <c r="T487" s="9">
        <v>0.8121</v>
      </c>
      <c r="U487" s="2" t="s">
        <v>2858</v>
      </c>
      <c r="V487" s="9">
        <v>0.7975</v>
      </c>
      <c r="W487" s="2" t="s">
        <v>1884</v>
      </c>
      <c r="X487" s="2" t="s">
        <v>517</v>
      </c>
      <c r="Y487" s="2" t="s">
        <v>4288</v>
      </c>
      <c r="Z487" s="9">
        <v>0.6211</v>
      </c>
      <c r="AA487" s="9">
        <v>0.7253</v>
      </c>
      <c r="AB487" s="9">
        <v>0.7975</v>
      </c>
      <c r="AC487" s="9">
        <v>0.148</v>
      </c>
      <c r="AD487" s="9" t="str">
        <f t="shared" si="1"/>
        <v>#REF!</v>
      </c>
    </row>
    <row r="488" hidden="1">
      <c r="A488" s="2" t="s">
        <v>2252</v>
      </c>
      <c r="B488" s="2" t="s">
        <v>1015</v>
      </c>
      <c r="C488" s="2" t="s">
        <v>1439</v>
      </c>
      <c r="D488" s="2" t="s">
        <v>64</v>
      </c>
      <c r="E488" s="7" t="b">
        <v>1</v>
      </c>
      <c r="F488" s="9">
        <v>4209.0</v>
      </c>
      <c r="G488" s="9">
        <v>46.32501585208904</v>
      </c>
      <c r="H488" s="9">
        <v>1.541184632929437</v>
      </c>
      <c r="I488" s="7" t="b">
        <v>1</v>
      </c>
      <c r="J488" s="9">
        <v>0.0</v>
      </c>
      <c r="K488" s="7" t="b">
        <v>0</v>
      </c>
      <c r="L488" s="9">
        <v>2526.0</v>
      </c>
      <c r="M488" s="9">
        <v>0.6001</v>
      </c>
      <c r="N488" s="2" t="s">
        <v>4291</v>
      </c>
      <c r="O488" s="2" t="s">
        <v>4292</v>
      </c>
      <c r="P488" s="9">
        <v>80.17</v>
      </c>
      <c r="Q488" s="9">
        <v>69.0</v>
      </c>
      <c r="R488" s="9">
        <v>0.012953</v>
      </c>
      <c r="S488" s="9">
        <v>0.904</v>
      </c>
      <c r="T488" s="9">
        <v>0.9853</v>
      </c>
      <c r="U488" s="2" t="s">
        <v>1786</v>
      </c>
      <c r="V488" s="9">
        <v>0.7919</v>
      </c>
      <c r="W488" s="2" t="s">
        <v>82</v>
      </c>
      <c r="X488" s="2" t="s">
        <v>99</v>
      </c>
      <c r="Y488" s="2" t="s">
        <v>1515</v>
      </c>
      <c r="Z488" s="9">
        <v>0.7538</v>
      </c>
      <c r="AA488" s="9">
        <v>0.904</v>
      </c>
      <c r="AB488" s="9">
        <v>0.7919</v>
      </c>
      <c r="AC488" s="9">
        <v>0.684</v>
      </c>
      <c r="AD488" s="9" t="str">
        <f t="shared" si="1"/>
        <v>#REF!</v>
      </c>
    </row>
    <row r="489" hidden="1">
      <c r="A489" s="2" t="s">
        <v>2255</v>
      </c>
      <c r="B489" s="2" t="s">
        <v>1015</v>
      </c>
      <c r="C489" s="2" t="s">
        <v>1439</v>
      </c>
      <c r="D489" s="2" t="s">
        <v>64</v>
      </c>
      <c r="E489" s="7" t="b">
        <v>1</v>
      </c>
      <c r="F489" s="9">
        <v>69.0</v>
      </c>
      <c r="G489" s="9">
        <v>31.71915497769684</v>
      </c>
      <c r="H489" s="9">
        <v>0.0172298811594202</v>
      </c>
      <c r="I489" s="7" t="b">
        <v>1</v>
      </c>
      <c r="J489" s="9">
        <v>0.0</v>
      </c>
      <c r="K489" s="7" t="b">
        <v>0</v>
      </c>
      <c r="L489" s="9">
        <v>44.0</v>
      </c>
      <c r="M489" s="9">
        <v>0.6377</v>
      </c>
      <c r="N489" s="2" t="s">
        <v>400</v>
      </c>
      <c r="O489" s="2" t="s">
        <v>402</v>
      </c>
      <c r="P489" s="9">
        <v>76.52</v>
      </c>
      <c r="Q489" s="9">
        <v>68.0</v>
      </c>
      <c r="R489" s="9">
        <v>0.0</v>
      </c>
      <c r="S489" s="9">
        <v>0.4604</v>
      </c>
      <c r="T489" s="9">
        <v>1.0006</v>
      </c>
      <c r="U489" s="2" t="s">
        <v>758</v>
      </c>
      <c r="V489" s="15"/>
      <c r="W489" s="2" t="s">
        <v>82</v>
      </c>
      <c r="X489" s="2" t="s">
        <v>1621</v>
      </c>
      <c r="Y489" s="2" t="s">
        <v>2057</v>
      </c>
      <c r="Z489" s="9">
        <v>0.3603</v>
      </c>
      <c r="AA489" s="9">
        <v>0.4604</v>
      </c>
      <c r="AB489" s="15"/>
      <c r="AC489" s="9">
        <v>0.2306</v>
      </c>
      <c r="AD489" s="9" t="str">
        <f t="shared" si="1"/>
        <v>#REF!</v>
      </c>
    </row>
    <row r="490" hidden="1">
      <c r="A490" s="2" t="s">
        <v>2248</v>
      </c>
      <c r="B490" s="2" t="s">
        <v>856</v>
      </c>
      <c r="C490" s="2" t="s">
        <v>1439</v>
      </c>
      <c r="D490" s="2" t="s">
        <v>64</v>
      </c>
      <c r="E490" s="7" t="b">
        <v>1</v>
      </c>
      <c r="F490" s="9">
        <v>254.0</v>
      </c>
      <c r="G490" s="9">
        <v>7.347490361057747</v>
      </c>
      <c r="H490" s="9">
        <v>0.0010521830708661</v>
      </c>
      <c r="I490" s="7" t="b">
        <v>1</v>
      </c>
      <c r="J490" s="9">
        <v>0.0</v>
      </c>
      <c r="K490" s="7" t="b">
        <v>0</v>
      </c>
      <c r="L490" s="9">
        <v>1.0</v>
      </c>
      <c r="M490" s="9">
        <v>0.0039</v>
      </c>
      <c r="N490" s="2" t="s">
        <v>175</v>
      </c>
      <c r="O490" s="2" t="s">
        <v>177</v>
      </c>
      <c r="P490" s="9">
        <v>36.0</v>
      </c>
      <c r="Q490" s="9">
        <v>36.0</v>
      </c>
      <c r="R490" s="9">
        <v>0.0</v>
      </c>
      <c r="S490" s="9">
        <v>0.0</v>
      </c>
      <c r="T490" s="9">
        <v>1.0</v>
      </c>
      <c r="U490" s="2" t="s">
        <v>4301</v>
      </c>
      <c r="V490" s="15"/>
      <c r="W490" s="2" t="s">
        <v>82</v>
      </c>
      <c r="X490" s="2" t="s">
        <v>1455</v>
      </c>
      <c r="Y490" s="2" t="s">
        <v>1542</v>
      </c>
      <c r="Z490" s="9">
        <v>0.0</v>
      </c>
      <c r="AA490" s="9">
        <v>0.0</v>
      </c>
      <c r="AB490" s="15"/>
      <c r="AC490" s="9">
        <v>0.3</v>
      </c>
      <c r="AD490" s="9" t="str">
        <f t="shared" si="1"/>
        <v>#REF!</v>
      </c>
    </row>
    <row r="491" hidden="1">
      <c r="A491" s="2" t="s">
        <v>2248</v>
      </c>
      <c r="B491" s="2" t="s">
        <v>1093</v>
      </c>
      <c r="C491" s="2" t="s">
        <v>1439</v>
      </c>
      <c r="D491" s="2" t="s">
        <v>64</v>
      </c>
      <c r="E491" s="7" t="b">
        <v>1</v>
      </c>
      <c r="F491" s="9">
        <v>99.0</v>
      </c>
      <c r="G491" s="9">
        <v>11.90966988929335</v>
      </c>
      <c r="H491" s="9">
        <v>0.0171746666666666</v>
      </c>
      <c r="I491" s="7" t="b">
        <v>1</v>
      </c>
      <c r="J491" s="9">
        <v>0.0</v>
      </c>
      <c r="K491" s="7" t="b">
        <v>0</v>
      </c>
      <c r="L491" s="9">
        <v>226.0</v>
      </c>
      <c r="M491" s="9">
        <v>2.2828</v>
      </c>
      <c r="N491" s="2" t="s">
        <v>4304</v>
      </c>
      <c r="O491" s="2" t="s">
        <v>1587</v>
      </c>
      <c r="P491" s="9">
        <v>47.38</v>
      </c>
      <c r="Q491" s="9">
        <v>43.0</v>
      </c>
      <c r="R491" s="9">
        <v>0.0</v>
      </c>
      <c r="S491" s="9">
        <v>0.1686</v>
      </c>
      <c r="T491" s="9">
        <v>0.6662</v>
      </c>
      <c r="U491" s="2" t="s">
        <v>2333</v>
      </c>
      <c r="V491" s="9">
        <v>0.0</v>
      </c>
      <c r="W491" s="2" t="s">
        <v>82</v>
      </c>
      <c r="X491" s="2" t="s">
        <v>517</v>
      </c>
      <c r="Y491" s="2" t="s">
        <v>1368</v>
      </c>
      <c r="Z491" s="9">
        <v>0.1083</v>
      </c>
      <c r="AA491" s="9">
        <v>0.1686</v>
      </c>
      <c r="AB491" s="9">
        <v>0.0</v>
      </c>
      <c r="AC491" s="9">
        <v>0.8468</v>
      </c>
      <c r="AD491" s="9" t="str">
        <f t="shared" si="1"/>
        <v>#REF!</v>
      </c>
    </row>
    <row r="492" hidden="1">
      <c r="A492" s="2" t="s">
        <v>1623</v>
      </c>
      <c r="B492" s="2" t="s">
        <v>441</v>
      </c>
      <c r="C492" s="2" t="s">
        <v>1439</v>
      </c>
      <c r="D492" s="2" t="s">
        <v>64</v>
      </c>
      <c r="E492" s="7" t="b">
        <v>1</v>
      </c>
      <c r="F492" s="9">
        <v>3449.0</v>
      </c>
      <c r="G492" s="9">
        <v>1.0092775218106</v>
      </c>
      <c r="H492" s="9">
        <v>0.0012242447086111</v>
      </c>
      <c r="I492" s="7" t="b">
        <v>1</v>
      </c>
      <c r="J492" s="9">
        <v>0.0</v>
      </c>
      <c r="K492" s="7" t="b">
        <v>0</v>
      </c>
      <c r="L492" s="9">
        <v>124.0</v>
      </c>
      <c r="M492" s="9">
        <v>0.036</v>
      </c>
      <c r="N492" s="2" t="s">
        <v>1475</v>
      </c>
      <c r="O492" s="2" t="s">
        <v>1912</v>
      </c>
      <c r="P492" s="9">
        <v>63.5</v>
      </c>
      <c r="Q492" s="9">
        <v>58.0</v>
      </c>
      <c r="R492" s="9">
        <v>0.04</v>
      </c>
      <c r="S492" s="9">
        <v>0.4939</v>
      </c>
      <c r="T492" s="9">
        <v>0.6602</v>
      </c>
      <c r="U492" s="2" t="s">
        <v>3306</v>
      </c>
      <c r="V492" s="9">
        <v>0.6675</v>
      </c>
      <c r="W492" s="2" t="s">
        <v>4309</v>
      </c>
      <c r="X492" s="2" t="s">
        <v>1466</v>
      </c>
      <c r="Y492" s="2" t="s">
        <v>4310</v>
      </c>
      <c r="Z492" s="9">
        <v>0.4037</v>
      </c>
      <c r="AA492" s="9">
        <v>0.4939</v>
      </c>
      <c r="AB492" s="9">
        <v>0.6675</v>
      </c>
      <c r="AC492" s="9">
        <v>0.1092</v>
      </c>
      <c r="AD492" s="9" t="str">
        <f t="shared" si="1"/>
        <v>#REF!</v>
      </c>
    </row>
    <row r="493" hidden="1">
      <c r="A493" s="2" t="s">
        <v>1623</v>
      </c>
      <c r="B493" s="2" t="s">
        <v>526</v>
      </c>
      <c r="C493" s="2" t="s">
        <v>1439</v>
      </c>
      <c r="D493" s="2" t="s">
        <v>64</v>
      </c>
      <c r="E493" s="7" t="b">
        <v>1</v>
      </c>
      <c r="F493" s="9">
        <v>2094.0</v>
      </c>
      <c r="G493" s="9">
        <v>23.06576067138525</v>
      </c>
      <c r="H493" s="9">
        <v>0.0173320557784145</v>
      </c>
      <c r="I493" s="7" t="b">
        <v>1</v>
      </c>
      <c r="J493" s="9">
        <v>0.0</v>
      </c>
      <c r="K493" s="7" t="b">
        <v>0</v>
      </c>
      <c r="L493" s="9">
        <v>6031.0</v>
      </c>
      <c r="M493" s="9">
        <v>2.8801</v>
      </c>
      <c r="N493" s="2" t="s">
        <v>4314</v>
      </c>
      <c r="O493" s="2" t="s">
        <v>4315</v>
      </c>
      <c r="P493" s="9">
        <v>93.13</v>
      </c>
      <c r="Q493" s="9">
        <v>100.0</v>
      </c>
      <c r="R493" s="9">
        <v>0.011416</v>
      </c>
      <c r="S493" s="9">
        <v>0.9199</v>
      </c>
      <c r="T493" s="9">
        <v>0.9721</v>
      </c>
      <c r="U493" s="2" t="s">
        <v>2516</v>
      </c>
      <c r="V493" s="9">
        <v>0.6887</v>
      </c>
      <c r="W493" s="2" t="s">
        <v>82</v>
      </c>
      <c r="X493" s="2" t="s">
        <v>99</v>
      </c>
      <c r="Y493" s="2" t="s">
        <v>4317</v>
      </c>
      <c r="Z493" s="9">
        <v>0.7862</v>
      </c>
      <c r="AA493" s="9">
        <v>0.9199</v>
      </c>
      <c r="AB493" s="9">
        <v>0.6887</v>
      </c>
      <c r="AC493" s="9">
        <v>0.7828</v>
      </c>
      <c r="AD493" s="9" t="str">
        <f t="shared" si="1"/>
        <v>#REF!</v>
      </c>
    </row>
    <row r="494" hidden="1">
      <c r="A494" s="2" t="s">
        <v>1623</v>
      </c>
      <c r="B494" s="2" t="s">
        <v>611</v>
      </c>
      <c r="C494" s="2" t="s">
        <v>1439</v>
      </c>
      <c r="D494" s="2" t="s">
        <v>64</v>
      </c>
      <c r="E494" s="7" t="b">
        <v>1</v>
      </c>
      <c r="F494" s="9">
        <v>4487.0</v>
      </c>
      <c r="G494" s="9">
        <v>3.201130006591924</v>
      </c>
      <c r="H494" s="9">
        <v>0.0036930242924002</v>
      </c>
      <c r="I494" s="7" t="b">
        <v>1</v>
      </c>
      <c r="J494" s="9">
        <v>0.0</v>
      </c>
      <c r="K494" s="7" t="b">
        <v>0</v>
      </c>
      <c r="L494" s="9">
        <v>5.0</v>
      </c>
      <c r="M494" s="9">
        <v>0.0011</v>
      </c>
      <c r="N494" s="2" t="s">
        <v>1664</v>
      </c>
      <c r="O494" s="2" t="s">
        <v>1665</v>
      </c>
      <c r="P494" s="9">
        <v>69.0</v>
      </c>
      <c r="Q494" s="9">
        <v>73.0</v>
      </c>
      <c r="R494" s="9">
        <v>0.0</v>
      </c>
      <c r="S494" s="9">
        <v>0.119</v>
      </c>
      <c r="T494" s="9">
        <v>0.6986</v>
      </c>
      <c r="U494" s="2" t="s">
        <v>4322</v>
      </c>
      <c r="V494" s="15"/>
      <c r="W494" s="2" t="s">
        <v>82</v>
      </c>
      <c r="X494" s="2" t="s">
        <v>182</v>
      </c>
      <c r="Y494" s="2" t="s">
        <v>1498</v>
      </c>
      <c r="Z494" s="9">
        <v>0.0923</v>
      </c>
      <c r="AA494" s="9">
        <v>0.119</v>
      </c>
      <c r="AB494" s="15"/>
      <c r="AC494" s="9">
        <v>0.4604</v>
      </c>
      <c r="AD494" s="9" t="str">
        <f t="shared" si="1"/>
        <v>#REF!</v>
      </c>
    </row>
    <row r="495" hidden="1">
      <c r="A495" s="2" t="s">
        <v>1623</v>
      </c>
      <c r="B495" s="2" t="s">
        <v>306</v>
      </c>
      <c r="C495" s="2" t="s">
        <v>1439</v>
      </c>
      <c r="D495" s="2" t="s">
        <v>64</v>
      </c>
      <c r="E495" s="7" t="b">
        <v>1</v>
      </c>
      <c r="F495" s="9">
        <v>111.0</v>
      </c>
      <c r="G495" s="9">
        <v>7.334798600654561</v>
      </c>
      <c r="H495" s="9">
        <v>0.0022163405405405</v>
      </c>
      <c r="I495" s="7" t="b">
        <v>1</v>
      </c>
      <c r="J495" s="9">
        <v>0.0</v>
      </c>
      <c r="K495" s="7" t="b">
        <v>0</v>
      </c>
      <c r="L495" s="9">
        <v>15.0</v>
      </c>
      <c r="M495" s="9">
        <v>0.1351</v>
      </c>
      <c r="N495" s="2" t="s">
        <v>1628</v>
      </c>
      <c r="O495" s="2" t="s">
        <v>1629</v>
      </c>
      <c r="P495" s="9">
        <v>81.4</v>
      </c>
      <c r="Q495" s="9">
        <v>90.0</v>
      </c>
      <c r="R495" s="9">
        <v>0.0</v>
      </c>
      <c r="S495" s="9">
        <v>0.3497</v>
      </c>
      <c r="T495" s="9">
        <v>0.9618</v>
      </c>
      <c r="U495" s="2" t="s">
        <v>194</v>
      </c>
      <c r="V495" s="15"/>
      <c r="W495" s="2" t="s">
        <v>82</v>
      </c>
      <c r="X495" s="2" t="s">
        <v>1455</v>
      </c>
      <c r="Y495" s="2" t="s">
        <v>1542</v>
      </c>
      <c r="Z495" s="9">
        <v>0.2769</v>
      </c>
      <c r="AA495" s="9">
        <v>0.3497</v>
      </c>
      <c r="AB495" s="15"/>
      <c r="AC495" s="9">
        <v>0.8147</v>
      </c>
      <c r="AD495" s="9" t="str">
        <f t="shared" si="1"/>
        <v>#REF!</v>
      </c>
    </row>
    <row r="496" hidden="1">
      <c r="A496" s="2" t="s">
        <v>1623</v>
      </c>
      <c r="B496" s="2" t="s">
        <v>1009</v>
      </c>
      <c r="C496" s="2" t="s">
        <v>1439</v>
      </c>
      <c r="D496" s="2" t="s">
        <v>64</v>
      </c>
      <c r="E496" s="7" t="b">
        <v>1</v>
      </c>
      <c r="F496" s="9">
        <v>6373.0</v>
      </c>
      <c r="G496" s="9">
        <v>0.8492612083343015</v>
      </c>
      <c r="H496" s="9">
        <v>0.0012364271143888</v>
      </c>
      <c r="I496" s="7" t="b">
        <v>1</v>
      </c>
      <c r="J496" s="9">
        <v>0.0</v>
      </c>
      <c r="K496" s="7" t="b">
        <v>0</v>
      </c>
      <c r="L496" s="9">
        <v>148.0</v>
      </c>
      <c r="M496" s="9">
        <v>0.0232</v>
      </c>
      <c r="N496" s="2" t="s">
        <v>4048</v>
      </c>
      <c r="O496" s="2" t="s">
        <v>1451</v>
      </c>
      <c r="P496" s="9">
        <v>69.26</v>
      </c>
      <c r="Q496" s="9">
        <v>64.5</v>
      </c>
      <c r="R496" s="9">
        <v>0.035714</v>
      </c>
      <c r="S496" s="9">
        <v>0.4144</v>
      </c>
      <c r="T496" s="9">
        <v>0.4533</v>
      </c>
      <c r="U496" s="2" t="s">
        <v>4326</v>
      </c>
      <c r="V496" s="9">
        <v>0.0</v>
      </c>
      <c r="W496" s="2" t="s">
        <v>181</v>
      </c>
      <c r="X496" s="2" t="s">
        <v>1521</v>
      </c>
      <c r="Y496" s="2" t="s">
        <v>3037</v>
      </c>
      <c r="Z496" s="9">
        <v>0.3525</v>
      </c>
      <c r="AA496" s="9">
        <v>0.4144</v>
      </c>
      <c r="AB496" s="9">
        <v>0.0</v>
      </c>
      <c r="AC496" s="9">
        <v>0.1066</v>
      </c>
      <c r="AD496" s="9" t="str">
        <f t="shared" si="1"/>
        <v>#REF!</v>
      </c>
    </row>
    <row r="497" hidden="1">
      <c r="A497" s="2" t="s">
        <v>1623</v>
      </c>
      <c r="B497" s="2" t="s">
        <v>1015</v>
      </c>
      <c r="C497" s="2" t="s">
        <v>1439</v>
      </c>
      <c r="D497" s="2" t="s">
        <v>64</v>
      </c>
      <c r="E497" s="7" t="b">
        <v>1</v>
      </c>
      <c r="F497" s="9">
        <v>9594.0</v>
      </c>
      <c r="G497" s="9">
        <v>1.032692280256312</v>
      </c>
      <c r="H497" s="9">
        <v>0.0024939276631227</v>
      </c>
      <c r="I497" s="7" t="b">
        <v>1</v>
      </c>
      <c r="J497" s="9">
        <v>0.0</v>
      </c>
      <c r="K497" s="7" t="b">
        <v>0</v>
      </c>
      <c r="L497" s="9">
        <v>1699.0</v>
      </c>
      <c r="M497" s="9">
        <v>0.1771</v>
      </c>
      <c r="N497" s="2" t="s">
        <v>4328</v>
      </c>
      <c r="O497" s="2" t="s">
        <v>1587</v>
      </c>
      <c r="P497" s="9">
        <v>88.52</v>
      </c>
      <c r="Q497" s="9">
        <v>100.0</v>
      </c>
      <c r="R497" s="9">
        <v>0.032727</v>
      </c>
      <c r="S497" s="9">
        <v>0.3109</v>
      </c>
      <c r="T497" s="9">
        <v>0.0882</v>
      </c>
      <c r="U497" s="2" t="s">
        <v>4329</v>
      </c>
      <c r="V497" s="9">
        <v>0.0405</v>
      </c>
      <c r="W497" s="2" t="s">
        <v>1124</v>
      </c>
      <c r="X497" s="2" t="s">
        <v>1521</v>
      </c>
      <c r="Y497" s="2" t="s">
        <v>3037</v>
      </c>
      <c r="Z497" s="9">
        <v>0.3829</v>
      </c>
      <c r="AA497" s="9">
        <v>0.3109</v>
      </c>
      <c r="AB497" s="9">
        <v>0.0405</v>
      </c>
      <c r="AC497" s="9">
        <v>0.1407</v>
      </c>
      <c r="AD497" s="9" t="str">
        <f t="shared" si="1"/>
        <v>#REF!</v>
      </c>
    </row>
    <row r="498" hidden="1">
      <c r="A498" s="2" t="s">
        <v>1623</v>
      </c>
      <c r="B498" s="2" t="s">
        <v>1024</v>
      </c>
      <c r="C498" s="2" t="s">
        <v>1439</v>
      </c>
      <c r="D498" s="2" t="s">
        <v>64</v>
      </c>
      <c r="E498" s="7" t="b">
        <v>1</v>
      </c>
      <c r="F498" s="9">
        <v>52363.0</v>
      </c>
      <c r="G498" s="9">
        <v>5.134036163969273</v>
      </c>
      <c r="H498" s="9">
        <v>0.0425656520825773</v>
      </c>
      <c r="I498" s="7" t="b">
        <v>1</v>
      </c>
      <c r="J498" s="9">
        <v>0.0</v>
      </c>
      <c r="K498" s="7" t="b">
        <v>0</v>
      </c>
      <c r="L498" s="9">
        <v>1885.0</v>
      </c>
      <c r="M498" s="9">
        <v>0.036</v>
      </c>
      <c r="N498" s="2" t="s">
        <v>2148</v>
      </c>
      <c r="O498" s="2" t="s">
        <v>4330</v>
      </c>
      <c r="P498" s="9">
        <v>82.33</v>
      </c>
      <c r="Q498" s="9">
        <v>96.0</v>
      </c>
      <c r="R498" s="9">
        <v>0.025788</v>
      </c>
      <c r="S498" s="9">
        <v>0.7626</v>
      </c>
      <c r="T498" s="9">
        <v>0.7018</v>
      </c>
      <c r="U498" s="2" t="s">
        <v>3424</v>
      </c>
      <c r="V498" s="9">
        <v>0.0388</v>
      </c>
      <c r="W498" s="2" t="s">
        <v>82</v>
      </c>
      <c r="X498" s="2" t="s">
        <v>1466</v>
      </c>
      <c r="Y498" s="2" t="s">
        <v>2393</v>
      </c>
      <c r="Z498" s="9">
        <v>0.6554</v>
      </c>
      <c r="AA498" s="9">
        <v>0.7626</v>
      </c>
      <c r="AB498" s="9">
        <v>0.0388</v>
      </c>
      <c r="AC498" s="9">
        <v>0.0976</v>
      </c>
      <c r="AD498" s="9" t="str">
        <f t="shared" si="1"/>
        <v>#REF!</v>
      </c>
    </row>
    <row r="499" hidden="1">
      <c r="A499" s="2" t="s">
        <v>1623</v>
      </c>
      <c r="B499" s="2" t="s">
        <v>1031</v>
      </c>
      <c r="C499" s="2" t="s">
        <v>1439</v>
      </c>
      <c r="D499" s="2" t="s">
        <v>64</v>
      </c>
      <c r="E499" s="7" t="b">
        <v>1</v>
      </c>
      <c r="F499" s="9">
        <v>1032.0</v>
      </c>
      <c r="G499" s="9">
        <v>36.61609256186324</v>
      </c>
      <c r="H499" s="9">
        <v>0.3239535930232558</v>
      </c>
      <c r="I499" s="7" t="b">
        <v>1</v>
      </c>
      <c r="J499" s="9">
        <v>0.0</v>
      </c>
      <c r="K499" s="7" t="b">
        <v>0</v>
      </c>
      <c r="L499" s="9">
        <v>674.0</v>
      </c>
      <c r="M499" s="9">
        <v>0.6531</v>
      </c>
      <c r="N499" s="2" t="s">
        <v>4332</v>
      </c>
      <c r="O499" s="2" t="s">
        <v>94</v>
      </c>
      <c r="P499" s="9">
        <v>86.3</v>
      </c>
      <c r="Q499" s="9">
        <v>99.0</v>
      </c>
      <c r="R499" s="9">
        <v>0.029851</v>
      </c>
      <c r="S499" s="9">
        <v>0.809</v>
      </c>
      <c r="T499" s="9">
        <v>0.9873</v>
      </c>
      <c r="U499" s="2" t="s">
        <v>4333</v>
      </c>
      <c r="V499" s="9">
        <v>0.431</v>
      </c>
      <c r="W499" s="2" t="s">
        <v>82</v>
      </c>
      <c r="X499" s="2" t="s">
        <v>84</v>
      </c>
      <c r="Y499" s="2" t="s">
        <v>2614</v>
      </c>
      <c r="Z499" s="9">
        <v>0.6469</v>
      </c>
      <c r="AA499" s="9">
        <v>0.809</v>
      </c>
      <c r="AB499" s="9">
        <v>0.431</v>
      </c>
      <c r="AC499" s="9">
        <v>0.8414</v>
      </c>
      <c r="AD499" s="9" t="str">
        <f t="shared" si="1"/>
        <v>#REF!</v>
      </c>
    </row>
    <row r="500" hidden="1">
      <c r="A500" s="2" t="s">
        <v>1145</v>
      </c>
      <c r="B500" s="2" t="s">
        <v>441</v>
      </c>
      <c r="C500" s="2" t="s">
        <v>119</v>
      </c>
      <c r="D500" s="2" t="s">
        <v>64</v>
      </c>
      <c r="E500" s="7" t="b">
        <v>1</v>
      </c>
      <c r="F500" s="9">
        <v>186.0</v>
      </c>
      <c r="G500" s="9">
        <v>24.96504592180233</v>
      </c>
      <c r="H500" s="9">
        <v>0.040258064516129</v>
      </c>
      <c r="I500" s="7" t="b">
        <v>1</v>
      </c>
      <c r="J500" s="9">
        <v>0.0</v>
      </c>
      <c r="K500" s="7" t="b">
        <v>0</v>
      </c>
      <c r="L500" s="9">
        <v>132.0</v>
      </c>
      <c r="M500" s="9">
        <v>0.7097</v>
      </c>
      <c r="N500" s="2" t="s">
        <v>1934</v>
      </c>
      <c r="O500" s="2" t="s">
        <v>1426</v>
      </c>
      <c r="P500" s="9">
        <v>80.74</v>
      </c>
      <c r="Q500" s="9">
        <v>72.0</v>
      </c>
      <c r="R500" s="9">
        <v>0.066667</v>
      </c>
      <c r="S500" s="9">
        <v>0.5837</v>
      </c>
      <c r="T500" s="9">
        <v>0.9153</v>
      </c>
      <c r="U500" s="2" t="s">
        <v>1636</v>
      </c>
      <c r="V500" s="9">
        <v>0.8077</v>
      </c>
      <c r="W500" s="2" t="s">
        <v>1657</v>
      </c>
      <c r="X500" s="2" t="s">
        <v>237</v>
      </c>
      <c r="Y500" s="2" t="s">
        <v>1703</v>
      </c>
      <c r="Z500" s="9">
        <v>0.4579</v>
      </c>
      <c r="AA500" s="9">
        <v>0.5837</v>
      </c>
      <c r="AB500" s="9">
        <v>0.8077</v>
      </c>
      <c r="AC500" s="9">
        <v>0.7171</v>
      </c>
      <c r="AD500" s="9" t="str">
        <f t="shared" si="1"/>
        <v>#REF!</v>
      </c>
    </row>
    <row r="501" hidden="1">
      <c r="A501" s="2" t="s">
        <v>1145</v>
      </c>
      <c r="B501" s="2" t="s">
        <v>942</v>
      </c>
      <c r="C501" s="2" t="s">
        <v>119</v>
      </c>
      <c r="D501" s="2" t="s">
        <v>64</v>
      </c>
      <c r="E501" s="7" t="b">
        <v>1</v>
      </c>
      <c r="F501" s="9">
        <v>1408.0</v>
      </c>
      <c r="G501" s="9">
        <v>4.076702977535405</v>
      </c>
      <c r="H501" s="9">
        <v>0.001652377059659</v>
      </c>
      <c r="I501" s="7" t="b">
        <v>1</v>
      </c>
      <c r="J501" s="9">
        <v>0.0</v>
      </c>
      <c r="K501" s="7" t="b">
        <v>0</v>
      </c>
      <c r="L501" s="9">
        <v>2572.0</v>
      </c>
      <c r="M501" s="9">
        <v>1.8267</v>
      </c>
      <c r="N501" s="2" t="s">
        <v>4334</v>
      </c>
      <c r="O501" s="2" t="s">
        <v>4335</v>
      </c>
      <c r="P501" s="9">
        <v>63.94</v>
      </c>
      <c r="Q501" s="9">
        <v>53.0</v>
      </c>
      <c r="R501" s="9">
        <v>0.01218</v>
      </c>
      <c r="S501" s="9">
        <v>0.7608</v>
      </c>
      <c r="T501" s="9">
        <v>0.6454</v>
      </c>
      <c r="U501" s="2" t="s">
        <v>2198</v>
      </c>
      <c r="V501" s="9">
        <v>0.4343</v>
      </c>
      <c r="W501" s="2" t="s">
        <v>1884</v>
      </c>
      <c r="X501" s="2" t="s">
        <v>1466</v>
      </c>
      <c r="Y501" s="2" t="s">
        <v>4109</v>
      </c>
      <c r="Z501" s="9">
        <v>0.6678</v>
      </c>
      <c r="AA501" s="9">
        <v>0.7608</v>
      </c>
      <c r="AB501" s="9">
        <v>0.4343</v>
      </c>
      <c r="AC501" s="9">
        <v>0.1529</v>
      </c>
      <c r="AD501" s="9" t="str">
        <f t="shared" si="1"/>
        <v>#REF!</v>
      </c>
    </row>
    <row r="502" hidden="1">
      <c r="A502" s="2" t="s">
        <v>1145</v>
      </c>
      <c r="B502" s="2" t="s">
        <v>997</v>
      </c>
      <c r="C502" s="2" t="s">
        <v>119</v>
      </c>
      <c r="D502" s="2" t="s">
        <v>64</v>
      </c>
      <c r="E502" s="7" t="b">
        <v>1</v>
      </c>
      <c r="F502" s="9">
        <v>1411.0</v>
      </c>
      <c r="G502" s="9">
        <v>35.7932684508983</v>
      </c>
      <c r="H502" s="9">
        <v>0.1184067675407512</v>
      </c>
      <c r="I502" s="7" t="b">
        <v>1</v>
      </c>
      <c r="J502" s="9">
        <v>0.0</v>
      </c>
      <c r="K502" s="7" t="b">
        <v>0</v>
      </c>
      <c r="L502" s="9">
        <v>693.0</v>
      </c>
      <c r="M502" s="9">
        <v>0.4911</v>
      </c>
      <c r="N502" s="2" t="s">
        <v>4337</v>
      </c>
      <c r="O502" s="2" t="s">
        <v>4132</v>
      </c>
      <c r="P502" s="9">
        <v>92.51</v>
      </c>
      <c r="Q502" s="9">
        <v>83.0</v>
      </c>
      <c r="R502" s="9">
        <v>0.061856</v>
      </c>
      <c r="S502" s="9">
        <v>0.7752</v>
      </c>
      <c r="T502" s="9">
        <v>0.9376</v>
      </c>
      <c r="U502" s="2" t="s">
        <v>2483</v>
      </c>
      <c r="V502" s="9">
        <v>0.7256</v>
      </c>
      <c r="W502" s="2" t="s">
        <v>157</v>
      </c>
      <c r="X502" s="2" t="s">
        <v>495</v>
      </c>
      <c r="Y502" s="2" t="s">
        <v>2967</v>
      </c>
      <c r="Z502" s="9">
        <v>0.6183</v>
      </c>
      <c r="AA502" s="9">
        <v>0.7752</v>
      </c>
      <c r="AB502" s="9">
        <v>0.7256</v>
      </c>
      <c r="AC502" s="9">
        <v>0.6558</v>
      </c>
      <c r="AD502" s="9" t="str">
        <f t="shared" si="1"/>
        <v>#REF!</v>
      </c>
    </row>
    <row r="503" hidden="1">
      <c r="A503" s="2" t="s">
        <v>1232</v>
      </c>
      <c r="B503" s="2" t="s">
        <v>441</v>
      </c>
      <c r="C503" s="2" t="s">
        <v>119</v>
      </c>
      <c r="D503" s="2" t="s">
        <v>64</v>
      </c>
      <c r="E503" s="7" t="b">
        <v>1</v>
      </c>
      <c r="F503" s="9">
        <v>121.0</v>
      </c>
      <c r="G503" s="9">
        <v>7.009878051297642</v>
      </c>
      <c r="H503" s="9">
        <v>0.0020902</v>
      </c>
      <c r="I503" s="7" t="b">
        <v>1</v>
      </c>
      <c r="J503" s="9">
        <v>0.0</v>
      </c>
      <c r="K503" s="7" t="b">
        <v>0</v>
      </c>
      <c r="L503" s="9">
        <v>45.0</v>
      </c>
      <c r="M503" s="9">
        <v>0.3719</v>
      </c>
      <c r="N503" s="2" t="s">
        <v>2619</v>
      </c>
      <c r="O503" s="2" t="s">
        <v>1462</v>
      </c>
      <c r="P503" s="9">
        <v>45.64</v>
      </c>
      <c r="Q503" s="9">
        <v>38.0</v>
      </c>
      <c r="R503" s="9">
        <v>0.0</v>
      </c>
      <c r="S503" s="9">
        <v>0.4061</v>
      </c>
      <c r="T503" s="9">
        <v>0.8513</v>
      </c>
      <c r="U503" s="2" t="s">
        <v>3190</v>
      </c>
      <c r="V503" s="15"/>
      <c r="W503" s="2" t="s">
        <v>1591</v>
      </c>
      <c r="X503" s="2" t="s">
        <v>182</v>
      </c>
      <c r="Y503" s="2" t="s">
        <v>1491</v>
      </c>
      <c r="Z503" s="9">
        <v>0.3401</v>
      </c>
      <c r="AA503" s="9">
        <v>0.4061</v>
      </c>
      <c r="AB503" s="15"/>
      <c r="AC503" s="9">
        <v>0.1938</v>
      </c>
      <c r="AD503" s="9" t="str">
        <f t="shared" si="1"/>
        <v>#REF!</v>
      </c>
    </row>
    <row r="504" hidden="1">
      <c r="A504" s="2" t="s">
        <v>1232</v>
      </c>
      <c r="B504" s="2" t="s">
        <v>501</v>
      </c>
      <c r="C504" s="2" t="s">
        <v>119</v>
      </c>
      <c r="D504" s="2" t="s">
        <v>64</v>
      </c>
      <c r="E504" s="7" t="b">
        <v>1</v>
      </c>
      <c r="F504" s="9">
        <v>2029.0</v>
      </c>
      <c r="G504" s="9">
        <v>3.346388907534946</v>
      </c>
      <c r="H504" s="9">
        <v>0.003001630754066</v>
      </c>
      <c r="I504" s="7" t="b">
        <v>1</v>
      </c>
      <c r="J504" s="9">
        <v>0.0</v>
      </c>
      <c r="K504" s="7" t="b">
        <v>0</v>
      </c>
      <c r="L504" s="9">
        <v>9423.0</v>
      </c>
      <c r="M504" s="9">
        <v>4.6442</v>
      </c>
      <c r="N504" s="2" t="s">
        <v>4340</v>
      </c>
      <c r="O504" s="2" t="s">
        <v>4341</v>
      </c>
      <c r="P504" s="9">
        <v>47.61</v>
      </c>
      <c r="Q504" s="9">
        <v>40.0</v>
      </c>
      <c r="R504" s="9">
        <v>0.010329</v>
      </c>
      <c r="S504" s="9">
        <v>0.6577</v>
      </c>
      <c r="T504" s="9">
        <v>0.2736</v>
      </c>
      <c r="U504" s="2" t="s">
        <v>2843</v>
      </c>
      <c r="V504" s="9">
        <v>0.8499</v>
      </c>
      <c r="W504" s="15"/>
      <c r="X504" s="2" t="s">
        <v>517</v>
      </c>
      <c r="Y504" s="2" t="s">
        <v>1593</v>
      </c>
      <c r="Z504" s="9">
        <v>0.6262</v>
      </c>
      <c r="AA504" s="9">
        <v>0.6577</v>
      </c>
      <c r="AB504" s="9">
        <v>0.8499</v>
      </c>
      <c r="AC504" s="9">
        <v>0.1925</v>
      </c>
      <c r="AD504" s="9" t="str">
        <f t="shared" si="1"/>
        <v>#REF!</v>
      </c>
    </row>
    <row r="505" hidden="1">
      <c r="A505" s="2" t="s">
        <v>1232</v>
      </c>
      <c r="B505" s="2" t="s">
        <v>885</v>
      </c>
      <c r="C505" s="2" t="s">
        <v>119</v>
      </c>
      <c r="D505" s="2" t="s">
        <v>64</v>
      </c>
      <c r="E505" s="7" t="b">
        <v>1</v>
      </c>
      <c r="F505" s="9">
        <v>192.0</v>
      </c>
      <c r="G505" s="9">
        <v>11.03132048713708</v>
      </c>
      <c r="H505" s="9">
        <v>0.0022195958333333</v>
      </c>
      <c r="I505" s="7" t="b">
        <v>1</v>
      </c>
      <c r="J505" s="9">
        <v>0.0</v>
      </c>
      <c r="K505" s="7" t="b">
        <v>0</v>
      </c>
      <c r="L505" s="9">
        <v>512.0</v>
      </c>
      <c r="M505" s="9">
        <v>2.6667</v>
      </c>
      <c r="N505" s="2" t="s">
        <v>2329</v>
      </c>
      <c r="O505" s="2" t="s">
        <v>1629</v>
      </c>
      <c r="P505" s="9">
        <v>44.48</v>
      </c>
      <c r="Q505" s="9">
        <v>41.0</v>
      </c>
      <c r="R505" s="9">
        <v>0.032787</v>
      </c>
      <c r="S505" s="9">
        <v>0.5037</v>
      </c>
      <c r="T505" s="9">
        <v>0.8637</v>
      </c>
      <c r="U505" s="2" t="s">
        <v>1936</v>
      </c>
      <c r="V505" s="9">
        <v>0.0</v>
      </c>
      <c r="W505" s="2" t="s">
        <v>1657</v>
      </c>
      <c r="X505" s="2" t="s">
        <v>495</v>
      </c>
      <c r="Y505" s="2" t="s">
        <v>1418</v>
      </c>
      <c r="Z505" s="9">
        <v>0.3964</v>
      </c>
      <c r="AA505" s="9">
        <v>0.5037</v>
      </c>
      <c r="AB505" s="9">
        <v>0.0</v>
      </c>
      <c r="AC505" s="9">
        <v>0.859</v>
      </c>
      <c r="AD505" s="9" t="str">
        <f t="shared" si="1"/>
        <v>#REF!</v>
      </c>
    </row>
    <row r="506" hidden="1">
      <c r="A506" s="2" t="s">
        <v>1232</v>
      </c>
      <c r="B506" s="2" t="s">
        <v>997</v>
      </c>
      <c r="C506" s="2" t="s">
        <v>119</v>
      </c>
      <c r="D506" s="2" t="s">
        <v>64</v>
      </c>
      <c r="E506" s="7" t="b">
        <v>1</v>
      </c>
      <c r="F506" s="9">
        <v>703.0</v>
      </c>
      <c r="G506" s="9">
        <v>16.26103048946617</v>
      </c>
      <c r="H506" s="9">
        <v>0.012478773826458</v>
      </c>
      <c r="I506" s="7" t="b">
        <v>1</v>
      </c>
      <c r="J506" s="9">
        <v>0.0</v>
      </c>
      <c r="K506" s="7" t="b">
        <v>0</v>
      </c>
      <c r="L506" s="9">
        <v>237.0</v>
      </c>
      <c r="M506" s="9">
        <v>0.3371</v>
      </c>
      <c r="N506" s="2" t="s">
        <v>2002</v>
      </c>
      <c r="O506" s="2" t="s">
        <v>2710</v>
      </c>
      <c r="P506" s="9">
        <v>65.14</v>
      </c>
      <c r="Q506" s="9">
        <v>52.0</v>
      </c>
      <c r="R506" s="9">
        <v>0.037037</v>
      </c>
      <c r="S506" s="9">
        <v>0.6605</v>
      </c>
      <c r="T506" s="9">
        <v>0.9569</v>
      </c>
      <c r="U506" s="2" t="s">
        <v>758</v>
      </c>
      <c r="V506" s="9">
        <v>0.8625</v>
      </c>
      <c r="W506" s="2" t="s">
        <v>134</v>
      </c>
      <c r="X506" s="2" t="s">
        <v>517</v>
      </c>
      <c r="Y506" s="2" t="s">
        <v>2159</v>
      </c>
      <c r="Z506" s="9">
        <v>0.516</v>
      </c>
      <c r="AA506" s="9">
        <v>0.6605</v>
      </c>
      <c r="AB506" s="9">
        <v>0.8625</v>
      </c>
      <c r="AC506" s="9">
        <v>0.3006</v>
      </c>
      <c r="AD506" s="9" t="str">
        <f t="shared" si="1"/>
        <v>#REF!</v>
      </c>
    </row>
    <row r="507" hidden="1">
      <c r="A507" s="2" t="s">
        <v>1232</v>
      </c>
      <c r="B507" s="2" t="s">
        <v>1024</v>
      </c>
      <c r="C507" s="2" t="s">
        <v>119</v>
      </c>
      <c r="D507" s="2" t="s">
        <v>64</v>
      </c>
      <c r="E507" s="7" t="b">
        <v>1</v>
      </c>
      <c r="F507" s="9">
        <v>5485.0</v>
      </c>
      <c r="G507" s="9">
        <v>15.01165147902769</v>
      </c>
      <c r="H507" s="9">
        <v>0.040310548769371</v>
      </c>
      <c r="I507" s="7" t="b">
        <v>1</v>
      </c>
      <c r="J507" s="9">
        <v>0.0</v>
      </c>
      <c r="K507" s="7" t="b">
        <v>0</v>
      </c>
      <c r="L507" s="9">
        <v>1132.0</v>
      </c>
      <c r="M507" s="9">
        <v>0.2064</v>
      </c>
      <c r="N507" s="2" t="s">
        <v>3093</v>
      </c>
      <c r="O507" s="2" t="s">
        <v>4343</v>
      </c>
      <c r="P507" s="9">
        <v>66.07</v>
      </c>
      <c r="Q507" s="9">
        <v>55.0</v>
      </c>
      <c r="R507" s="9">
        <v>0.048673</v>
      </c>
      <c r="S507" s="9">
        <v>0.7673</v>
      </c>
      <c r="T507" s="9">
        <v>0.8604</v>
      </c>
      <c r="U507" s="2" t="s">
        <v>537</v>
      </c>
      <c r="V507" s="9">
        <v>0.8272</v>
      </c>
      <c r="W507" s="2" t="s">
        <v>157</v>
      </c>
      <c r="X507" s="2" t="s">
        <v>517</v>
      </c>
      <c r="Y507" s="2" t="s">
        <v>2159</v>
      </c>
      <c r="Z507" s="9">
        <v>0.64</v>
      </c>
      <c r="AA507" s="9">
        <v>0.7673</v>
      </c>
      <c r="AB507" s="9">
        <v>0.8272</v>
      </c>
      <c r="AC507" s="9">
        <v>0.1999</v>
      </c>
      <c r="AD507" s="9" t="str">
        <f t="shared" si="1"/>
        <v>#REF!</v>
      </c>
    </row>
    <row r="508" hidden="1">
      <c r="A508" s="2" t="s">
        <v>1156</v>
      </c>
      <c r="B508" s="2" t="s">
        <v>942</v>
      </c>
      <c r="C508" s="2" t="s">
        <v>119</v>
      </c>
      <c r="D508" s="2" t="s">
        <v>64</v>
      </c>
      <c r="E508" s="7" t="b">
        <v>1</v>
      </c>
      <c r="F508" s="9">
        <v>2413.0</v>
      </c>
      <c r="G508" s="9">
        <v>2.816581540942104</v>
      </c>
      <c r="H508" s="9">
        <v>0.0013508606299212</v>
      </c>
      <c r="I508" s="7" t="b">
        <v>1</v>
      </c>
      <c r="J508" s="9">
        <v>0.0</v>
      </c>
      <c r="K508" s="7" t="b">
        <v>0</v>
      </c>
      <c r="L508" s="9">
        <v>4615.0</v>
      </c>
      <c r="M508" s="9">
        <v>1.9126</v>
      </c>
      <c r="N508" s="2" t="s">
        <v>4344</v>
      </c>
      <c r="O508" s="2" t="s">
        <v>4345</v>
      </c>
      <c r="P508" s="9">
        <v>63.95</v>
      </c>
      <c r="Q508" s="9">
        <v>52.0</v>
      </c>
      <c r="R508" s="9">
        <v>0.015707</v>
      </c>
      <c r="S508" s="9">
        <v>0.7812</v>
      </c>
      <c r="T508" s="9">
        <v>0.5213</v>
      </c>
      <c r="U508" s="2" t="s">
        <v>3162</v>
      </c>
      <c r="V508" s="9">
        <v>0.8153</v>
      </c>
      <c r="W508" s="2" t="s">
        <v>2760</v>
      </c>
      <c r="X508" s="2" t="s">
        <v>517</v>
      </c>
      <c r="Y508" s="2" t="s">
        <v>2719</v>
      </c>
      <c r="Z508" s="9">
        <v>0.6979</v>
      </c>
      <c r="AA508" s="9">
        <v>0.7812</v>
      </c>
      <c r="AB508" s="9">
        <v>0.8153</v>
      </c>
      <c r="AC508" s="9">
        <v>0.161</v>
      </c>
      <c r="AD508" s="9" t="str">
        <f t="shared" si="1"/>
        <v>#REF!</v>
      </c>
    </row>
    <row r="509" hidden="1">
      <c r="A509" s="2" t="s">
        <v>1156</v>
      </c>
      <c r="B509" s="2" t="s">
        <v>997</v>
      </c>
      <c r="C509" s="2" t="s">
        <v>119</v>
      </c>
      <c r="D509" s="2" t="s">
        <v>64</v>
      </c>
      <c r="E509" s="7" t="b">
        <v>1</v>
      </c>
      <c r="F509" s="9">
        <v>3332.0</v>
      </c>
      <c r="G509" s="9">
        <v>38.03938129552864</v>
      </c>
      <c r="H509" s="9">
        <v>0.3015869279711884</v>
      </c>
      <c r="I509" s="7" t="b">
        <v>1</v>
      </c>
      <c r="J509" s="9">
        <v>0.0</v>
      </c>
      <c r="K509" s="7" t="b">
        <v>0</v>
      </c>
      <c r="L509" s="9">
        <v>1558.0</v>
      </c>
      <c r="M509" s="9">
        <v>0.4676</v>
      </c>
      <c r="N509" s="2" t="s">
        <v>4348</v>
      </c>
      <c r="O509" s="2" t="s">
        <v>3729</v>
      </c>
      <c r="P509" s="9">
        <v>94.37</v>
      </c>
      <c r="Q509" s="9">
        <v>86.0</v>
      </c>
      <c r="R509" s="9">
        <v>0.133028</v>
      </c>
      <c r="S509" s="9">
        <v>0.859</v>
      </c>
      <c r="T509" s="9">
        <v>0.9879</v>
      </c>
      <c r="U509" s="2" t="s">
        <v>2483</v>
      </c>
      <c r="V509" s="9">
        <v>0.7309</v>
      </c>
      <c r="W509" s="2" t="s">
        <v>157</v>
      </c>
      <c r="X509" s="2" t="s">
        <v>237</v>
      </c>
      <c r="Y509" s="2" t="s">
        <v>4165</v>
      </c>
      <c r="Z509" s="9">
        <v>0.7013</v>
      </c>
      <c r="AA509" s="9">
        <v>0.859</v>
      </c>
      <c r="AB509" s="9">
        <v>0.7309</v>
      </c>
      <c r="AC509" s="9">
        <v>0.605</v>
      </c>
      <c r="AD509" s="9" t="str">
        <f t="shared" si="1"/>
        <v>#REF!</v>
      </c>
    </row>
    <row r="510" hidden="1">
      <c r="A510" s="2" t="s">
        <v>1615</v>
      </c>
      <c r="B510" s="2" t="s">
        <v>942</v>
      </c>
      <c r="C510" s="2" t="s">
        <v>119</v>
      </c>
      <c r="D510" s="2" t="s">
        <v>64</v>
      </c>
      <c r="E510" s="7" t="b">
        <v>1</v>
      </c>
      <c r="F510" s="9">
        <v>1668.0</v>
      </c>
      <c r="G510" s="9">
        <v>3.565832167921421</v>
      </c>
      <c r="H510" s="9">
        <v>0.0014975232613908</v>
      </c>
      <c r="I510" s="7" t="b">
        <v>1</v>
      </c>
      <c r="J510" s="9">
        <v>0.0</v>
      </c>
      <c r="K510" s="7" t="b">
        <v>0</v>
      </c>
      <c r="L510" s="9">
        <v>3051.0</v>
      </c>
      <c r="M510" s="9">
        <v>1.8291</v>
      </c>
      <c r="N510" s="2" t="s">
        <v>4351</v>
      </c>
      <c r="O510" s="2" t="s">
        <v>2181</v>
      </c>
      <c r="P510" s="9">
        <v>71.68</v>
      </c>
      <c r="Q510" s="9">
        <v>61.0</v>
      </c>
      <c r="R510" s="9">
        <v>0.008377</v>
      </c>
      <c r="S510" s="9">
        <v>0.7654</v>
      </c>
      <c r="T510" s="9">
        <v>0.572</v>
      </c>
      <c r="U510" s="2" t="s">
        <v>3644</v>
      </c>
      <c r="V510" s="9">
        <v>0.3889</v>
      </c>
      <c r="W510" s="2" t="s">
        <v>1780</v>
      </c>
      <c r="X510" s="2" t="s">
        <v>1521</v>
      </c>
      <c r="Y510" s="2" t="s">
        <v>2762</v>
      </c>
      <c r="Z510" s="9">
        <v>0.6785</v>
      </c>
      <c r="AA510" s="9">
        <v>0.7654</v>
      </c>
      <c r="AB510" s="9">
        <v>0.3889</v>
      </c>
      <c r="AC510" s="9">
        <v>0.1573</v>
      </c>
      <c r="AD510" s="9" t="str">
        <f t="shared" si="1"/>
        <v>#REF!</v>
      </c>
    </row>
    <row r="511" hidden="1">
      <c r="A511" s="2" t="s">
        <v>1605</v>
      </c>
      <c r="B511" s="2" t="s">
        <v>937</v>
      </c>
      <c r="C511" s="2" t="s">
        <v>119</v>
      </c>
      <c r="D511" s="2" t="s">
        <v>64</v>
      </c>
      <c r="E511" s="7" t="b">
        <v>1</v>
      </c>
      <c r="F511" s="9">
        <v>102.0</v>
      </c>
      <c r="G511" s="9">
        <v>1.761625296368511</v>
      </c>
      <c r="H511" s="9">
        <v>0.001420944117647</v>
      </c>
      <c r="I511" s="7" t="b">
        <v>1</v>
      </c>
      <c r="J511" s="9">
        <v>0.0</v>
      </c>
      <c r="K511" s="7" t="b">
        <v>0</v>
      </c>
      <c r="L511" s="9">
        <v>26588.0</v>
      </c>
      <c r="M511" s="9">
        <v>260.6667</v>
      </c>
      <c r="N511" s="2" t="s">
        <v>4353</v>
      </c>
      <c r="O511" s="2" t="s">
        <v>4354</v>
      </c>
      <c r="P511" s="9">
        <v>73.94</v>
      </c>
      <c r="Q511" s="9">
        <v>64.0</v>
      </c>
      <c r="R511" s="9">
        <v>0.008972</v>
      </c>
      <c r="S511" s="9">
        <v>0.8104</v>
      </c>
      <c r="T511" s="9">
        <v>0.2092</v>
      </c>
      <c r="U511" s="2" t="s">
        <v>2735</v>
      </c>
      <c r="V511" s="9">
        <v>0.7825</v>
      </c>
      <c r="W511" s="2" t="s">
        <v>2879</v>
      </c>
      <c r="X511" s="2" t="s">
        <v>517</v>
      </c>
      <c r="Y511" s="2" t="s">
        <v>2125</v>
      </c>
      <c r="Z511" s="9">
        <v>0.7497</v>
      </c>
      <c r="AA511" s="9">
        <v>0.8104</v>
      </c>
      <c r="AB511" s="9">
        <v>0.7825</v>
      </c>
      <c r="AC511" s="9">
        <v>0.1682</v>
      </c>
      <c r="AD511" s="9" t="str">
        <f t="shared" si="1"/>
        <v>#REF!</v>
      </c>
    </row>
    <row r="512" hidden="1">
      <c r="A512" s="2" t="s">
        <v>1609</v>
      </c>
      <c r="B512" s="2" t="s">
        <v>937</v>
      </c>
      <c r="C512" s="2" t="s">
        <v>119</v>
      </c>
      <c r="D512" s="2" t="s">
        <v>64</v>
      </c>
      <c r="E512" s="7" t="b">
        <v>1</v>
      </c>
      <c r="F512" s="9">
        <v>62.0</v>
      </c>
      <c r="G512" s="9">
        <v>2.07016898505756</v>
      </c>
      <c r="H512" s="9">
        <v>0.0011953548387096</v>
      </c>
      <c r="I512" s="7" t="b">
        <v>1</v>
      </c>
      <c r="J512" s="9">
        <v>0.0</v>
      </c>
      <c r="K512" s="7" t="b">
        <v>0</v>
      </c>
      <c r="L512" s="9">
        <v>15747.0</v>
      </c>
      <c r="M512" s="9">
        <v>253.9839</v>
      </c>
      <c r="N512" s="2" t="s">
        <v>4355</v>
      </c>
      <c r="O512" s="2" t="s">
        <v>4356</v>
      </c>
      <c r="P512" s="9">
        <v>73.22</v>
      </c>
      <c r="Q512" s="9">
        <v>64.0</v>
      </c>
      <c r="R512" s="9">
        <v>0.01088</v>
      </c>
      <c r="S512" s="9">
        <v>0.8028</v>
      </c>
      <c r="T512" s="9">
        <v>0.2659</v>
      </c>
      <c r="U512" s="2" t="s">
        <v>4023</v>
      </c>
      <c r="V512" s="9">
        <v>0.7683</v>
      </c>
      <c r="W512" s="2" t="s">
        <v>3600</v>
      </c>
      <c r="X512" s="2" t="s">
        <v>495</v>
      </c>
      <c r="Y512" s="2" t="s">
        <v>2880</v>
      </c>
      <c r="Z512" s="9">
        <v>0.7376</v>
      </c>
      <c r="AA512" s="9">
        <v>0.8028</v>
      </c>
      <c r="AB512" s="9">
        <v>0.7683</v>
      </c>
      <c r="AC512" s="9">
        <v>0.161</v>
      </c>
      <c r="AD512" s="9" t="str">
        <f t="shared" si="1"/>
        <v>#REF!</v>
      </c>
    </row>
    <row r="513" hidden="1">
      <c r="A513" s="2" t="s">
        <v>1007</v>
      </c>
      <c r="B513" s="2" t="s">
        <v>63</v>
      </c>
      <c r="C513" s="2" t="s">
        <v>119</v>
      </c>
      <c r="D513" s="2" t="s">
        <v>64</v>
      </c>
      <c r="E513" s="7" t="b">
        <v>1</v>
      </c>
      <c r="F513" s="9">
        <v>239.0</v>
      </c>
      <c r="G513" s="9">
        <v>10.00714985</v>
      </c>
      <c r="H513" s="9">
        <v>0.05482407531</v>
      </c>
      <c r="I513" s="7" t="b">
        <v>1</v>
      </c>
      <c r="J513" s="9">
        <v>0.0</v>
      </c>
      <c r="K513" s="7" t="b">
        <v>0</v>
      </c>
      <c r="L513" s="9">
        <v>23356.0</v>
      </c>
      <c r="M513" s="9">
        <v>97.7238</v>
      </c>
      <c r="N513" s="2" t="s">
        <v>4357</v>
      </c>
      <c r="O513" s="56">
        <v>0.3203</v>
      </c>
      <c r="P513" s="9">
        <v>55.12</v>
      </c>
      <c r="Q513" s="9">
        <v>50.0</v>
      </c>
      <c r="R513" s="9">
        <v>0.002869</v>
      </c>
      <c r="S513" s="9">
        <v>0.988</v>
      </c>
      <c r="T513" s="9">
        <v>0.9903</v>
      </c>
      <c r="U513" s="56">
        <v>0.9965</v>
      </c>
      <c r="V513" s="15"/>
      <c r="W513" s="2" t="s">
        <v>82</v>
      </c>
      <c r="X513" s="57">
        <v>46304.0</v>
      </c>
      <c r="Y513" s="9" t="s">
        <v>4358</v>
      </c>
      <c r="Z513" s="9">
        <v>0.9199</v>
      </c>
      <c r="AA513" s="9">
        <v>0.988</v>
      </c>
      <c r="AB513" s="9">
        <v>0.8779</v>
      </c>
      <c r="AC513" s="9">
        <v>0.8712</v>
      </c>
      <c r="AD513" s="9" t="str">
        <f t="shared" si="1"/>
        <v>#REF!</v>
      </c>
    </row>
    <row r="514" hidden="1">
      <c r="A514" s="2" t="s">
        <v>1007</v>
      </c>
      <c r="B514" s="2" t="s">
        <v>120</v>
      </c>
      <c r="C514" s="2" t="s">
        <v>119</v>
      </c>
      <c r="D514" s="2" t="s">
        <v>64</v>
      </c>
      <c r="E514" s="7" t="b">
        <v>1</v>
      </c>
      <c r="F514" s="9">
        <v>43.0</v>
      </c>
      <c r="G514" s="9">
        <v>5.337334534</v>
      </c>
      <c r="H514" s="9">
        <v>0.002485981395</v>
      </c>
      <c r="I514" s="7" t="b">
        <v>1</v>
      </c>
      <c r="J514" s="9">
        <v>0.0</v>
      </c>
      <c r="K514" s="7" t="b">
        <v>0</v>
      </c>
      <c r="L514" s="9">
        <v>23295.0</v>
      </c>
      <c r="M514" s="9">
        <v>541.7442</v>
      </c>
      <c r="N514" s="2" t="s">
        <v>4359</v>
      </c>
      <c r="O514" s="56">
        <v>0.3175</v>
      </c>
      <c r="P514" s="9">
        <v>55.09</v>
      </c>
      <c r="Q514" s="9">
        <v>50.0</v>
      </c>
      <c r="R514" s="9">
        <v>0.004472</v>
      </c>
      <c r="S514" s="9">
        <v>0.9873</v>
      </c>
      <c r="T514" s="9">
        <v>0.9892</v>
      </c>
      <c r="U514" s="56">
        <v>0.9961</v>
      </c>
      <c r="V514" s="15"/>
      <c r="W514" s="2" t="s">
        <v>134</v>
      </c>
      <c r="X514" s="57">
        <v>46303.0</v>
      </c>
      <c r="Y514" s="9" t="s">
        <v>4360</v>
      </c>
      <c r="Z514" s="9">
        <v>0.92</v>
      </c>
      <c r="AA514" s="9">
        <v>0.9873</v>
      </c>
      <c r="AB514" s="9">
        <v>0.8817</v>
      </c>
      <c r="AC514" s="9">
        <v>0.8689</v>
      </c>
      <c r="AD514" s="9" t="str">
        <f t="shared" si="1"/>
        <v>#REF!</v>
      </c>
    </row>
    <row r="515" hidden="1">
      <c r="A515" s="2" t="s">
        <v>1007</v>
      </c>
      <c r="B515" s="2" t="s">
        <v>503</v>
      </c>
      <c r="C515" s="2" t="s">
        <v>119</v>
      </c>
      <c r="D515" s="2" t="s">
        <v>64</v>
      </c>
      <c r="E515" s="7" t="b">
        <v>1</v>
      </c>
      <c r="F515" s="9">
        <v>106.0</v>
      </c>
      <c r="G515" s="9">
        <v>10.84486072</v>
      </c>
      <c r="H515" s="9">
        <v>0.001108893396</v>
      </c>
      <c r="I515" s="7" t="b">
        <v>1</v>
      </c>
      <c r="J515" s="9">
        <v>0.0</v>
      </c>
      <c r="K515" s="7" t="b">
        <v>0</v>
      </c>
      <c r="L515" s="9">
        <v>137.0</v>
      </c>
      <c r="M515" s="9">
        <v>1.2925</v>
      </c>
      <c r="N515" s="2" t="s">
        <v>1394</v>
      </c>
      <c r="O515" s="56">
        <v>6.0E-4</v>
      </c>
      <c r="P515" s="9">
        <v>46.42</v>
      </c>
      <c r="Q515" s="9">
        <v>39.0</v>
      </c>
      <c r="R515" s="9">
        <v>0.02439</v>
      </c>
      <c r="S515" s="9">
        <v>0.339</v>
      </c>
      <c r="T515" s="9">
        <v>0.4461</v>
      </c>
      <c r="U515" s="56">
        <v>0.9808</v>
      </c>
      <c r="V515" s="15"/>
      <c r="W515" s="2" t="s">
        <v>82</v>
      </c>
      <c r="X515" s="57">
        <v>46301.0</v>
      </c>
      <c r="Y515" s="9" t="s">
        <v>1338</v>
      </c>
      <c r="Z515" s="9">
        <v>0.2763</v>
      </c>
      <c r="AA515" s="9">
        <v>0.339</v>
      </c>
      <c r="AB515" s="9">
        <v>0.0</v>
      </c>
      <c r="AC515" s="9">
        <v>0.1891</v>
      </c>
      <c r="AD515" s="9" t="str">
        <f t="shared" si="1"/>
        <v>#REF!</v>
      </c>
    </row>
    <row r="516" hidden="1">
      <c r="A516" s="2" t="s">
        <v>1007</v>
      </c>
      <c r="B516" s="2" t="s">
        <v>942</v>
      </c>
      <c r="C516" s="2" t="s">
        <v>119</v>
      </c>
      <c r="D516" s="2" t="s">
        <v>64</v>
      </c>
      <c r="E516" s="7" t="b">
        <v>1</v>
      </c>
      <c r="F516" s="9">
        <v>1212.0</v>
      </c>
      <c r="G516" s="9">
        <v>4.020567917</v>
      </c>
      <c r="H516" s="9">
        <v>0.001384036304</v>
      </c>
      <c r="I516" s="7" t="b">
        <v>1</v>
      </c>
      <c r="J516" s="9">
        <v>0.0</v>
      </c>
      <c r="K516" s="7" t="b">
        <v>0</v>
      </c>
      <c r="L516" s="9">
        <v>7284.0</v>
      </c>
      <c r="M516" s="9">
        <v>6.0099</v>
      </c>
      <c r="N516" s="2" t="s">
        <v>4361</v>
      </c>
      <c r="O516" s="56">
        <v>0.0257</v>
      </c>
      <c r="P516" s="9">
        <v>46.54</v>
      </c>
      <c r="Q516" s="9">
        <v>38.0</v>
      </c>
      <c r="R516" s="9">
        <v>0.006193</v>
      </c>
      <c r="S516" s="9">
        <v>0.7979</v>
      </c>
      <c r="T516" s="9">
        <v>0.5493</v>
      </c>
      <c r="U516" s="56">
        <v>0.9767</v>
      </c>
      <c r="V516" s="15"/>
      <c r="W516" s="2" t="s">
        <v>1591</v>
      </c>
      <c r="X516" s="57">
        <v>46300.0</v>
      </c>
      <c r="Y516" s="9" t="s">
        <v>4362</v>
      </c>
      <c r="Z516" s="9">
        <v>0.7151</v>
      </c>
      <c r="AA516" s="9">
        <v>0.7979</v>
      </c>
      <c r="AB516" s="9">
        <v>0.8586</v>
      </c>
      <c r="AC516" s="9">
        <v>0.1452</v>
      </c>
      <c r="AD516" s="9" t="str">
        <f t="shared" si="1"/>
        <v>#REF!</v>
      </c>
    </row>
    <row r="517" hidden="1">
      <c r="A517" s="2" t="s">
        <v>1020</v>
      </c>
      <c r="B517" s="2" t="s">
        <v>611</v>
      </c>
      <c r="C517" s="2" t="s">
        <v>119</v>
      </c>
      <c r="D517" s="2" t="s">
        <v>64</v>
      </c>
      <c r="E517" s="7" t="b">
        <v>1</v>
      </c>
      <c r="F517" s="9">
        <v>119.0</v>
      </c>
      <c r="G517" s="9">
        <v>15.45626488414666</v>
      </c>
      <c r="H517" s="9">
        <v>0.002304450420168</v>
      </c>
      <c r="I517" s="7" t="b">
        <v>1</v>
      </c>
      <c r="J517" s="9">
        <v>0.0</v>
      </c>
      <c r="K517" s="7" t="b">
        <v>0</v>
      </c>
      <c r="L517" s="9">
        <v>29.0</v>
      </c>
      <c r="M517" s="9">
        <v>0.2437</v>
      </c>
      <c r="N517" s="2" t="s">
        <v>2474</v>
      </c>
      <c r="O517" s="2" t="s">
        <v>1486</v>
      </c>
      <c r="P517" s="9">
        <v>37.86</v>
      </c>
      <c r="Q517" s="9">
        <v>36.0</v>
      </c>
      <c r="R517" s="9">
        <v>0.0</v>
      </c>
      <c r="S517" s="9">
        <v>0.265</v>
      </c>
      <c r="T517" s="9">
        <v>0.5766</v>
      </c>
      <c r="U517" s="2" t="s">
        <v>1207</v>
      </c>
      <c r="V517" s="9">
        <v>0.0</v>
      </c>
      <c r="W517" s="2" t="s">
        <v>82</v>
      </c>
      <c r="X517" s="2" t="s">
        <v>1466</v>
      </c>
      <c r="Y517" s="2" t="s">
        <v>1468</v>
      </c>
      <c r="Z517" s="9">
        <v>0.2168</v>
      </c>
      <c r="AA517" s="9">
        <v>0.265</v>
      </c>
      <c r="AB517" s="9">
        <v>0.0</v>
      </c>
      <c r="AC517" s="9">
        <v>0.6982</v>
      </c>
      <c r="AD517" s="9" t="str">
        <f t="shared" si="1"/>
        <v>#REF!</v>
      </c>
    </row>
    <row r="518" hidden="1">
      <c r="A518" s="2" t="s">
        <v>1020</v>
      </c>
      <c r="B518" s="2" t="s">
        <v>982</v>
      </c>
      <c r="C518" s="2" t="s">
        <v>119</v>
      </c>
      <c r="D518" s="2" t="s">
        <v>64</v>
      </c>
      <c r="E518" s="7" t="b">
        <v>1</v>
      </c>
      <c r="F518" s="9">
        <v>58.0</v>
      </c>
      <c r="G518" s="9">
        <v>12.84936465174656</v>
      </c>
      <c r="H518" s="9">
        <v>0.0046076689655172</v>
      </c>
      <c r="I518" s="7" t="b">
        <v>1</v>
      </c>
      <c r="J518" s="9">
        <v>0.0</v>
      </c>
      <c r="K518" s="7" t="b">
        <v>0</v>
      </c>
      <c r="L518" s="9">
        <v>88.0</v>
      </c>
      <c r="M518" s="9">
        <v>1.5172</v>
      </c>
      <c r="N518" s="2" t="s">
        <v>2105</v>
      </c>
      <c r="O518" s="2" t="s">
        <v>2380</v>
      </c>
      <c r="P518" s="9">
        <v>57.3</v>
      </c>
      <c r="Q518" s="9">
        <v>48.0</v>
      </c>
      <c r="R518" s="9">
        <v>0.05</v>
      </c>
      <c r="S518" s="9">
        <v>0.5785</v>
      </c>
      <c r="T518" s="9">
        <v>0.9886</v>
      </c>
      <c r="U518" s="2" t="s">
        <v>788</v>
      </c>
      <c r="V518" s="9">
        <v>0.8193</v>
      </c>
      <c r="W518" s="2" t="s">
        <v>134</v>
      </c>
      <c r="X518" s="2" t="s">
        <v>495</v>
      </c>
      <c r="Y518" s="2" t="s">
        <v>1980</v>
      </c>
      <c r="Z518" s="9">
        <v>0.4505</v>
      </c>
      <c r="AA518" s="9">
        <v>0.5785</v>
      </c>
      <c r="AB518" s="9">
        <v>0.8193</v>
      </c>
      <c r="AC518" s="9">
        <v>0.2565</v>
      </c>
      <c r="AD518" s="9" t="str">
        <f t="shared" si="1"/>
        <v>#REF!</v>
      </c>
    </row>
    <row r="519" hidden="1">
      <c r="A519" s="2" t="s">
        <v>1020</v>
      </c>
      <c r="B519" s="2" t="s">
        <v>997</v>
      </c>
      <c r="C519" s="2" t="s">
        <v>119</v>
      </c>
      <c r="D519" s="2" t="s">
        <v>64</v>
      </c>
      <c r="E519" s="7" t="b">
        <v>1</v>
      </c>
      <c r="F519" s="9">
        <v>452.0</v>
      </c>
      <c r="G519" s="9">
        <v>10.38499936651268</v>
      </c>
      <c r="H519" s="9">
        <v>0.0032860847345132</v>
      </c>
      <c r="I519" s="7" t="b">
        <v>1</v>
      </c>
      <c r="J519" s="9">
        <v>0.0</v>
      </c>
      <c r="K519" s="7" t="b">
        <v>0</v>
      </c>
      <c r="L519" s="9">
        <v>125.0</v>
      </c>
      <c r="M519" s="9">
        <v>0.2765</v>
      </c>
      <c r="N519" s="2" t="s">
        <v>2282</v>
      </c>
      <c r="O519" s="2" t="s">
        <v>2866</v>
      </c>
      <c r="P519" s="9">
        <v>52.46</v>
      </c>
      <c r="Q519" s="9">
        <v>44.0</v>
      </c>
      <c r="R519" s="9">
        <v>0.058824</v>
      </c>
      <c r="S519" s="9">
        <v>0.5712</v>
      </c>
      <c r="T519" s="9">
        <v>0.9749</v>
      </c>
      <c r="U519" s="2" t="s">
        <v>1850</v>
      </c>
      <c r="V519" s="9">
        <v>0.7824</v>
      </c>
      <c r="W519" s="2" t="s">
        <v>157</v>
      </c>
      <c r="X519" s="2" t="s">
        <v>495</v>
      </c>
      <c r="Y519" s="2" t="s">
        <v>2967</v>
      </c>
      <c r="Z519" s="9">
        <v>0.4575</v>
      </c>
      <c r="AA519" s="9">
        <v>0.5712</v>
      </c>
      <c r="AB519" s="9">
        <v>0.7824</v>
      </c>
      <c r="AC519" s="9">
        <v>0.7203</v>
      </c>
      <c r="AD519" s="9" t="str">
        <f t="shared" si="1"/>
        <v>#REF!</v>
      </c>
    </row>
    <row r="520" hidden="1">
      <c r="A520" s="2" t="s">
        <v>1020</v>
      </c>
      <c r="B520" s="2" t="s">
        <v>1004</v>
      </c>
      <c r="C520" s="2" t="s">
        <v>119</v>
      </c>
      <c r="D520" s="2" t="s">
        <v>64</v>
      </c>
      <c r="E520" s="7" t="b">
        <v>1</v>
      </c>
      <c r="F520" s="9">
        <v>281.0</v>
      </c>
      <c r="G520" s="9">
        <v>7.059189104574664</v>
      </c>
      <c r="H520" s="9">
        <v>0.0012294042704626</v>
      </c>
      <c r="I520" s="7" t="b">
        <v>1</v>
      </c>
      <c r="J520" s="9">
        <v>0.0</v>
      </c>
      <c r="K520" s="7" t="b">
        <v>0</v>
      </c>
      <c r="L520" s="9">
        <v>85.0</v>
      </c>
      <c r="M520" s="9">
        <v>0.3025</v>
      </c>
      <c r="N520" s="2" t="s">
        <v>2024</v>
      </c>
      <c r="O520" s="2" t="s">
        <v>1462</v>
      </c>
      <c r="P520" s="9">
        <v>42.94</v>
      </c>
      <c r="Q520" s="9">
        <v>39.0</v>
      </c>
      <c r="R520" s="9">
        <v>0.058824</v>
      </c>
      <c r="S520" s="9">
        <v>0.3444</v>
      </c>
      <c r="T520" s="9">
        <v>0.5781</v>
      </c>
      <c r="U520" s="2" t="s">
        <v>3617</v>
      </c>
      <c r="V520" s="9">
        <v>0.55</v>
      </c>
      <c r="W520" s="2" t="s">
        <v>82</v>
      </c>
      <c r="X520" s="2" t="s">
        <v>517</v>
      </c>
      <c r="Y520" s="2" t="s">
        <v>3069</v>
      </c>
      <c r="Z520" s="9">
        <v>0.3132</v>
      </c>
      <c r="AA520" s="9">
        <v>0.3444</v>
      </c>
      <c r="AB520" s="9">
        <v>0.55</v>
      </c>
      <c r="AC520" s="9">
        <v>0.2442</v>
      </c>
      <c r="AD520" s="9" t="str">
        <f t="shared" si="1"/>
        <v>#REF!</v>
      </c>
    </row>
    <row r="521" hidden="1">
      <c r="A521" s="2" t="s">
        <v>1020</v>
      </c>
      <c r="B521" s="2" t="s">
        <v>1024</v>
      </c>
      <c r="C521" s="2" t="s">
        <v>119</v>
      </c>
      <c r="D521" s="2" t="s">
        <v>64</v>
      </c>
      <c r="E521" s="7" t="b">
        <v>1</v>
      </c>
      <c r="F521" s="9">
        <v>5125.0</v>
      </c>
      <c r="G521" s="9">
        <v>6.392068730828023</v>
      </c>
      <c r="H521" s="9">
        <v>0.0069379084878048</v>
      </c>
      <c r="I521" s="7" t="b">
        <v>1</v>
      </c>
      <c r="J521" s="9">
        <v>0.0</v>
      </c>
      <c r="K521" s="7" t="b">
        <v>0</v>
      </c>
      <c r="L521" s="9">
        <v>357.0</v>
      </c>
      <c r="M521" s="9">
        <v>0.0697</v>
      </c>
      <c r="N521" s="2" t="s">
        <v>4304</v>
      </c>
      <c r="O521" s="2" t="s">
        <v>1920</v>
      </c>
      <c r="P521" s="9">
        <v>74.83</v>
      </c>
      <c r="Q521" s="9">
        <v>61.0</v>
      </c>
      <c r="R521" s="9">
        <v>0.04</v>
      </c>
      <c r="S521" s="9">
        <v>0.6557</v>
      </c>
      <c r="T521" s="9">
        <v>0.9199</v>
      </c>
      <c r="U521" s="2" t="s">
        <v>2724</v>
      </c>
      <c r="V521" s="9">
        <v>0.6324</v>
      </c>
      <c r="W521" s="2" t="s">
        <v>82</v>
      </c>
      <c r="X521" s="2" t="s">
        <v>495</v>
      </c>
      <c r="Y521" s="2" t="s">
        <v>2508</v>
      </c>
      <c r="Z521" s="9">
        <v>0.5257</v>
      </c>
      <c r="AA521" s="9">
        <v>0.6557</v>
      </c>
      <c r="AB521" s="9">
        <v>0.6324</v>
      </c>
      <c r="AC521" s="9">
        <v>0.1686</v>
      </c>
      <c r="AD521" s="9" t="str">
        <f t="shared" si="1"/>
        <v>#REF!</v>
      </c>
    </row>
    <row r="522" hidden="1">
      <c r="A522" s="2" t="s">
        <v>1030</v>
      </c>
      <c r="B522" s="2" t="s">
        <v>534</v>
      </c>
      <c r="C522" s="2" t="s">
        <v>119</v>
      </c>
      <c r="D522" s="2" t="s">
        <v>64</v>
      </c>
      <c r="E522" s="7" t="b">
        <v>1</v>
      </c>
      <c r="F522" s="9">
        <v>544.0</v>
      </c>
      <c r="G522" s="9">
        <v>8.883222175313453</v>
      </c>
      <c r="H522" s="9">
        <v>0.0029065303308823</v>
      </c>
      <c r="I522" s="7" t="b">
        <v>1</v>
      </c>
      <c r="J522" s="9">
        <v>0.0</v>
      </c>
      <c r="K522" s="7" t="b">
        <v>0</v>
      </c>
      <c r="L522" s="9">
        <v>149.0</v>
      </c>
      <c r="M522" s="9">
        <v>0.2739</v>
      </c>
      <c r="N522" s="2" t="s">
        <v>2782</v>
      </c>
      <c r="O522" s="2" t="s">
        <v>2655</v>
      </c>
      <c r="P522" s="9">
        <v>65.64</v>
      </c>
      <c r="Q522" s="9">
        <v>59.0</v>
      </c>
      <c r="R522" s="9">
        <v>0.0</v>
      </c>
      <c r="S522" s="9">
        <v>0.62</v>
      </c>
      <c r="T522" s="9">
        <v>1.0017</v>
      </c>
      <c r="U522" s="2" t="s">
        <v>2982</v>
      </c>
      <c r="V522" s="15"/>
      <c r="W522" s="2" t="s">
        <v>157</v>
      </c>
      <c r="X522" s="2" t="s">
        <v>182</v>
      </c>
      <c r="Y522" s="2" t="s">
        <v>3170</v>
      </c>
      <c r="Z522" s="9">
        <v>0.4883</v>
      </c>
      <c r="AA522" s="9">
        <v>0.62</v>
      </c>
      <c r="AB522" s="15"/>
      <c r="AC522" s="9">
        <v>0.8437</v>
      </c>
      <c r="AD522" s="9" t="str">
        <f t="shared" si="1"/>
        <v>#REF!</v>
      </c>
    </row>
    <row r="523" hidden="1">
      <c r="A523" s="2" t="s">
        <v>1030</v>
      </c>
      <c r="B523" s="2" t="s">
        <v>942</v>
      </c>
      <c r="C523" s="2" t="s">
        <v>119</v>
      </c>
      <c r="D523" s="2" t="s">
        <v>64</v>
      </c>
      <c r="E523" s="7" t="b">
        <v>1</v>
      </c>
      <c r="F523" s="9">
        <v>2269.0</v>
      </c>
      <c r="G523" s="9">
        <v>2.951061906923776</v>
      </c>
      <c r="H523" s="9">
        <v>0.001394500484795</v>
      </c>
      <c r="I523" s="7" t="b">
        <v>1</v>
      </c>
      <c r="J523" s="9">
        <v>0.0</v>
      </c>
      <c r="K523" s="7" t="b">
        <v>0</v>
      </c>
      <c r="L523" s="9">
        <v>11009.0</v>
      </c>
      <c r="M523" s="9">
        <v>4.8519</v>
      </c>
      <c r="N523" s="2" t="s">
        <v>4363</v>
      </c>
      <c r="O523" s="2" t="s">
        <v>3462</v>
      </c>
      <c r="P523" s="9">
        <v>49.25</v>
      </c>
      <c r="Q523" s="9">
        <v>41.0</v>
      </c>
      <c r="R523" s="9">
        <v>0.010295</v>
      </c>
      <c r="S523" s="9">
        <v>0.8228</v>
      </c>
      <c r="T523" s="9">
        <v>0.5028</v>
      </c>
      <c r="U523" s="2" t="s">
        <v>2987</v>
      </c>
      <c r="V523" s="9">
        <v>0.8375</v>
      </c>
      <c r="W523" s="2" t="s">
        <v>1884</v>
      </c>
      <c r="X523" s="2" t="s">
        <v>495</v>
      </c>
      <c r="Y523" s="2" t="s">
        <v>2889</v>
      </c>
      <c r="Z523" s="9">
        <v>0.7493</v>
      </c>
      <c r="AA523" s="9">
        <v>0.8228</v>
      </c>
      <c r="AB523" s="9">
        <v>0.8375</v>
      </c>
      <c r="AC523" s="9">
        <v>0.1594</v>
      </c>
      <c r="AD523" s="9" t="str">
        <f t="shared" si="1"/>
        <v>#REF!</v>
      </c>
    </row>
    <row r="524" hidden="1">
      <c r="A524" s="2" t="s">
        <v>1030</v>
      </c>
      <c r="B524" s="2" t="s">
        <v>997</v>
      </c>
      <c r="C524" s="2" t="s">
        <v>119</v>
      </c>
      <c r="D524" s="2" t="s">
        <v>64</v>
      </c>
      <c r="E524" s="7" t="b">
        <v>1</v>
      </c>
      <c r="F524" s="9">
        <v>268.0</v>
      </c>
      <c r="G524" s="9">
        <v>9.874005665434364</v>
      </c>
      <c r="H524" s="9">
        <v>0.0017639820895522</v>
      </c>
      <c r="I524" s="7" t="b">
        <v>1</v>
      </c>
      <c r="J524" s="9">
        <v>0.0</v>
      </c>
      <c r="K524" s="7" t="b">
        <v>0</v>
      </c>
      <c r="L524" s="9">
        <v>60.0</v>
      </c>
      <c r="M524" s="9">
        <v>0.2239</v>
      </c>
      <c r="N524" s="2" t="s">
        <v>1952</v>
      </c>
      <c r="O524" s="2" t="s">
        <v>2025</v>
      </c>
      <c r="P524" s="9">
        <v>53.15</v>
      </c>
      <c r="Q524" s="9">
        <v>45.0</v>
      </c>
      <c r="R524" s="9">
        <v>0.0</v>
      </c>
      <c r="S524" s="9">
        <v>0.4957</v>
      </c>
      <c r="T524" s="9">
        <v>0.987</v>
      </c>
      <c r="U524" s="2" t="s">
        <v>704</v>
      </c>
      <c r="V524" s="9">
        <v>0.0</v>
      </c>
      <c r="W524" s="2" t="s">
        <v>157</v>
      </c>
      <c r="X524" s="2" t="s">
        <v>1521</v>
      </c>
      <c r="Y524" s="2" t="s">
        <v>1491</v>
      </c>
      <c r="Z524" s="9">
        <v>0.386</v>
      </c>
      <c r="AA524" s="9">
        <v>0.4957</v>
      </c>
      <c r="AB524" s="9">
        <v>0.0</v>
      </c>
      <c r="AC524" s="9">
        <v>0.2571</v>
      </c>
      <c r="AD524" s="9" t="str">
        <f t="shared" si="1"/>
        <v>#REF!</v>
      </c>
    </row>
    <row r="525" hidden="1">
      <c r="A525" s="2" t="s">
        <v>1900</v>
      </c>
      <c r="B525" s="2" t="s">
        <v>997</v>
      </c>
      <c r="C525" s="2" t="s">
        <v>1439</v>
      </c>
      <c r="D525" s="2" t="s">
        <v>64</v>
      </c>
      <c r="E525" s="7" t="b">
        <v>1</v>
      </c>
      <c r="F525" s="9">
        <v>1588.0</v>
      </c>
      <c r="G525" s="9">
        <v>38.40506876771331</v>
      </c>
      <c r="H525" s="9">
        <v>0.1524460440806045</v>
      </c>
      <c r="I525" s="7" t="b">
        <v>1</v>
      </c>
      <c r="J525" s="9">
        <v>0.0</v>
      </c>
      <c r="K525" s="7" t="b">
        <v>0</v>
      </c>
      <c r="L525" s="9">
        <v>1014.0</v>
      </c>
      <c r="M525" s="9">
        <v>0.6385</v>
      </c>
      <c r="N525" s="2" t="s">
        <v>4364</v>
      </c>
      <c r="O525" s="2" t="s">
        <v>4365</v>
      </c>
      <c r="P525" s="9">
        <v>80.99</v>
      </c>
      <c r="Q525" s="9">
        <v>88.0</v>
      </c>
      <c r="R525" s="9">
        <v>0.027586</v>
      </c>
      <c r="S525" s="9">
        <v>0.8165</v>
      </c>
      <c r="T525" s="9">
        <v>0.9985</v>
      </c>
      <c r="U525" s="2" t="s">
        <v>640</v>
      </c>
      <c r="V525" s="9">
        <v>0.101</v>
      </c>
      <c r="W525" s="2" t="s">
        <v>82</v>
      </c>
      <c r="X525" s="2" t="s">
        <v>84</v>
      </c>
      <c r="Y525" s="2" t="s">
        <v>2614</v>
      </c>
      <c r="Z525" s="9">
        <v>0.661</v>
      </c>
      <c r="AA525" s="9">
        <v>0.8165</v>
      </c>
      <c r="AB525" s="9">
        <v>0.101</v>
      </c>
      <c r="AC525" s="9">
        <v>0.7067</v>
      </c>
      <c r="AD525" s="9" t="str">
        <f t="shared" si="1"/>
        <v>#REF!</v>
      </c>
    </row>
    <row r="526" hidden="1">
      <c r="A526" s="2" t="s">
        <v>2124</v>
      </c>
      <c r="B526" s="2" t="s">
        <v>503</v>
      </c>
      <c r="C526" s="2" t="s">
        <v>1439</v>
      </c>
      <c r="D526" s="2" t="s">
        <v>64</v>
      </c>
      <c r="E526" s="7" t="b">
        <v>1</v>
      </c>
      <c r="F526" s="9">
        <v>63.0</v>
      </c>
      <c r="G526" s="9">
        <v>16.5151540320751</v>
      </c>
      <c r="H526" s="9">
        <v>0.0015279746031746</v>
      </c>
      <c r="I526" s="7" t="b">
        <v>1</v>
      </c>
      <c r="J526" s="9">
        <v>0.0</v>
      </c>
      <c r="K526" s="7" t="b">
        <v>0</v>
      </c>
      <c r="L526" s="9">
        <v>55.0</v>
      </c>
      <c r="M526" s="9">
        <v>0.873</v>
      </c>
      <c r="N526" s="2" t="s">
        <v>1628</v>
      </c>
      <c r="O526" s="2" t="s">
        <v>1552</v>
      </c>
      <c r="P526" s="9">
        <v>59.62</v>
      </c>
      <c r="Q526" s="9">
        <v>50.0</v>
      </c>
      <c r="R526" s="9">
        <v>0.0</v>
      </c>
      <c r="S526" s="9">
        <v>0.3701</v>
      </c>
      <c r="T526" s="9">
        <v>0.7985</v>
      </c>
      <c r="U526" s="2" t="s">
        <v>1398</v>
      </c>
      <c r="V526" s="9">
        <v>0.7847</v>
      </c>
      <c r="W526" s="2" t="s">
        <v>134</v>
      </c>
      <c r="X526" s="2" t="s">
        <v>1466</v>
      </c>
      <c r="Y526" s="2" t="s">
        <v>2821</v>
      </c>
      <c r="Z526" s="9">
        <v>0.3047</v>
      </c>
      <c r="AA526" s="9">
        <v>0.3701</v>
      </c>
      <c r="AB526" s="9">
        <v>0.7847</v>
      </c>
      <c r="AC526" s="9">
        <v>0.1792</v>
      </c>
      <c r="AD526" s="9" t="str">
        <f t="shared" si="1"/>
        <v>#REF!</v>
      </c>
    </row>
    <row r="527" hidden="1">
      <c r="A527" s="2" t="s">
        <v>2127</v>
      </c>
      <c r="B527" s="2" t="s">
        <v>942</v>
      </c>
      <c r="C527" s="2" t="s">
        <v>1439</v>
      </c>
      <c r="D527" s="2" t="s">
        <v>64</v>
      </c>
      <c r="E527" s="7" t="b">
        <v>1</v>
      </c>
      <c r="F527" s="9">
        <v>912.0</v>
      </c>
      <c r="G527" s="9">
        <v>4.653526898057478</v>
      </c>
      <c r="H527" s="9">
        <v>0.0013959377192982</v>
      </c>
      <c r="I527" s="7" t="b">
        <v>1</v>
      </c>
      <c r="J527" s="9">
        <v>0.0</v>
      </c>
      <c r="K527" s="7" t="b">
        <v>0</v>
      </c>
      <c r="L527" s="9">
        <v>3111.0</v>
      </c>
      <c r="M527" s="9">
        <v>3.4112</v>
      </c>
      <c r="N527" s="2" t="s">
        <v>3116</v>
      </c>
      <c r="O527" s="2" t="s">
        <v>4132</v>
      </c>
      <c r="P527" s="9">
        <v>59.39</v>
      </c>
      <c r="Q527" s="9">
        <v>51.0</v>
      </c>
      <c r="R527" s="9">
        <v>0.013598</v>
      </c>
      <c r="S527" s="9">
        <v>0.7855</v>
      </c>
      <c r="T527" s="9">
        <v>0.6867</v>
      </c>
      <c r="U527" s="2" t="s">
        <v>4329</v>
      </c>
      <c r="V527" s="9">
        <v>0.8274</v>
      </c>
      <c r="W527" s="2" t="s">
        <v>2760</v>
      </c>
      <c r="X527" s="2" t="s">
        <v>517</v>
      </c>
      <c r="Y527" s="2" t="s">
        <v>2719</v>
      </c>
      <c r="Z527" s="9">
        <v>0.6885</v>
      </c>
      <c r="AA527" s="9">
        <v>0.7855</v>
      </c>
      <c r="AB527" s="9">
        <v>0.8274</v>
      </c>
      <c r="AC527" s="9">
        <v>0.1556</v>
      </c>
      <c r="AD527" s="9" t="str">
        <f t="shared" si="1"/>
        <v>#REF!</v>
      </c>
    </row>
    <row r="528" hidden="1">
      <c r="A528" s="2" t="s">
        <v>2132</v>
      </c>
      <c r="B528" s="2" t="s">
        <v>997</v>
      </c>
      <c r="C528" s="2" t="s">
        <v>4366</v>
      </c>
      <c r="D528" s="2" t="s">
        <v>64</v>
      </c>
      <c r="E528" s="7" t="b">
        <v>1</v>
      </c>
      <c r="F528" s="9">
        <v>123.0</v>
      </c>
      <c r="G528" s="9">
        <v>29.85608501256081</v>
      </c>
      <c r="H528" s="9">
        <v>0.0073956422764227</v>
      </c>
      <c r="I528" s="7" t="b">
        <v>1</v>
      </c>
      <c r="J528" s="9">
        <v>0.0</v>
      </c>
      <c r="K528" s="7" t="b">
        <v>0</v>
      </c>
      <c r="L528" s="9">
        <v>64.0</v>
      </c>
      <c r="M528" s="9">
        <v>0.5203</v>
      </c>
      <c r="N528" s="2" t="s">
        <v>1460</v>
      </c>
      <c r="O528" s="2" t="s">
        <v>1912</v>
      </c>
      <c r="P528" s="9">
        <v>79.8</v>
      </c>
      <c r="Q528" s="9">
        <v>93.5</v>
      </c>
      <c r="R528" s="9">
        <v>0.0</v>
      </c>
      <c r="S528" s="9">
        <v>0.5106</v>
      </c>
      <c r="T528" s="9">
        <v>1.0008</v>
      </c>
      <c r="U528" s="2" t="s">
        <v>4367</v>
      </c>
      <c r="V528" s="15"/>
      <c r="W528" s="2" t="s">
        <v>1657</v>
      </c>
      <c r="X528" s="2" t="s">
        <v>1455</v>
      </c>
      <c r="Y528" s="2" t="s">
        <v>1456</v>
      </c>
      <c r="Z528" s="9">
        <v>0.3997</v>
      </c>
      <c r="AA528" s="9">
        <v>0.5106</v>
      </c>
      <c r="AB528" s="15"/>
      <c r="AC528" s="9">
        <v>0.6972</v>
      </c>
      <c r="AD528" s="9" t="str">
        <f t="shared" si="1"/>
        <v>#REF!</v>
      </c>
    </row>
    <row r="529">
      <c r="A529" s="2" t="s">
        <v>1041</v>
      </c>
      <c r="B529" s="2" t="s">
        <v>306</v>
      </c>
      <c r="C529" s="13" t="s">
        <v>119</v>
      </c>
      <c r="D529" s="2" t="s">
        <v>64</v>
      </c>
      <c r="E529" s="7" t="b">
        <v>1</v>
      </c>
      <c r="F529" s="9">
        <v>178.0</v>
      </c>
      <c r="G529" s="9">
        <v>24.71704635806017</v>
      </c>
      <c r="H529" s="9">
        <v>0.0398581460674157</v>
      </c>
      <c r="I529" s="7" t="b">
        <v>1</v>
      </c>
      <c r="J529" s="9">
        <v>0.0</v>
      </c>
      <c r="K529" s="7" t="b">
        <v>0</v>
      </c>
      <c r="L529" s="9">
        <v>188.0</v>
      </c>
      <c r="M529" s="9">
        <v>1.0562</v>
      </c>
      <c r="N529" s="2" t="s">
        <v>4368</v>
      </c>
      <c r="O529" s="2" t="s">
        <v>550</v>
      </c>
      <c r="P529" s="9">
        <v>58.59</v>
      </c>
      <c r="Q529" s="9">
        <v>53.0</v>
      </c>
      <c r="R529" s="9">
        <v>0.0</v>
      </c>
      <c r="S529" s="9">
        <v>0.6903</v>
      </c>
      <c r="T529" s="9">
        <v>1.0027</v>
      </c>
      <c r="U529" s="2" t="s">
        <v>465</v>
      </c>
      <c r="V529" s="9">
        <v>0.0</v>
      </c>
      <c r="W529" s="2" t="s">
        <v>82</v>
      </c>
      <c r="X529" s="2" t="s">
        <v>495</v>
      </c>
      <c r="Y529" s="2" t="s">
        <v>1408</v>
      </c>
      <c r="Z529" s="9">
        <v>0.5346</v>
      </c>
      <c r="AA529" s="9">
        <v>0.6903</v>
      </c>
      <c r="AB529" s="9">
        <v>0.0</v>
      </c>
      <c r="AC529" s="9">
        <v>0.8695</v>
      </c>
      <c r="AD529" s="9" t="str">
        <f t="shared" si="1"/>
        <v>#REF!</v>
      </c>
    </row>
    <row r="530" hidden="1">
      <c r="A530" s="2" t="s">
        <v>2245</v>
      </c>
      <c r="B530" s="2" t="s">
        <v>997</v>
      </c>
      <c r="C530" s="2" t="s">
        <v>4366</v>
      </c>
      <c r="D530" s="2" t="s">
        <v>64</v>
      </c>
      <c r="E530" s="7" t="b">
        <v>1</v>
      </c>
      <c r="F530" s="9">
        <v>109.0</v>
      </c>
      <c r="G530" s="9">
        <v>11.67446582519828</v>
      </c>
      <c r="H530" s="9">
        <v>0.0010037130275229</v>
      </c>
      <c r="I530" s="7" t="b">
        <v>1</v>
      </c>
      <c r="J530" s="9">
        <v>0.0</v>
      </c>
      <c r="K530" s="7" t="b">
        <v>0</v>
      </c>
      <c r="L530" s="9">
        <v>21.0</v>
      </c>
      <c r="M530" s="9">
        <v>0.1927</v>
      </c>
      <c r="N530" s="2" t="s">
        <v>2016</v>
      </c>
      <c r="O530" s="2" t="s">
        <v>1462</v>
      </c>
      <c r="P530" s="9">
        <v>72.52</v>
      </c>
      <c r="Q530" s="9">
        <v>72.0</v>
      </c>
      <c r="R530" s="9">
        <v>0.0</v>
      </c>
      <c r="S530" s="9">
        <v>0.3595</v>
      </c>
      <c r="T530" s="9">
        <v>1.0002</v>
      </c>
      <c r="U530" s="2" t="s">
        <v>2338</v>
      </c>
      <c r="V530" s="15"/>
      <c r="W530" s="2" t="s">
        <v>157</v>
      </c>
      <c r="X530" s="2" t="s">
        <v>182</v>
      </c>
      <c r="Y530" s="2" t="s">
        <v>1491</v>
      </c>
      <c r="Z530" s="9">
        <v>0.2926</v>
      </c>
      <c r="AA530" s="9">
        <v>0.3595</v>
      </c>
      <c r="AB530" s="15"/>
      <c r="AC530" s="9">
        <v>0.1842</v>
      </c>
      <c r="AD530" s="9" t="str">
        <f t="shared" si="1"/>
        <v>#REF!</v>
      </c>
    </row>
    <row r="531" hidden="1">
      <c r="A531" s="2" t="s">
        <v>4369</v>
      </c>
      <c r="B531" s="2" t="s">
        <v>997</v>
      </c>
      <c r="C531" s="2" t="s">
        <v>119</v>
      </c>
      <c r="D531" s="2" t="s">
        <v>64</v>
      </c>
      <c r="E531" s="7" t="b">
        <v>1</v>
      </c>
      <c r="F531" s="9">
        <v>133.0</v>
      </c>
      <c r="G531" s="9">
        <v>47.36567067953854</v>
      </c>
      <c r="H531" s="9">
        <v>0.0200947646616541</v>
      </c>
      <c r="I531" s="7" t="b">
        <v>1</v>
      </c>
      <c r="J531" s="9">
        <v>0.0</v>
      </c>
      <c r="K531" s="7" t="b">
        <v>0</v>
      </c>
      <c r="L531" s="9">
        <v>48.0</v>
      </c>
      <c r="M531" s="9">
        <v>0.3609</v>
      </c>
      <c r="N531" s="2" t="s">
        <v>2651</v>
      </c>
      <c r="O531" s="2" t="s">
        <v>2172</v>
      </c>
      <c r="P531" s="9">
        <v>120.94</v>
      </c>
      <c r="Q531" s="9">
        <v>112.0</v>
      </c>
      <c r="R531" s="9">
        <v>0.142857</v>
      </c>
      <c r="S531" s="9">
        <v>0.4778</v>
      </c>
      <c r="T531" s="9">
        <v>1.0009</v>
      </c>
      <c r="U531" s="2" t="s">
        <v>1139</v>
      </c>
      <c r="V531" s="9">
        <v>0.1359</v>
      </c>
      <c r="W531" s="2" t="s">
        <v>157</v>
      </c>
      <c r="X531" s="2" t="s">
        <v>1466</v>
      </c>
      <c r="Y531" s="2" t="s">
        <v>3229</v>
      </c>
      <c r="Z531" s="9">
        <v>0.3721</v>
      </c>
      <c r="AA531" s="9">
        <v>0.4778</v>
      </c>
      <c r="AB531" s="9">
        <v>0.1359</v>
      </c>
      <c r="AC531" s="9">
        <v>0.2469</v>
      </c>
      <c r="AD531" s="9" t="str">
        <f t="shared" si="1"/>
        <v>#REF!</v>
      </c>
    </row>
    <row r="532" hidden="1">
      <c r="A532" s="2" t="s">
        <v>4370</v>
      </c>
      <c r="B532" s="2" t="s">
        <v>997</v>
      </c>
      <c r="C532" s="2" t="s">
        <v>119</v>
      </c>
      <c r="D532" s="2" t="s">
        <v>64</v>
      </c>
      <c r="E532" s="7" t="b">
        <v>1</v>
      </c>
      <c r="F532" s="9">
        <v>56.0</v>
      </c>
      <c r="G532" s="9">
        <v>39.9392038699897</v>
      </c>
      <c r="H532" s="9">
        <v>0.0060305089285714</v>
      </c>
      <c r="I532" s="7" t="b">
        <v>1</v>
      </c>
      <c r="J532" s="9">
        <v>0.0</v>
      </c>
      <c r="K532" s="7" t="b">
        <v>0</v>
      </c>
      <c r="L532" s="9">
        <v>19.0</v>
      </c>
      <c r="M532" s="9">
        <v>0.3393</v>
      </c>
      <c r="N532" s="2" t="s">
        <v>2619</v>
      </c>
      <c r="O532" s="2" t="s">
        <v>1552</v>
      </c>
      <c r="P532" s="9">
        <v>109.21</v>
      </c>
      <c r="Q532" s="9">
        <v>105.0</v>
      </c>
      <c r="R532" s="9">
        <v>0.4</v>
      </c>
      <c r="S532" s="9">
        <v>0.3634</v>
      </c>
      <c r="T532" s="9">
        <v>1.0003</v>
      </c>
      <c r="U532" s="2" t="s">
        <v>1540</v>
      </c>
      <c r="V532" s="9">
        <v>0.0</v>
      </c>
      <c r="W532" s="2" t="s">
        <v>157</v>
      </c>
      <c r="X532" s="2" t="s">
        <v>1466</v>
      </c>
      <c r="Y532" s="2" t="s">
        <v>3229</v>
      </c>
      <c r="Z532" s="9">
        <v>0.283</v>
      </c>
      <c r="AA532" s="9">
        <v>0.3634</v>
      </c>
      <c r="AB532" s="9">
        <v>0.0</v>
      </c>
      <c r="AC532" s="9">
        <v>0.5887</v>
      </c>
      <c r="AD532" s="9" t="str">
        <f t="shared" si="1"/>
        <v>#REF!</v>
      </c>
    </row>
    <row r="533" hidden="1">
      <c r="A533" s="2" t="s">
        <v>4371</v>
      </c>
      <c r="B533" s="2" t="s">
        <v>997</v>
      </c>
      <c r="C533" s="2" t="s">
        <v>119</v>
      </c>
      <c r="D533" s="2" t="s">
        <v>64</v>
      </c>
      <c r="E533" s="7" t="b">
        <v>1</v>
      </c>
      <c r="F533" s="9">
        <v>65.0</v>
      </c>
      <c r="G533" s="9">
        <v>39.15486871688702</v>
      </c>
      <c r="H533" s="9">
        <v>0.0067291692307692</v>
      </c>
      <c r="I533" s="7" t="b">
        <v>1</v>
      </c>
      <c r="J533" s="9">
        <v>0.0</v>
      </c>
      <c r="K533" s="7" t="b">
        <v>0</v>
      </c>
      <c r="L533" s="9">
        <v>19.0</v>
      </c>
      <c r="M533" s="9">
        <v>0.2923</v>
      </c>
      <c r="N533" s="2" t="s">
        <v>1628</v>
      </c>
      <c r="O533" s="2" t="s">
        <v>1629</v>
      </c>
      <c r="P533" s="9">
        <v>130.05</v>
      </c>
      <c r="Q533" s="9">
        <v>111.0</v>
      </c>
      <c r="R533" s="9">
        <v>0.0</v>
      </c>
      <c r="S533" s="9">
        <v>0.3634</v>
      </c>
      <c r="T533" s="9">
        <v>1.0004</v>
      </c>
      <c r="U533" s="2" t="s">
        <v>3095</v>
      </c>
      <c r="V533" s="9">
        <v>0.3577</v>
      </c>
      <c r="W533" s="2" t="s">
        <v>157</v>
      </c>
      <c r="X533" s="2" t="s">
        <v>1521</v>
      </c>
      <c r="Y533" s="2" t="s">
        <v>1491</v>
      </c>
      <c r="Z533" s="9">
        <v>0.283</v>
      </c>
      <c r="AA533" s="9">
        <v>0.3634</v>
      </c>
      <c r="AB533" s="9">
        <v>0.3577</v>
      </c>
      <c r="AC533" s="9">
        <v>0.1182</v>
      </c>
      <c r="AD533" s="9" t="str">
        <f t="shared" si="1"/>
        <v>#REF!</v>
      </c>
    </row>
    <row r="534" hidden="1">
      <c r="A534" s="2" t="s">
        <v>4372</v>
      </c>
      <c r="B534" s="2" t="s">
        <v>997</v>
      </c>
      <c r="C534" s="2" t="s">
        <v>119</v>
      </c>
      <c r="D534" s="2" t="s">
        <v>64</v>
      </c>
      <c r="E534" s="7" t="b">
        <v>1</v>
      </c>
      <c r="F534" s="9">
        <v>140.0</v>
      </c>
      <c r="G534" s="9">
        <v>41.00353890945465</v>
      </c>
      <c r="H534" s="9">
        <v>0.0158598214285714</v>
      </c>
      <c r="I534" s="7" t="b">
        <v>1</v>
      </c>
      <c r="J534" s="9">
        <v>0.0</v>
      </c>
      <c r="K534" s="7" t="b">
        <v>0</v>
      </c>
      <c r="L534" s="9">
        <v>60.0</v>
      </c>
      <c r="M534" s="9">
        <v>0.4286</v>
      </c>
      <c r="N534" s="2" t="s">
        <v>1794</v>
      </c>
      <c r="O534" s="2" t="s">
        <v>1795</v>
      </c>
      <c r="P534" s="9">
        <v>121.18</v>
      </c>
      <c r="Q534" s="9">
        <v>113.0</v>
      </c>
      <c r="R534" s="9">
        <v>0.125</v>
      </c>
      <c r="S534" s="9">
        <v>0.5054</v>
      </c>
      <c r="T534" s="9">
        <v>1.0011</v>
      </c>
      <c r="U534" s="2" t="s">
        <v>1398</v>
      </c>
      <c r="V534" s="9">
        <v>0.4193</v>
      </c>
      <c r="W534" s="2" t="s">
        <v>157</v>
      </c>
      <c r="X534" s="2" t="s">
        <v>1466</v>
      </c>
      <c r="Y534" s="2" t="s">
        <v>3229</v>
      </c>
      <c r="Z534" s="9">
        <v>0.3935</v>
      </c>
      <c r="AA534" s="9">
        <v>0.5054</v>
      </c>
      <c r="AB534" s="9">
        <v>0.4193</v>
      </c>
      <c r="AC534" s="9">
        <v>0.1675</v>
      </c>
      <c r="AD534" s="9" t="str">
        <f t="shared" si="1"/>
        <v>#REF!</v>
      </c>
    </row>
    <row r="535" hidden="1">
      <c r="A535" s="2" t="s">
        <v>2407</v>
      </c>
      <c r="B535" s="2" t="s">
        <v>1027</v>
      </c>
      <c r="C535" s="2" t="s">
        <v>1316</v>
      </c>
      <c r="D535" s="2" t="s">
        <v>64</v>
      </c>
      <c r="E535" s="7" t="b">
        <v>1</v>
      </c>
      <c r="F535" s="9">
        <v>244.0</v>
      </c>
      <c r="G535" s="9">
        <v>8.980997680752276</v>
      </c>
      <c r="H535" s="9">
        <v>0.0020499446721311</v>
      </c>
      <c r="I535" s="7" t="b">
        <v>1</v>
      </c>
      <c r="J535" s="9">
        <v>0.0</v>
      </c>
      <c r="K535" s="7" t="b">
        <v>0</v>
      </c>
      <c r="L535" s="9">
        <v>377.0</v>
      </c>
      <c r="M535" s="9">
        <v>1.5451</v>
      </c>
      <c r="N535" s="2" t="s">
        <v>548</v>
      </c>
      <c r="O535" s="2" t="s">
        <v>4373</v>
      </c>
      <c r="P535" s="9">
        <v>50.19</v>
      </c>
      <c r="Q535" s="9">
        <v>48.0</v>
      </c>
      <c r="R535" s="9">
        <v>0.038462</v>
      </c>
      <c r="S535" s="9">
        <v>0.7443</v>
      </c>
      <c r="T535" s="9">
        <v>0.9962</v>
      </c>
      <c r="U535" s="2" t="s">
        <v>1434</v>
      </c>
      <c r="V535" s="9">
        <v>0.8511</v>
      </c>
      <c r="W535" s="2" t="s">
        <v>157</v>
      </c>
      <c r="X535" s="2" t="s">
        <v>495</v>
      </c>
      <c r="Y535" s="2" t="s">
        <v>1980</v>
      </c>
      <c r="Z535" s="9">
        <v>0.5913</v>
      </c>
      <c r="AA535" s="9">
        <v>0.7443</v>
      </c>
      <c r="AB535" s="9">
        <v>0.8511</v>
      </c>
      <c r="AC535" s="9">
        <v>0.2404</v>
      </c>
      <c r="AD535" s="9" t="str">
        <f t="shared" si="1"/>
        <v>#REF!</v>
      </c>
    </row>
    <row r="536" hidden="1">
      <c r="A536" s="2" t="s">
        <v>2062</v>
      </c>
      <c r="B536" s="2" t="s">
        <v>441</v>
      </c>
      <c r="C536" s="2" t="s">
        <v>1439</v>
      </c>
      <c r="D536" s="2" t="s">
        <v>64</v>
      </c>
      <c r="E536" s="7" t="b">
        <v>1</v>
      </c>
      <c r="F536" s="9">
        <v>6350.0</v>
      </c>
      <c r="G536" s="9">
        <v>0.8306669363929001</v>
      </c>
      <c r="H536" s="9">
        <v>0.0015184686614173</v>
      </c>
      <c r="I536" s="7" t="b">
        <v>1</v>
      </c>
      <c r="J536" s="9">
        <v>0.0</v>
      </c>
      <c r="K536" s="7" t="b">
        <v>0</v>
      </c>
      <c r="L536" s="9">
        <v>260.0</v>
      </c>
      <c r="M536" s="9">
        <v>0.0409</v>
      </c>
      <c r="N536" s="2" t="s">
        <v>1715</v>
      </c>
      <c r="O536" s="2" t="s">
        <v>2866</v>
      </c>
      <c r="P536" s="9">
        <v>74.27</v>
      </c>
      <c r="Q536" s="9">
        <v>80.5</v>
      </c>
      <c r="R536" s="9">
        <v>0.0</v>
      </c>
      <c r="S536" s="9">
        <v>0.3942</v>
      </c>
      <c r="T536" s="9">
        <v>0.3407</v>
      </c>
      <c r="U536" s="2" t="s">
        <v>4326</v>
      </c>
      <c r="V536" s="9">
        <v>0.3</v>
      </c>
      <c r="W536" s="2" t="s">
        <v>1780</v>
      </c>
      <c r="X536" s="2" t="s">
        <v>4183</v>
      </c>
      <c r="Y536" s="2" t="s">
        <v>1788</v>
      </c>
      <c r="Z536" s="9">
        <v>0.3666</v>
      </c>
      <c r="AA536" s="9">
        <v>0.3942</v>
      </c>
      <c r="AB536" s="9">
        <v>0.3</v>
      </c>
      <c r="AC536" s="9">
        <v>0.1992</v>
      </c>
      <c r="AD536" s="9" t="str">
        <f t="shared" si="1"/>
        <v>#REF!</v>
      </c>
    </row>
    <row r="537" hidden="1">
      <c r="A537" s="2" t="s">
        <v>2062</v>
      </c>
      <c r="B537" s="2" t="s">
        <v>611</v>
      </c>
      <c r="C537" s="2" t="s">
        <v>1439</v>
      </c>
      <c r="D537" s="2" t="s">
        <v>64</v>
      </c>
      <c r="E537" s="7" t="b">
        <v>1</v>
      </c>
      <c r="F537" s="9">
        <v>7495.0</v>
      </c>
      <c r="G537" s="9">
        <v>2.305577820323146</v>
      </c>
      <c r="H537" s="9">
        <v>0.0031906112074716</v>
      </c>
      <c r="I537" s="7" t="b">
        <v>1</v>
      </c>
      <c r="J537" s="9">
        <v>0.0</v>
      </c>
      <c r="K537" s="7" t="b">
        <v>0</v>
      </c>
      <c r="L537" s="9">
        <v>4.0</v>
      </c>
      <c r="M537" s="9">
        <v>5.0E-4</v>
      </c>
      <c r="N537" s="2" t="s">
        <v>1664</v>
      </c>
      <c r="O537" s="2" t="s">
        <v>1665</v>
      </c>
      <c r="P537" s="9">
        <v>55.0</v>
      </c>
      <c r="Q537" s="9">
        <v>41.5</v>
      </c>
      <c r="R537" s="9">
        <v>0.0</v>
      </c>
      <c r="S537" s="9">
        <v>0.1302</v>
      </c>
      <c r="T537" s="9">
        <v>0.8182</v>
      </c>
      <c r="U537" s="2" t="s">
        <v>4374</v>
      </c>
      <c r="V537" s="15"/>
      <c r="W537" s="2" t="s">
        <v>82</v>
      </c>
      <c r="X537" s="2" t="s">
        <v>1455</v>
      </c>
      <c r="Y537" s="2" t="s">
        <v>1542</v>
      </c>
      <c r="Z537" s="9">
        <v>0.101</v>
      </c>
      <c r="AA537" s="9">
        <v>0.1302</v>
      </c>
      <c r="AB537" s="15"/>
      <c r="AC537" s="9">
        <v>0.3866</v>
      </c>
      <c r="AD537" s="9" t="str">
        <f t="shared" si="1"/>
        <v>#REF!</v>
      </c>
    </row>
    <row r="538" hidden="1">
      <c r="A538" s="2" t="s">
        <v>2062</v>
      </c>
      <c r="B538" s="2" t="s">
        <v>895</v>
      </c>
      <c r="C538" s="2" t="s">
        <v>1439</v>
      </c>
      <c r="D538" s="2" t="s">
        <v>64</v>
      </c>
      <c r="E538" s="7" t="b">
        <v>1</v>
      </c>
      <c r="F538" s="9">
        <v>50.0</v>
      </c>
      <c r="G538" s="9">
        <v>25.23317756984878</v>
      </c>
      <c r="H538" s="9">
        <v>0.0070207199999999</v>
      </c>
      <c r="I538" s="7" t="b">
        <v>1</v>
      </c>
      <c r="J538" s="9">
        <v>0.0</v>
      </c>
      <c r="K538" s="7" t="b">
        <v>0</v>
      </c>
      <c r="L538" s="9">
        <v>9.0</v>
      </c>
      <c r="M538" s="9">
        <v>0.18</v>
      </c>
      <c r="N538" s="2" t="s">
        <v>1664</v>
      </c>
      <c r="O538" s="2" t="s">
        <v>1665</v>
      </c>
      <c r="P538" s="9">
        <v>38.44</v>
      </c>
      <c r="Q538" s="9">
        <v>41.0</v>
      </c>
      <c r="R538" s="9">
        <v>0.0</v>
      </c>
      <c r="S538" s="9">
        <v>0.1475</v>
      </c>
      <c r="T538" s="9">
        <v>0.4914</v>
      </c>
      <c r="U538" s="2" t="s">
        <v>2443</v>
      </c>
      <c r="V538" s="15"/>
      <c r="W538" s="2" t="s">
        <v>82</v>
      </c>
      <c r="X538" s="2" t="s">
        <v>182</v>
      </c>
      <c r="Y538" s="2" t="s">
        <v>1498</v>
      </c>
      <c r="Z538" s="9">
        <v>0.1139</v>
      </c>
      <c r="AA538" s="9">
        <v>0.1475</v>
      </c>
      <c r="AB538" s="15"/>
      <c r="AC538" s="9">
        <v>0.0432</v>
      </c>
      <c r="AD538" s="9" t="str">
        <f t="shared" si="1"/>
        <v>#REF!</v>
      </c>
    </row>
    <row r="539" hidden="1">
      <c r="A539" s="2" t="s">
        <v>2062</v>
      </c>
      <c r="B539" s="2" t="s">
        <v>973</v>
      </c>
      <c r="C539" s="2" t="s">
        <v>1439</v>
      </c>
      <c r="D539" s="2" t="s">
        <v>64</v>
      </c>
      <c r="E539" s="7" t="b">
        <v>1</v>
      </c>
      <c r="F539" s="9">
        <v>68.0</v>
      </c>
      <c r="G539" s="9">
        <v>8.74541106294598</v>
      </c>
      <c r="H539" s="9">
        <v>0.0021410205882352</v>
      </c>
      <c r="I539" s="7" t="b">
        <v>1</v>
      </c>
      <c r="J539" s="9">
        <v>0.0</v>
      </c>
      <c r="K539" s="7" t="b">
        <v>0</v>
      </c>
      <c r="L539" s="9">
        <v>164.0</v>
      </c>
      <c r="M539" s="9">
        <v>2.4118</v>
      </c>
      <c r="N539" s="2" t="s">
        <v>4375</v>
      </c>
      <c r="O539" s="2" t="s">
        <v>402</v>
      </c>
      <c r="P539" s="9">
        <v>96.63</v>
      </c>
      <c r="Q539" s="9">
        <v>100.0</v>
      </c>
      <c r="R539" s="9">
        <v>0.058824</v>
      </c>
      <c r="S539" s="9">
        <v>0.2221</v>
      </c>
      <c r="T539" s="9">
        <v>0.1542</v>
      </c>
      <c r="U539" s="2" t="s">
        <v>2106</v>
      </c>
      <c r="V539" s="9">
        <v>0.55</v>
      </c>
      <c r="W539" s="2" t="s">
        <v>181</v>
      </c>
      <c r="X539" s="2" t="s">
        <v>517</v>
      </c>
      <c r="Y539" s="2" t="s">
        <v>1593</v>
      </c>
      <c r="Z539" s="9">
        <v>0.2775</v>
      </c>
      <c r="AA539" s="9">
        <v>0.2221</v>
      </c>
      <c r="AB539" s="9">
        <v>0.55</v>
      </c>
      <c r="AC539" s="9">
        <v>0.0581</v>
      </c>
      <c r="AD539" s="9" t="str">
        <f t="shared" si="1"/>
        <v>#REF!</v>
      </c>
    </row>
    <row r="540" hidden="1">
      <c r="A540" s="2" t="s">
        <v>2062</v>
      </c>
      <c r="B540" s="2" t="s">
        <v>1009</v>
      </c>
      <c r="C540" s="2" t="s">
        <v>1439</v>
      </c>
      <c r="D540" s="2" t="s">
        <v>64</v>
      </c>
      <c r="E540" s="7" t="b">
        <v>1</v>
      </c>
      <c r="F540" s="9">
        <v>5999.0</v>
      </c>
      <c r="G540" s="9">
        <v>1.113983327742007</v>
      </c>
      <c r="H540" s="9">
        <v>0.0019958629771628</v>
      </c>
      <c r="I540" s="7" t="b">
        <v>1</v>
      </c>
      <c r="J540" s="9">
        <v>0.0</v>
      </c>
      <c r="K540" s="7" t="b">
        <v>0</v>
      </c>
      <c r="L540" s="9">
        <v>127.0</v>
      </c>
      <c r="M540" s="9">
        <v>0.0212</v>
      </c>
      <c r="N540" s="2" t="s">
        <v>2397</v>
      </c>
      <c r="O540" s="2" t="s">
        <v>402</v>
      </c>
      <c r="P540" s="9">
        <v>72.19</v>
      </c>
      <c r="Q540" s="9">
        <v>68.0</v>
      </c>
      <c r="R540" s="9">
        <v>0.060606</v>
      </c>
      <c r="S540" s="9">
        <v>0.3907</v>
      </c>
      <c r="T540" s="9">
        <v>0.3471</v>
      </c>
      <c r="U540" s="2" t="s">
        <v>2820</v>
      </c>
      <c r="V540" s="9">
        <v>0.3905</v>
      </c>
      <c r="W540" s="2" t="s">
        <v>1821</v>
      </c>
      <c r="X540" s="2" t="s">
        <v>1521</v>
      </c>
      <c r="Y540" s="2" t="s">
        <v>3037</v>
      </c>
      <c r="Z540" s="9">
        <v>0.3302</v>
      </c>
      <c r="AA540" s="9">
        <v>0.3907</v>
      </c>
      <c r="AB540" s="9">
        <v>0.3905</v>
      </c>
      <c r="AC540" s="9">
        <v>0.045</v>
      </c>
      <c r="AD540" s="9" t="str">
        <f t="shared" si="1"/>
        <v>#REF!</v>
      </c>
    </row>
    <row r="541" hidden="1">
      <c r="A541" s="2" t="s">
        <v>2062</v>
      </c>
      <c r="B541" s="2" t="s">
        <v>1015</v>
      </c>
      <c r="C541" s="2" t="s">
        <v>1439</v>
      </c>
      <c r="D541" s="2" t="s">
        <v>64</v>
      </c>
      <c r="E541" s="7" t="b">
        <v>1</v>
      </c>
      <c r="F541" s="9">
        <v>11656.0</v>
      </c>
      <c r="G541" s="9">
        <v>1.446757670875079</v>
      </c>
      <c r="H541" s="9">
        <v>0.0058541341798215</v>
      </c>
      <c r="I541" s="7" t="b">
        <v>1</v>
      </c>
      <c r="J541" s="9">
        <v>0.0</v>
      </c>
      <c r="K541" s="7" t="b">
        <v>0</v>
      </c>
      <c r="L541" s="9">
        <v>1616.0</v>
      </c>
      <c r="M541" s="9">
        <v>0.1386</v>
      </c>
      <c r="N541" s="2" t="s">
        <v>4376</v>
      </c>
      <c r="O541" s="2" t="s">
        <v>4152</v>
      </c>
      <c r="P541" s="9">
        <v>89.79</v>
      </c>
      <c r="Q541" s="9">
        <v>100.0</v>
      </c>
      <c r="R541" s="9">
        <v>0.025547</v>
      </c>
      <c r="S541" s="9">
        <v>0.379</v>
      </c>
      <c r="T541" s="9">
        <v>0.1423</v>
      </c>
      <c r="U541" s="2" t="s">
        <v>4326</v>
      </c>
      <c r="V541" s="9">
        <v>0.1388</v>
      </c>
      <c r="W541" s="2" t="s">
        <v>1657</v>
      </c>
      <c r="X541" s="2" t="s">
        <v>1521</v>
      </c>
      <c r="Y541" s="2" t="s">
        <v>3037</v>
      </c>
      <c r="Z541" s="9">
        <v>0.4318</v>
      </c>
      <c r="AA541" s="9">
        <v>0.379</v>
      </c>
      <c r="AB541" s="9">
        <v>0.1388</v>
      </c>
      <c r="AC541" s="9">
        <v>0.1153</v>
      </c>
      <c r="AD541" s="9" t="str">
        <f t="shared" si="1"/>
        <v>#REF!</v>
      </c>
    </row>
    <row r="542" hidden="1">
      <c r="A542" s="2" t="s">
        <v>2062</v>
      </c>
      <c r="B542" s="2" t="s">
        <v>1019</v>
      </c>
      <c r="C542" s="2" t="s">
        <v>1439</v>
      </c>
      <c r="D542" s="2" t="s">
        <v>64</v>
      </c>
      <c r="E542" s="7" t="b">
        <v>1</v>
      </c>
      <c r="F542" s="9">
        <v>2502.0</v>
      </c>
      <c r="G542" s="9">
        <v>1.411709836637802</v>
      </c>
      <c r="H542" s="9">
        <v>0.0021165347721822</v>
      </c>
      <c r="I542" s="7" t="b">
        <v>1</v>
      </c>
      <c r="J542" s="9">
        <v>0.0</v>
      </c>
      <c r="K542" s="7" t="b">
        <v>0</v>
      </c>
      <c r="L542" s="9">
        <v>102.0</v>
      </c>
      <c r="M542" s="9">
        <v>0.0408</v>
      </c>
      <c r="N542" s="2" t="s">
        <v>1825</v>
      </c>
      <c r="O542" s="2" t="s">
        <v>1396</v>
      </c>
      <c r="P542" s="9">
        <v>60.07</v>
      </c>
      <c r="Q542" s="9">
        <v>54.0</v>
      </c>
      <c r="R542" s="9">
        <v>0.0</v>
      </c>
      <c r="S542" s="9">
        <v>0.4719</v>
      </c>
      <c r="T542" s="9">
        <v>0.6313</v>
      </c>
      <c r="U542" s="2" t="s">
        <v>4326</v>
      </c>
      <c r="V542" s="9">
        <v>0.7739</v>
      </c>
      <c r="W542" s="2" t="s">
        <v>3546</v>
      </c>
      <c r="X542" s="2" t="s">
        <v>1521</v>
      </c>
      <c r="Y542" s="2" t="s">
        <v>3192</v>
      </c>
      <c r="Z542" s="9">
        <v>0.3839</v>
      </c>
      <c r="AA542" s="9">
        <v>0.4719</v>
      </c>
      <c r="AB542" s="9">
        <v>0.7739</v>
      </c>
      <c r="AC542" s="9">
        <v>0.1798</v>
      </c>
      <c r="AD542" s="9" t="str">
        <f t="shared" si="1"/>
        <v>#REF!</v>
      </c>
    </row>
    <row r="543" hidden="1">
      <c r="A543" s="2" t="s">
        <v>2062</v>
      </c>
      <c r="B543" s="2" t="s">
        <v>1024</v>
      </c>
      <c r="C543" s="2" t="s">
        <v>1439</v>
      </c>
      <c r="D543" s="2" t="s">
        <v>64</v>
      </c>
      <c r="E543" s="7" t="b">
        <v>1</v>
      </c>
      <c r="F543" s="9">
        <v>111920.0</v>
      </c>
      <c r="G543" s="9">
        <v>5.104287253141428</v>
      </c>
      <c r="H543" s="9">
        <v>0.082627421908506</v>
      </c>
      <c r="I543" s="7" t="b">
        <v>1</v>
      </c>
      <c r="J543" s="9">
        <v>0.0</v>
      </c>
      <c r="K543" s="7" t="b">
        <v>0</v>
      </c>
      <c r="L543" s="9">
        <v>4792.0</v>
      </c>
      <c r="M543" s="9">
        <v>0.0428</v>
      </c>
      <c r="N543" s="2" t="s">
        <v>4377</v>
      </c>
      <c r="O543" s="2" t="s">
        <v>4378</v>
      </c>
      <c r="P543" s="9">
        <v>88.87</v>
      </c>
      <c r="Q543" s="9">
        <v>100.0</v>
      </c>
      <c r="R543" s="9">
        <v>0.03341</v>
      </c>
      <c r="S543" s="9">
        <v>0.7513</v>
      </c>
      <c r="T543" s="9">
        <v>0.4128</v>
      </c>
      <c r="U543" s="2" t="s">
        <v>4379</v>
      </c>
      <c r="V543" s="9">
        <v>0.1156</v>
      </c>
      <c r="W543" s="2" t="s">
        <v>82</v>
      </c>
      <c r="X543" s="2" t="s">
        <v>1466</v>
      </c>
      <c r="Y543" s="2" t="s">
        <v>2393</v>
      </c>
      <c r="Z543" s="9">
        <v>0.6754</v>
      </c>
      <c r="AA543" s="9">
        <v>0.7513</v>
      </c>
      <c r="AB543" s="9">
        <v>0.1156</v>
      </c>
      <c r="AC543" s="9">
        <v>0.0569</v>
      </c>
      <c r="AD543" s="9" t="str">
        <f t="shared" si="1"/>
        <v>#REF!</v>
      </c>
    </row>
    <row r="544" hidden="1">
      <c r="A544" s="2" t="s">
        <v>2062</v>
      </c>
      <c r="B544" s="2" t="s">
        <v>1031</v>
      </c>
      <c r="C544" s="2" t="s">
        <v>1439</v>
      </c>
      <c r="D544" s="2" t="s">
        <v>64</v>
      </c>
      <c r="E544" s="7" t="b">
        <v>1</v>
      </c>
      <c r="F544" s="9">
        <v>3490.0</v>
      </c>
      <c r="G544" s="9">
        <v>47.51349245033632</v>
      </c>
      <c r="H544" s="9">
        <v>1.435731449856734</v>
      </c>
      <c r="I544" s="7" t="b">
        <v>1</v>
      </c>
      <c r="J544" s="9">
        <v>0.0</v>
      </c>
      <c r="K544" s="7" t="b">
        <v>0</v>
      </c>
      <c r="L544" s="9">
        <v>2369.0</v>
      </c>
      <c r="M544" s="9">
        <v>0.6788</v>
      </c>
      <c r="N544" s="2" t="s">
        <v>4380</v>
      </c>
      <c r="O544" s="2" t="s">
        <v>4381</v>
      </c>
      <c r="P544" s="9">
        <v>86.65</v>
      </c>
      <c r="Q544" s="9">
        <v>100.0</v>
      </c>
      <c r="R544" s="9">
        <v>0.009158</v>
      </c>
      <c r="S544" s="9">
        <v>0.9184</v>
      </c>
      <c r="T544" s="9">
        <v>0.9826</v>
      </c>
      <c r="U544" s="2" t="s">
        <v>2982</v>
      </c>
      <c r="V544" s="9">
        <v>0.7603</v>
      </c>
      <c r="W544" s="2" t="s">
        <v>82</v>
      </c>
      <c r="X544" s="2" t="s">
        <v>84</v>
      </c>
      <c r="Y544" s="2" t="s">
        <v>1572</v>
      </c>
      <c r="Z544" s="9">
        <v>0.7667</v>
      </c>
      <c r="AA544" s="9">
        <v>0.9184</v>
      </c>
      <c r="AB544" s="9">
        <v>0.7603</v>
      </c>
      <c r="AC544" s="9">
        <v>0.8393</v>
      </c>
      <c r="AD544" s="9" t="str">
        <f t="shared" si="1"/>
        <v>#REF!</v>
      </c>
    </row>
    <row r="545" hidden="1">
      <c r="A545" s="2" t="s">
        <v>2062</v>
      </c>
      <c r="B545" s="2" t="s">
        <v>1053</v>
      </c>
      <c r="C545" s="2" t="s">
        <v>1439</v>
      </c>
      <c r="D545" s="2" t="s">
        <v>64</v>
      </c>
      <c r="E545" s="7" t="b">
        <v>1</v>
      </c>
      <c r="F545" s="9">
        <v>60.0</v>
      </c>
      <c r="G545" s="9">
        <v>3.673008083589044</v>
      </c>
      <c r="H545" s="9">
        <v>0.0013416333333333</v>
      </c>
      <c r="I545" s="7" t="b">
        <v>1</v>
      </c>
      <c r="J545" s="9">
        <v>0.0</v>
      </c>
      <c r="K545" s="7" t="b">
        <v>0</v>
      </c>
      <c r="L545" s="9">
        <v>179.0</v>
      </c>
      <c r="M545" s="9">
        <v>2.9833</v>
      </c>
      <c r="N545" s="2" t="s">
        <v>1450</v>
      </c>
      <c r="O545" s="2" t="s">
        <v>1985</v>
      </c>
      <c r="P545" s="9">
        <v>48.39</v>
      </c>
      <c r="Q545" s="9">
        <v>43.0</v>
      </c>
      <c r="R545" s="9">
        <v>0.028571</v>
      </c>
      <c r="S545" s="9">
        <v>0.487</v>
      </c>
      <c r="T545" s="9">
        <v>0.6105</v>
      </c>
      <c r="U545" s="2" t="s">
        <v>2987</v>
      </c>
      <c r="V545" s="9">
        <v>0.55</v>
      </c>
      <c r="W545" s="2" t="s">
        <v>1884</v>
      </c>
      <c r="X545" s="2" t="s">
        <v>517</v>
      </c>
      <c r="Y545" s="2" t="s">
        <v>1593</v>
      </c>
      <c r="Z545" s="9">
        <v>0.4028</v>
      </c>
      <c r="AA545" s="9">
        <v>0.487</v>
      </c>
      <c r="AB545" s="9">
        <v>0.55</v>
      </c>
      <c r="AC545" s="9">
        <v>0.1515</v>
      </c>
      <c r="AD545" s="9" t="str">
        <f t="shared" si="1"/>
        <v>#REF!</v>
      </c>
    </row>
    <row r="546" hidden="1">
      <c r="A546" s="2" t="s">
        <v>2212</v>
      </c>
      <c r="B546" s="2" t="s">
        <v>503</v>
      </c>
      <c r="C546" s="2" t="s">
        <v>1439</v>
      </c>
      <c r="D546" s="2" t="s">
        <v>64</v>
      </c>
      <c r="E546" s="7" t="b">
        <v>1</v>
      </c>
      <c r="F546" s="9">
        <v>113.0</v>
      </c>
      <c r="G546" s="9">
        <v>39.10783995214031</v>
      </c>
      <c r="H546" s="9">
        <v>0.0153252973451327</v>
      </c>
      <c r="I546" s="7" t="b">
        <v>1</v>
      </c>
      <c r="J546" s="9">
        <v>0.0</v>
      </c>
      <c r="K546" s="7" t="b">
        <v>0</v>
      </c>
      <c r="L546" s="9">
        <v>68.0</v>
      </c>
      <c r="M546" s="9">
        <v>0.6018</v>
      </c>
      <c r="N546" s="2" t="s">
        <v>400</v>
      </c>
      <c r="O546" s="2" t="s">
        <v>1985</v>
      </c>
      <c r="P546" s="9">
        <v>78.84</v>
      </c>
      <c r="Q546" s="9">
        <v>89.5</v>
      </c>
      <c r="R546" s="9">
        <v>0.0</v>
      </c>
      <c r="S546" s="9">
        <v>0.4903</v>
      </c>
      <c r="T546" s="9">
        <v>0.9856</v>
      </c>
      <c r="U546" s="2" t="s">
        <v>4382</v>
      </c>
      <c r="V546" s="9">
        <v>0.0432</v>
      </c>
      <c r="W546" s="2" t="s">
        <v>82</v>
      </c>
      <c r="X546" s="2" t="s">
        <v>517</v>
      </c>
      <c r="Y546" s="2" t="s">
        <v>2057</v>
      </c>
      <c r="Z546" s="9">
        <v>0.3889</v>
      </c>
      <c r="AA546" s="9">
        <v>0.4903</v>
      </c>
      <c r="AB546" s="9">
        <v>0.0432</v>
      </c>
      <c r="AC546" s="9">
        <v>0.5973</v>
      </c>
      <c r="AD546" s="9" t="str">
        <f t="shared" si="1"/>
        <v>#REF!</v>
      </c>
    </row>
    <row r="547" hidden="1">
      <c r="A547" s="2" t="s">
        <v>2212</v>
      </c>
      <c r="B547" s="2" t="s">
        <v>611</v>
      </c>
      <c r="C547" s="2" t="s">
        <v>1439</v>
      </c>
      <c r="D547" s="2" t="s">
        <v>64</v>
      </c>
      <c r="E547" s="7" t="b">
        <v>1</v>
      </c>
      <c r="F547" s="9">
        <v>3108.0</v>
      </c>
      <c r="G547" s="9">
        <v>4.124357140397383</v>
      </c>
      <c r="H547" s="9">
        <v>0.0042478957528957</v>
      </c>
      <c r="I547" s="7" t="b">
        <v>1</v>
      </c>
      <c r="J547" s="9">
        <v>0.0</v>
      </c>
      <c r="K547" s="7" t="b">
        <v>0</v>
      </c>
      <c r="L547" s="9">
        <v>2.0</v>
      </c>
      <c r="M547" s="9">
        <v>6.0E-4</v>
      </c>
      <c r="N547" s="2" t="s">
        <v>175</v>
      </c>
      <c r="O547" s="2" t="s">
        <v>177</v>
      </c>
      <c r="P547" s="9">
        <v>38.0</v>
      </c>
      <c r="Q547" s="9">
        <v>38.0</v>
      </c>
      <c r="R547" s="9">
        <v>0.0</v>
      </c>
      <c r="S547" s="9">
        <v>0.0868</v>
      </c>
      <c r="T547" s="9">
        <v>1.0</v>
      </c>
      <c r="U547" s="2" t="s">
        <v>1779</v>
      </c>
      <c r="V547" s="15"/>
      <c r="W547" s="2" t="s">
        <v>82</v>
      </c>
      <c r="X547" s="2" t="s">
        <v>1455</v>
      </c>
      <c r="Y547" s="2" t="s">
        <v>1542</v>
      </c>
      <c r="Z547" s="9">
        <v>0.0674</v>
      </c>
      <c r="AA547" s="9">
        <v>0.0868</v>
      </c>
      <c r="AB547" s="15"/>
      <c r="AC547" s="9">
        <v>0.55</v>
      </c>
      <c r="AD547" s="9" t="str">
        <f t="shared" si="1"/>
        <v>#REF!</v>
      </c>
    </row>
    <row r="548" hidden="1">
      <c r="A548" s="2" t="s">
        <v>2212</v>
      </c>
      <c r="B548" s="2" t="s">
        <v>1015</v>
      </c>
      <c r="C548" s="2" t="s">
        <v>1439</v>
      </c>
      <c r="D548" s="2" t="s">
        <v>64</v>
      </c>
      <c r="E548" s="7" t="b">
        <v>1</v>
      </c>
      <c r="F548" s="9">
        <v>3135.0</v>
      </c>
      <c r="G548" s="9">
        <v>1.320590226074737</v>
      </c>
      <c r="H548" s="9">
        <v>0.0013509920255183</v>
      </c>
      <c r="I548" s="7" t="b">
        <v>1</v>
      </c>
      <c r="J548" s="9">
        <v>0.0</v>
      </c>
      <c r="K548" s="7" t="b">
        <v>0</v>
      </c>
      <c r="L548" s="9">
        <v>624.0</v>
      </c>
      <c r="M548" s="9">
        <v>0.199</v>
      </c>
      <c r="N548" s="2" t="s">
        <v>2766</v>
      </c>
      <c r="O548" s="2" t="s">
        <v>310</v>
      </c>
      <c r="P548" s="9">
        <v>78.17</v>
      </c>
      <c r="Q548" s="9">
        <v>86.5</v>
      </c>
      <c r="R548" s="9">
        <v>0.025</v>
      </c>
      <c r="S548" s="9">
        <v>0.3203</v>
      </c>
      <c r="T548" s="9">
        <v>0.1637</v>
      </c>
      <c r="U548" s="2" t="s">
        <v>4383</v>
      </c>
      <c r="V548" s="9">
        <v>0.0831</v>
      </c>
      <c r="W548" s="2" t="s">
        <v>1193</v>
      </c>
      <c r="X548" s="2" t="s">
        <v>1521</v>
      </c>
      <c r="Y548" s="2" t="s">
        <v>3037</v>
      </c>
      <c r="Z548" s="9">
        <v>0.3866</v>
      </c>
      <c r="AA548" s="9">
        <v>0.3203</v>
      </c>
      <c r="AB548" s="9">
        <v>0.0831</v>
      </c>
      <c r="AC548" s="9">
        <v>0.1261</v>
      </c>
      <c r="AD548" s="9" t="str">
        <f t="shared" si="1"/>
        <v>#REF!</v>
      </c>
    </row>
    <row r="549" hidden="1">
      <c r="A549" s="2" t="s">
        <v>2212</v>
      </c>
      <c r="B549" s="2" t="s">
        <v>1024</v>
      </c>
      <c r="C549" s="2" t="s">
        <v>1439</v>
      </c>
      <c r="D549" s="2" t="s">
        <v>64</v>
      </c>
      <c r="E549" s="7" t="b">
        <v>1</v>
      </c>
      <c r="F549" s="9">
        <v>15228.0</v>
      </c>
      <c r="G549" s="9">
        <v>5.544974385732096</v>
      </c>
      <c r="H549" s="9">
        <v>0.0152625772261623</v>
      </c>
      <c r="I549" s="7" t="b">
        <v>1</v>
      </c>
      <c r="J549" s="9">
        <v>0.0</v>
      </c>
      <c r="K549" s="7" t="b">
        <v>0</v>
      </c>
      <c r="L549" s="9">
        <v>597.0</v>
      </c>
      <c r="M549" s="9">
        <v>0.0392</v>
      </c>
      <c r="N549" s="2" t="s">
        <v>4107</v>
      </c>
      <c r="O549" s="2" t="s">
        <v>2254</v>
      </c>
      <c r="P549" s="9">
        <v>69.3</v>
      </c>
      <c r="Q549" s="9">
        <v>65.0</v>
      </c>
      <c r="R549" s="9">
        <v>0.0</v>
      </c>
      <c r="S549" s="9">
        <v>0.6599</v>
      </c>
      <c r="T549" s="9">
        <v>0.745</v>
      </c>
      <c r="U549" s="2" t="s">
        <v>4383</v>
      </c>
      <c r="V549" s="9">
        <v>0.4318</v>
      </c>
      <c r="W549" s="2" t="s">
        <v>82</v>
      </c>
      <c r="X549" s="2" t="s">
        <v>1521</v>
      </c>
      <c r="Y549" s="2" t="s">
        <v>1498</v>
      </c>
      <c r="Z549" s="9">
        <v>0.5624</v>
      </c>
      <c r="AA549" s="9">
        <v>0.6599</v>
      </c>
      <c r="AB549" s="9">
        <v>0.4318</v>
      </c>
      <c r="AC549" s="9">
        <v>0.1267</v>
      </c>
      <c r="AD549" s="9" t="str">
        <f t="shared" si="1"/>
        <v>#REF!</v>
      </c>
    </row>
    <row r="550" hidden="1">
      <c r="A550" s="2" t="s">
        <v>4384</v>
      </c>
      <c r="B550" s="2" t="s">
        <v>997</v>
      </c>
      <c r="C550" s="2" t="s">
        <v>119</v>
      </c>
      <c r="D550" s="2" t="s">
        <v>64</v>
      </c>
      <c r="E550" s="7" t="b">
        <v>1</v>
      </c>
      <c r="F550" s="9">
        <v>217.0</v>
      </c>
      <c r="G550" s="9">
        <v>34.50617480944046</v>
      </c>
      <c r="H550" s="9">
        <v>0.0173875437788018</v>
      </c>
      <c r="I550" s="7" t="b">
        <v>1</v>
      </c>
      <c r="J550" s="9">
        <v>0.0</v>
      </c>
      <c r="K550" s="7" t="b">
        <v>0</v>
      </c>
      <c r="L550" s="9">
        <v>115.0</v>
      </c>
      <c r="M550" s="9">
        <v>0.53</v>
      </c>
      <c r="N550" s="2" t="s">
        <v>1784</v>
      </c>
      <c r="O550" s="2" t="s">
        <v>310</v>
      </c>
      <c r="P550" s="9">
        <v>83.21</v>
      </c>
      <c r="Q550" s="9">
        <v>74.0</v>
      </c>
      <c r="R550" s="9">
        <v>0.15</v>
      </c>
      <c r="S550" s="9">
        <v>0.5741</v>
      </c>
      <c r="T550" s="9">
        <v>0.9983</v>
      </c>
      <c r="U550" s="2" t="s">
        <v>1151</v>
      </c>
      <c r="V550" s="9">
        <v>0.6961</v>
      </c>
      <c r="W550" s="2" t="s">
        <v>157</v>
      </c>
      <c r="X550" s="2" t="s">
        <v>495</v>
      </c>
      <c r="Y550" s="2" t="s">
        <v>1980</v>
      </c>
      <c r="Z550" s="9">
        <v>0.4552</v>
      </c>
      <c r="AA550" s="9">
        <v>0.5741</v>
      </c>
      <c r="AB550" s="9">
        <v>0.6961</v>
      </c>
      <c r="AC550" s="9">
        <v>0.1768</v>
      </c>
      <c r="AD550" s="9" t="str">
        <f t="shared" si="1"/>
        <v>#REF!</v>
      </c>
    </row>
    <row r="551" hidden="1">
      <c r="A551" s="2" t="s">
        <v>535</v>
      </c>
      <c r="B551" s="2" t="s">
        <v>526</v>
      </c>
      <c r="C551" s="2" t="s">
        <v>119</v>
      </c>
      <c r="D551" s="2" t="s">
        <v>64</v>
      </c>
      <c r="E551" s="7" t="b">
        <v>1</v>
      </c>
      <c r="F551" s="9">
        <v>546.0</v>
      </c>
      <c r="G551" s="9">
        <v>18.03510673502304</v>
      </c>
      <c r="H551" s="9">
        <v>0.002778989010989</v>
      </c>
      <c r="I551" s="7" t="b">
        <v>1</v>
      </c>
      <c r="J551" s="9">
        <v>0.0</v>
      </c>
      <c r="K551" s="7" t="b">
        <v>0</v>
      </c>
      <c r="L551" s="9">
        <v>1827.0</v>
      </c>
      <c r="M551" s="9">
        <v>3.3462</v>
      </c>
      <c r="N551" s="2" t="s">
        <v>4385</v>
      </c>
      <c r="O551" s="2" t="s">
        <v>4335</v>
      </c>
      <c r="P551" s="9">
        <v>57.18</v>
      </c>
      <c r="Q551" s="9">
        <v>46.0</v>
      </c>
      <c r="R551" s="9">
        <v>0.022059</v>
      </c>
      <c r="S551" s="9">
        <v>0.7665</v>
      </c>
      <c r="T551" s="9">
        <v>0.8003</v>
      </c>
      <c r="U551" s="2" t="s">
        <v>1067</v>
      </c>
      <c r="V551" s="9">
        <v>0.8338</v>
      </c>
      <c r="W551" s="2" t="s">
        <v>82</v>
      </c>
      <c r="X551" s="2" t="s">
        <v>84</v>
      </c>
      <c r="Y551" s="2" t="s">
        <v>4386</v>
      </c>
      <c r="Z551" s="9">
        <v>0.6595</v>
      </c>
      <c r="AA551" s="9">
        <v>0.7665</v>
      </c>
      <c r="AB551" s="9">
        <v>0.8338</v>
      </c>
      <c r="AC551" s="9">
        <v>0.7295</v>
      </c>
      <c r="AD551" s="9" t="str">
        <f t="shared" si="1"/>
        <v>#REF!</v>
      </c>
    </row>
    <row r="552">
      <c r="A552" s="2" t="s">
        <v>535</v>
      </c>
      <c r="B552" s="2" t="s">
        <v>306</v>
      </c>
      <c r="C552" s="2" t="s">
        <v>119</v>
      </c>
      <c r="D552" s="2" t="s">
        <v>64</v>
      </c>
      <c r="E552" s="7" t="b">
        <v>1</v>
      </c>
      <c r="F552" s="9">
        <v>229.0</v>
      </c>
      <c r="G552" s="9">
        <v>20.82741562720073</v>
      </c>
      <c r="H552" s="9">
        <v>0.0363528384279476</v>
      </c>
      <c r="I552" s="7" t="b">
        <v>1</v>
      </c>
      <c r="J552" s="9">
        <v>0.0</v>
      </c>
      <c r="K552" s="7" t="b">
        <v>0</v>
      </c>
      <c r="L552" s="9">
        <v>238.0</v>
      </c>
      <c r="M552" s="9">
        <v>1.0393</v>
      </c>
      <c r="N552" s="2" t="s">
        <v>2113</v>
      </c>
      <c r="O552" s="2" t="s">
        <v>3896</v>
      </c>
      <c r="P552" s="9">
        <v>54.08</v>
      </c>
      <c r="Q552" s="9">
        <v>49.5</v>
      </c>
      <c r="R552" s="9">
        <v>0.085714</v>
      </c>
      <c r="S552" s="9">
        <v>0.722</v>
      </c>
      <c r="T552" s="9">
        <v>0.9976</v>
      </c>
      <c r="U552" s="2" t="s">
        <v>451</v>
      </c>
      <c r="V552" s="9">
        <v>0.0</v>
      </c>
      <c r="W552" s="2" t="s">
        <v>82</v>
      </c>
      <c r="X552" s="2" t="s">
        <v>237</v>
      </c>
      <c r="Y552" s="2" t="s">
        <v>1810</v>
      </c>
      <c r="Z552" s="9">
        <v>0.5583</v>
      </c>
      <c r="AA552" s="9">
        <v>0.722</v>
      </c>
      <c r="AB552" s="9">
        <v>0.0</v>
      </c>
      <c r="AC552" s="9">
        <v>0.8708</v>
      </c>
      <c r="AD552" s="9" t="str">
        <f t="shared" si="1"/>
        <v>#REF!</v>
      </c>
    </row>
    <row r="553" hidden="1">
      <c r="A553" s="2" t="s">
        <v>535</v>
      </c>
      <c r="B553" s="2" t="s">
        <v>992</v>
      </c>
      <c r="C553" s="2" t="s">
        <v>119</v>
      </c>
      <c r="D553" s="2" t="s">
        <v>64</v>
      </c>
      <c r="E553" s="7" t="b">
        <v>1</v>
      </c>
      <c r="F553" s="9">
        <v>64.0</v>
      </c>
      <c r="G553" s="9">
        <v>8.90255295633285</v>
      </c>
      <c r="H553" s="9">
        <v>0.0025240484375</v>
      </c>
      <c r="I553" s="7" t="b">
        <v>1</v>
      </c>
      <c r="J553" s="9">
        <v>0.0</v>
      </c>
      <c r="K553" s="7" t="b">
        <v>0</v>
      </c>
      <c r="L553" s="9">
        <v>208.0</v>
      </c>
      <c r="M553" s="9">
        <v>3.25</v>
      </c>
      <c r="N553" s="2" t="s">
        <v>2074</v>
      </c>
      <c r="O553" s="2" t="s">
        <v>1579</v>
      </c>
      <c r="P553" s="9">
        <v>47.15</v>
      </c>
      <c r="Q553" s="9">
        <v>44.5</v>
      </c>
      <c r="R553" s="9">
        <v>0.033333</v>
      </c>
      <c r="S553" s="9">
        <v>0.6799</v>
      </c>
      <c r="T553" s="9">
        <v>0.9974</v>
      </c>
      <c r="U553" s="2" t="s">
        <v>1741</v>
      </c>
      <c r="V553" s="9">
        <v>0.0</v>
      </c>
      <c r="W553" s="2" t="s">
        <v>82</v>
      </c>
      <c r="X553" s="2" t="s">
        <v>237</v>
      </c>
      <c r="Y553" s="2" t="s">
        <v>1810</v>
      </c>
      <c r="Z553" s="9">
        <v>0.5311</v>
      </c>
      <c r="AA553" s="9">
        <v>0.6799</v>
      </c>
      <c r="AB553" s="9">
        <v>0.0</v>
      </c>
      <c r="AC553" s="9">
        <v>0.7616</v>
      </c>
      <c r="AD553" s="9" t="str">
        <f t="shared" si="1"/>
        <v>#REF!</v>
      </c>
    </row>
    <row r="554" hidden="1">
      <c r="A554" s="2" t="s">
        <v>535</v>
      </c>
      <c r="B554" s="2" t="s">
        <v>997</v>
      </c>
      <c r="C554" s="2" t="s">
        <v>119</v>
      </c>
      <c r="D554" s="2" t="s">
        <v>64</v>
      </c>
      <c r="E554" s="7" t="b">
        <v>1</v>
      </c>
      <c r="F554" s="9">
        <v>310.0</v>
      </c>
      <c r="G554" s="9">
        <v>25.7589848879526</v>
      </c>
      <c r="H554" s="9">
        <v>0.0138385451612903</v>
      </c>
      <c r="I554" s="7" t="b">
        <v>1</v>
      </c>
      <c r="J554" s="9">
        <v>0.0</v>
      </c>
      <c r="K554" s="7" t="b">
        <v>0</v>
      </c>
      <c r="L554" s="9">
        <v>234.0</v>
      </c>
      <c r="M554" s="9">
        <v>0.7548</v>
      </c>
      <c r="N554" s="2" t="s">
        <v>509</v>
      </c>
      <c r="O554" s="2" t="s">
        <v>1598</v>
      </c>
      <c r="P554" s="9">
        <v>60.29</v>
      </c>
      <c r="Q554" s="9">
        <v>55.0</v>
      </c>
      <c r="R554" s="9">
        <v>0.037037</v>
      </c>
      <c r="S554" s="9">
        <v>0.6622</v>
      </c>
      <c r="T554" s="9">
        <v>0.9964</v>
      </c>
      <c r="U554" s="2" t="s">
        <v>1827</v>
      </c>
      <c r="V554" s="9">
        <v>0.0432</v>
      </c>
      <c r="W554" s="2" t="s">
        <v>157</v>
      </c>
      <c r="X554" s="2" t="s">
        <v>495</v>
      </c>
      <c r="Y554" s="2" t="s">
        <v>1418</v>
      </c>
      <c r="Z554" s="9">
        <v>0.5211</v>
      </c>
      <c r="AA554" s="9">
        <v>0.6622</v>
      </c>
      <c r="AB554" s="9">
        <v>0.0432</v>
      </c>
      <c r="AC554" s="9">
        <v>0.803</v>
      </c>
      <c r="AD554" s="9" t="str">
        <f t="shared" si="1"/>
        <v>#REF!</v>
      </c>
    </row>
    <row r="555" hidden="1">
      <c r="A555" s="2" t="s">
        <v>1354</v>
      </c>
      <c r="B555" s="2" t="s">
        <v>937</v>
      </c>
      <c r="C555" s="2" t="s">
        <v>119</v>
      </c>
      <c r="D555" s="2" t="s">
        <v>64</v>
      </c>
      <c r="E555" s="7" t="b">
        <v>1</v>
      </c>
      <c r="F555" s="9">
        <v>64.0</v>
      </c>
      <c r="G555" s="9">
        <v>2.099751613070832</v>
      </c>
      <c r="H555" s="9">
        <v>0.001269021875</v>
      </c>
      <c r="I555" s="7" t="b">
        <v>1</v>
      </c>
      <c r="J555" s="9">
        <v>0.0</v>
      </c>
      <c r="K555" s="7" t="b">
        <v>0</v>
      </c>
      <c r="L555" s="9">
        <v>19261.0</v>
      </c>
      <c r="M555" s="9">
        <v>300.9531</v>
      </c>
      <c r="N555" s="2" t="s">
        <v>4387</v>
      </c>
      <c r="O555" s="2" t="s">
        <v>4388</v>
      </c>
      <c r="P555" s="9">
        <v>73.52</v>
      </c>
      <c r="Q555" s="9">
        <v>65.0</v>
      </c>
      <c r="R555" s="9">
        <v>0.010096</v>
      </c>
      <c r="S555" s="9">
        <v>0.8066</v>
      </c>
      <c r="T555" s="9">
        <v>0.2426</v>
      </c>
      <c r="U555" s="2" t="s">
        <v>4389</v>
      </c>
      <c r="V555" s="9">
        <v>0.7304</v>
      </c>
      <c r="W555" s="2" t="s">
        <v>2879</v>
      </c>
      <c r="X555" s="2" t="s">
        <v>495</v>
      </c>
      <c r="Y555" s="2" t="s">
        <v>2880</v>
      </c>
      <c r="Z555" s="9">
        <v>0.7425</v>
      </c>
      <c r="AA555" s="9">
        <v>0.8066</v>
      </c>
      <c r="AB555" s="9">
        <v>0.7304</v>
      </c>
      <c r="AC555" s="9">
        <v>0.1655</v>
      </c>
      <c r="AD555" s="9" t="str">
        <f t="shared" si="1"/>
        <v>#REF!</v>
      </c>
    </row>
    <row r="556" hidden="1">
      <c r="A556" s="2" t="s">
        <v>1268</v>
      </c>
      <c r="B556" s="2" t="s">
        <v>942</v>
      </c>
      <c r="C556" s="2" t="s">
        <v>119</v>
      </c>
      <c r="D556" s="2" t="s">
        <v>64</v>
      </c>
      <c r="E556" s="7" t="b">
        <v>1</v>
      </c>
      <c r="F556" s="9">
        <v>2048.0</v>
      </c>
      <c r="G556" s="9">
        <v>3.607030638284486</v>
      </c>
      <c r="H556" s="9">
        <v>0.0018793108886718</v>
      </c>
      <c r="I556" s="7" t="b">
        <v>1</v>
      </c>
      <c r="J556" s="9">
        <v>0.0</v>
      </c>
      <c r="K556" s="7" t="b">
        <v>0</v>
      </c>
      <c r="L556" s="9">
        <v>6069.0</v>
      </c>
      <c r="M556" s="9">
        <v>2.9634</v>
      </c>
      <c r="N556" s="2" t="s">
        <v>4390</v>
      </c>
      <c r="O556" s="2" t="s">
        <v>3580</v>
      </c>
      <c r="P556" s="9">
        <v>53.93</v>
      </c>
      <c r="Q556" s="9">
        <v>44.0</v>
      </c>
      <c r="R556" s="9">
        <v>0.007833</v>
      </c>
      <c r="S556" s="9">
        <v>0.8041</v>
      </c>
      <c r="T556" s="9">
        <v>0.5624</v>
      </c>
      <c r="U556" s="2" t="s">
        <v>4263</v>
      </c>
      <c r="V556" s="9">
        <v>0.4723</v>
      </c>
      <c r="W556" s="2" t="s">
        <v>2760</v>
      </c>
      <c r="X556" s="2" t="s">
        <v>1466</v>
      </c>
      <c r="Y556" s="2" t="s">
        <v>4391</v>
      </c>
      <c r="Z556" s="9">
        <v>0.7234</v>
      </c>
      <c r="AA556" s="9">
        <v>0.8041</v>
      </c>
      <c r="AB556" s="9">
        <v>0.4723</v>
      </c>
      <c r="AC556" s="9">
        <v>0.177</v>
      </c>
      <c r="AD556" s="9" t="str">
        <f t="shared" si="1"/>
        <v>#REF!</v>
      </c>
    </row>
    <row r="557" hidden="1">
      <c r="A557" s="2" t="s">
        <v>1272</v>
      </c>
      <c r="B557" s="2" t="s">
        <v>942</v>
      </c>
      <c r="C557" s="2" t="s">
        <v>119</v>
      </c>
      <c r="D557" s="2" t="s">
        <v>64</v>
      </c>
      <c r="E557" s="7" t="b">
        <v>1</v>
      </c>
      <c r="F557" s="9">
        <v>793.0</v>
      </c>
      <c r="G557" s="9">
        <v>5.726213197261048</v>
      </c>
      <c r="H557" s="9">
        <v>0.0018376136191677</v>
      </c>
      <c r="I557" s="7" t="b">
        <v>1</v>
      </c>
      <c r="J557" s="9">
        <v>0.0</v>
      </c>
      <c r="K557" s="7" t="b">
        <v>0</v>
      </c>
      <c r="L557" s="9">
        <v>2468.0</v>
      </c>
      <c r="M557" s="9">
        <v>3.1122</v>
      </c>
      <c r="N557" s="2" t="s">
        <v>3093</v>
      </c>
      <c r="O557" s="2" t="s">
        <v>4392</v>
      </c>
      <c r="P557" s="9">
        <v>55.04</v>
      </c>
      <c r="Q557" s="9">
        <v>45.0</v>
      </c>
      <c r="R557" s="9">
        <v>0.011278</v>
      </c>
      <c r="S557" s="9">
        <v>0.7816</v>
      </c>
      <c r="T557" s="9">
        <v>0.7375</v>
      </c>
      <c r="U557" s="2" t="s">
        <v>2602</v>
      </c>
      <c r="V557" s="9">
        <v>0.8544</v>
      </c>
      <c r="W557" s="2" t="s">
        <v>1884</v>
      </c>
      <c r="X557" s="2" t="s">
        <v>517</v>
      </c>
      <c r="Y557" s="2" t="s">
        <v>2719</v>
      </c>
      <c r="Z557" s="9">
        <v>0.6799</v>
      </c>
      <c r="AA557" s="9">
        <v>0.7816</v>
      </c>
      <c r="AB557" s="9">
        <v>0.8544</v>
      </c>
      <c r="AC557" s="9">
        <v>0.167</v>
      </c>
      <c r="AD557" s="9" t="str">
        <f t="shared" si="1"/>
        <v>#REF!</v>
      </c>
    </row>
    <row r="558" hidden="1">
      <c r="A558" s="2" t="s">
        <v>1272</v>
      </c>
      <c r="B558" s="2" t="s">
        <v>997</v>
      </c>
      <c r="C558" s="2" t="s">
        <v>119</v>
      </c>
      <c r="D558" s="2" t="s">
        <v>64</v>
      </c>
      <c r="E558" s="7" t="b">
        <v>1</v>
      </c>
      <c r="F558" s="9">
        <v>385.0</v>
      </c>
      <c r="G558" s="9">
        <v>41.25710871509816</v>
      </c>
      <c r="H558" s="9">
        <v>0.0438817558441558</v>
      </c>
      <c r="I558" s="7" t="b">
        <v>1</v>
      </c>
      <c r="J558" s="9">
        <v>0.0</v>
      </c>
      <c r="K558" s="7" t="b">
        <v>0</v>
      </c>
      <c r="L558" s="9">
        <v>263.0</v>
      </c>
      <c r="M558" s="9">
        <v>0.6831</v>
      </c>
      <c r="N558" s="2" t="s">
        <v>1525</v>
      </c>
      <c r="O558" s="2" t="s">
        <v>1920</v>
      </c>
      <c r="P558" s="9">
        <v>79.9</v>
      </c>
      <c r="Q558" s="9">
        <v>75.0</v>
      </c>
      <c r="R558" s="9">
        <v>0.030303</v>
      </c>
      <c r="S558" s="9">
        <v>0.6723</v>
      </c>
      <c r="T558" s="9">
        <v>1.0031</v>
      </c>
      <c r="U558" s="2" t="s">
        <v>1165</v>
      </c>
      <c r="V558" s="9">
        <v>0.718</v>
      </c>
      <c r="W558" s="2" t="s">
        <v>157</v>
      </c>
      <c r="X558" s="2" t="s">
        <v>237</v>
      </c>
      <c r="Y558" s="2" t="s">
        <v>1703</v>
      </c>
      <c r="Z558" s="9">
        <v>0.5355</v>
      </c>
      <c r="AA558" s="9">
        <v>0.6723</v>
      </c>
      <c r="AB558" s="9">
        <v>0.718</v>
      </c>
      <c r="AC558" s="9">
        <v>0.686</v>
      </c>
      <c r="AD558" s="9" t="str">
        <f t="shared" si="1"/>
        <v>#REF!</v>
      </c>
    </row>
    <row r="559" hidden="1">
      <c r="A559" s="2" t="s">
        <v>1277</v>
      </c>
      <c r="B559" s="2" t="s">
        <v>937</v>
      </c>
      <c r="C559" s="2" t="s">
        <v>119</v>
      </c>
      <c r="D559" s="2" t="s">
        <v>64</v>
      </c>
      <c r="E559" s="7" t="b">
        <v>1</v>
      </c>
      <c r="F559" s="9">
        <v>174.0</v>
      </c>
      <c r="G559" s="9">
        <v>1.578143022429213</v>
      </c>
      <c r="H559" s="9">
        <v>0.0019376724137931</v>
      </c>
      <c r="I559" s="7" t="b">
        <v>1</v>
      </c>
      <c r="J559" s="9">
        <v>0.0</v>
      </c>
      <c r="K559" s="7" t="b">
        <v>0</v>
      </c>
      <c r="L559" s="9">
        <v>95050.0</v>
      </c>
      <c r="M559" s="9">
        <v>546.2644</v>
      </c>
      <c r="N559" s="2" t="s">
        <v>4393</v>
      </c>
      <c r="O559" s="2" t="s">
        <v>4394</v>
      </c>
      <c r="P559" s="9">
        <v>62.3</v>
      </c>
      <c r="Q559" s="9">
        <v>57.0</v>
      </c>
      <c r="R559" s="9">
        <v>0.010717</v>
      </c>
      <c r="S559" s="9">
        <v>0.843</v>
      </c>
      <c r="T559" s="9">
        <v>0.1678</v>
      </c>
      <c r="U559" s="2" t="s">
        <v>2285</v>
      </c>
      <c r="V559" s="9">
        <v>0.7726</v>
      </c>
      <c r="W559" s="2" t="s">
        <v>2879</v>
      </c>
      <c r="X559" s="2" t="s">
        <v>495</v>
      </c>
      <c r="Y559" s="2" t="s">
        <v>2880</v>
      </c>
      <c r="Z559" s="9">
        <v>0.7939</v>
      </c>
      <c r="AA559" s="9">
        <v>0.843</v>
      </c>
      <c r="AB559" s="9">
        <v>0.7726</v>
      </c>
      <c r="AC559" s="9">
        <v>0.1477</v>
      </c>
      <c r="AD559" s="9" t="str">
        <f t="shared" si="1"/>
        <v>#REF!</v>
      </c>
    </row>
    <row r="560" hidden="1">
      <c r="A560" s="2" t="s">
        <v>1277</v>
      </c>
      <c r="B560" s="2" t="s">
        <v>997</v>
      </c>
      <c r="C560" s="2" t="s">
        <v>119</v>
      </c>
      <c r="D560" s="2" t="s">
        <v>64</v>
      </c>
      <c r="E560" s="7" t="b">
        <v>1</v>
      </c>
      <c r="F560" s="9">
        <v>1098.0</v>
      </c>
      <c r="G560" s="9">
        <v>23.5167062284888</v>
      </c>
      <c r="H560" s="9">
        <v>0.0403991366120218</v>
      </c>
      <c r="I560" s="7" t="b">
        <v>1</v>
      </c>
      <c r="J560" s="9">
        <v>0.0</v>
      </c>
      <c r="K560" s="7" t="b">
        <v>0</v>
      </c>
      <c r="L560" s="9">
        <v>676.0</v>
      </c>
      <c r="M560" s="9">
        <v>0.6157</v>
      </c>
      <c r="N560" s="2" t="s">
        <v>4395</v>
      </c>
      <c r="O560" s="2" t="s">
        <v>4396</v>
      </c>
      <c r="P560" s="9">
        <v>64.65</v>
      </c>
      <c r="Q560" s="9">
        <v>62.0</v>
      </c>
      <c r="R560" s="9">
        <v>0.037037</v>
      </c>
      <c r="S560" s="9">
        <v>0.7828</v>
      </c>
      <c r="T560" s="9">
        <v>0.9941</v>
      </c>
      <c r="U560" s="2" t="s">
        <v>3270</v>
      </c>
      <c r="V560" s="9">
        <v>0.7593</v>
      </c>
      <c r="W560" s="2" t="s">
        <v>82</v>
      </c>
      <c r="X560" s="2" t="s">
        <v>84</v>
      </c>
      <c r="Y560" s="2" t="s">
        <v>2340</v>
      </c>
      <c r="Z560" s="9">
        <v>0.6236</v>
      </c>
      <c r="AA560" s="9">
        <v>0.7828</v>
      </c>
      <c r="AB560" s="9">
        <v>0.7593</v>
      </c>
      <c r="AC560" s="9">
        <v>0.7625</v>
      </c>
      <c r="AD560" s="9" t="str">
        <f t="shared" si="1"/>
        <v>#REF!</v>
      </c>
    </row>
    <row r="561" hidden="1">
      <c r="A561" s="2" t="s">
        <v>4397</v>
      </c>
      <c r="B561" s="2" t="s">
        <v>997</v>
      </c>
      <c r="C561" s="2" t="s">
        <v>119</v>
      </c>
      <c r="D561" s="2" t="s">
        <v>64</v>
      </c>
      <c r="E561" s="7" t="b">
        <v>1</v>
      </c>
      <c r="F561" s="9">
        <v>52.0</v>
      </c>
      <c r="G561" s="9">
        <v>29.28345764034726</v>
      </c>
      <c r="H561" s="9">
        <v>0.0030118038461538</v>
      </c>
      <c r="I561" s="7" t="b">
        <v>1</v>
      </c>
      <c r="J561" s="9">
        <v>0.0</v>
      </c>
      <c r="K561" s="7" t="b">
        <v>0</v>
      </c>
      <c r="L561" s="9">
        <v>17.0</v>
      </c>
      <c r="M561" s="9">
        <v>0.3269</v>
      </c>
      <c r="N561" s="2" t="s">
        <v>2016</v>
      </c>
      <c r="O561" s="2" t="s">
        <v>1462</v>
      </c>
      <c r="P561" s="9">
        <v>94.24</v>
      </c>
      <c r="Q561" s="9">
        <v>81.0</v>
      </c>
      <c r="R561" s="9">
        <v>0.0</v>
      </c>
      <c r="S561" s="9">
        <v>0.3497</v>
      </c>
      <c r="T561" s="9">
        <v>1.0002</v>
      </c>
      <c r="U561" s="2" t="s">
        <v>2641</v>
      </c>
      <c r="V561" s="9">
        <v>0.0</v>
      </c>
      <c r="W561" s="2" t="s">
        <v>157</v>
      </c>
      <c r="X561" s="2" t="s">
        <v>1521</v>
      </c>
      <c r="Y561" s="2" t="s">
        <v>1491</v>
      </c>
      <c r="Z561" s="9">
        <v>0.2723</v>
      </c>
      <c r="AA561" s="9">
        <v>0.3497</v>
      </c>
      <c r="AB561" s="9">
        <v>0.0</v>
      </c>
      <c r="AC561" s="9">
        <v>0.2748</v>
      </c>
      <c r="AD561" s="9" t="str">
        <f t="shared" si="1"/>
        <v>#REF!</v>
      </c>
    </row>
    <row r="562" hidden="1">
      <c r="A562" s="2" t="s">
        <v>1085</v>
      </c>
      <c r="B562" s="2" t="s">
        <v>942</v>
      </c>
      <c r="C562" s="2" t="s">
        <v>119</v>
      </c>
      <c r="D562" s="2" t="s">
        <v>64</v>
      </c>
      <c r="E562" s="7" t="b">
        <v>1</v>
      </c>
      <c r="F562" s="9">
        <v>2984.0</v>
      </c>
      <c r="G562" s="9">
        <v>2.570582992312392</v>
      </c>
      <c r="H562" s="9">
        <v>0.0013904615616621</v>
      </c>
      <c r="I562" s="7" t="b">
        <v>1</v>
      </c>
      <c r="J562" s="9">
        <v>0.0</v>
      </c>
      <c r="K562" s="7" t="b">
        <v>0</v>
      </c>
      <c r="L562" s="9">
        <v>4060.0</v>
      </c>
      <c r="M562" s="9">
        <v>1.3606</v>
      </c>
      <c r="N562" s="2" t="s">
        <v>4398</v>
      </c>
      <c r="O562" s="2" t="s">
        <v>4399</v>
      </c>
      <c r="P562" s="9">
        <v>52.54</v>
      </c>
      <c r="Q562" s="9">
        <v>42.0</v>
      </c>
      <c r="R562" s="9">
        <v>0.01391</v>
      </c>
      <c r="S562" s="9">
        <v>0.762</v>
      </c>
      <c r="T562" s="9">
        <v>0.5803</v>
      </c>
      <c r="U562" s="2" t="s">
        <v>2718</v>
      </c>
      <c r="V562" s="9">
        <v>0.4884</v>
      </c>
      <c r="W562" s="2" t="s">
        <v>1875</v>
      </c>
      <c r="X562" s="2" t="s">
        <v>1466</v>
      </c>
      <c r="Y562" s="2" t="s">
        <v>4109</v>
      </c>
      <c r="Z562" s="9">
        <v>0.6734</v>
      </c>
      <c r="AA562" s="9">
        <v>0.762</v>
      </c>
      <c r="AB562" s="9">
        <v>0.4884</v>
      </c>
      <c r="AC562" s="9">
        <v>0.157</v>
      </c>
      <c r="AD562" s="9" t="str">
        <f t="shared" si="1"/>
        <v>#REF!</v>
      </c>
    </row>
    <row r="563" hidden="1">
      <c r="A563" s="2" t="s">
        <v>1085</v>
      </c>
      <c r="B563" s="2" t="s">
        <v>997</v>
      </c>
      <c r="C563" s="2" t="s">
        <v>119</v>
      </c>
      <c r="D563" s="2" t="s">
        <v>64</v>
      </c>
      <c r="E563" s="7" t="b">
        <v>1</v>
      </c>
      <c r="F563" s="9">
        <v>103.0</v>
      </c>
      <c r="G563" s="9">
        <v>12.05331967790807</v>
      </c>
      <c r="H563" s="9">
        <v>0.0010111137864077</v>
      </c>
      <c r="I563" s="7" t="b">
        <v>1</v>
      </c>
      <c r="J563" s="9">
        <v>0.0</v>
      </c>
      <c r="K563" s="7" t="b">
        <v>0</v>
      </c>
      <c r="L563" s="9">
        <v>18.0</v>
      </c>
      <c r="M563" s="9">
        <v>0.1748</v>
      </c>
      <c r="N563" s="2" t="s">
        <v>2474</v>
      </c>
      <c r="O563" s="2" t="s">
        <v>2475</v>
      </c>
      <c r="P563" s="9">
        <v>81.06</v>
      </c>
      <c r="Q563" s="9">
        <v>73.0</v>
      </c>
      <c r="R563" s="9">
        <v>0.0</v>
      </c>
      <c r="S563" s="9">
        <v>0.3567</v>
      </c>
      <c r="T563" s="9">
        <v>1.0002</v>
      </c>
      <c r="U563" s="2" t="s">
        <v>4400</v>
      </c>
      <c r="V563" s="15"/>
      <c r="W563" s="2" t="s">
        <v>1193</v>
      </c>
      <c r="X563" s="2" t="s">
        <v>182</v>
      </c>
      <c r="Y563" s="2" t="s">
        <v>1491</v>
      </c>
      <c r="Z563" s="9">
        <v>0.2778</v>
      </c>
      <c r="AA563" s="9">
        <v>0.3567</v>
      </c>
      <c r="AB563" s="15"/>
      <c r="AC563" s="9">
        <v>0.6642</v>
      </c>
      <c r="AD563" s="9" t="str">
        <f t="shared" si="1"/>
        <v>#REF!</v>
      </c>
    </row>
    <row r="564" hidden="1">
      <c r="A564" s="2" t="s">
        <v>1070</v>
      </c>
      <c r="B564" s="2" t="s">
        <v>942</v>
      </c>
      <c r="C564" s="2" t="s">
        <v>119</v>
      </c>
      <c r="D564" s="2" t="s">
        <v>64</v>
      </c>
      <c r="E564" s="7" t="b">
        <v>1</v>
      </c>
      <c r="F564" s="9">
        <v>2415.0</v>
      </c>
      <c r="G564" s="9">
        <v>2.633747275044768</v>
      </c>
      <c r="H564" s="9">
        <v>0.0011824079917184</v>
      </c>
      <c r="I564" s="7" t="b">
        <v>1</v>
      </c>
      <c r="J564" s="9">
        <v>0.0</v>
      </c>
      <c r="K564" s="7" t="b">
        <v>0</v>
      </c>
      <c r="L564" s="9">
        <v>3332.0</v>
      </c>
      <c r="M564" s="9">
        <v>1.3797</v>
      </c>
      <c r="N564" s="2" t="s">
        <v>2673</v>
      </c>
      <c r="O564" s="2" t="s">
        <v>4401</v>
      </c>
      <c r="P564" s="9">
        <v>61.39</v>
      </c>
      <c r="Q564" s="9">
        <v>51.0</v>
      </c>
      <c r="R564" s="9">
        <v>0.012534</v>
      </c>
      <c r="S564" s="9">
        <v>0.7598</v>
      </c>
      <c r="T564" s="9">
        <v>0.5293</v>
      </c>
      <c r="U564" s="2" t="s">
        <v>4389</v>
      </c>
      <c r="V564" s="9">
        <v>0.797</v>
      </c>
      <c r="W564" s="2" t="s">
        <v>1771</v>
      </c>
      <c r="X564" s="2" t="s">
        <v>517</v>
      </c>
      <c r="Y564" s="2" t="s">
        <v>2719</v>
      </c>
      <c r="Z564" s="9">
        <v>0.667</v>
      </c>
      <c r="AA564" s="9">
        <v>0.7598</v>
      </c>
      <c r="AB564" s="9">
        <v>0.797</v>
      </c>
      <c r="AC564" s="9">
        <v>0.1479</v>
      </c>
      <c r="AD564" s="9" t="str">
        <f t="shared" si="1"/>
        <v>#REF!</v>
      </c>
    </row>
    <row r="565" hidden="1">
      <c r="A565" s="2" t="s">
        <v>4402</v>
      </c>
      <c r="B565" s="2" t="s">
        <v>997</v>
      </c>
      <c r="C565" s="2" t="s">
        <v>119</v>
      </c>
      <c r="D565" s="2" t="s">
        <v>64</v>
      </c>
      <c r="E565" s="7" t="b">
        <v>1</v>
      </c>
      <c r="F565" s="9">
        <v>56.0</v>
      </c>
      <c r="G565" s="9">
        <v>26.1372085180688</v>
      </c>
      <c r="H565" s="9">
        <v>0.00258454625</v>
      </c>
      <c r="I565" s="7" t="b">
        <v>1</v>
      </c>
      <c r="J565" s="9">
        <v>0.0</v>
      </c>
      <c r="K565" s="7" t="b">
        <v>0</v>
      </c>
      <c r="L565" s="9">
        <v>17.0</v>
      </c>
      <c r="M565" s="9">
        <v>0.3036</v>
      </c>
      <c r="N565" s="2" t="s">
        <v>2474</v>
      </c>
      <c r="O565" s="2" t="s">
        <v>2475</v>
      </c>
      <c r="P565" s="9">
        <v>87.29</v>
      </c>
      <c r="Q565" s="9">
        <v>79.0</v>
      </c>
      <c r="R565" s="9">
        <v>0.0</v>
      </c>
      <c r="S565" s="9">
        <v>0.3497</v>
      </c>
      <c r="T565" s="9">
        <v>1.0002</v>
      </c>
      <c r="U565" s="2" t="s">
        <v>2656</v>
      </c>
      <c r="V565" s="15"/>
      <c r="W565" s="2" t="s">
        <v>157</v>
      </c>
      <c r="X565" s="2" t="s">
        <v>182</v>
      </c>
      <c r="Y565" s="2" t="s">
        <v>1491</v>
      </c>
      <c r="Z565" s="9">
        <v>0.2723</v>
      </c>
      <c r="AA565" s="9">
        <v>0.3497</v>
      </c>
      <c r="AB565" s="15"/>
      <c r="AC565" s="9">
        <v>0.6892</v>
      </c>
      <c r="AD565" s="9" t="str">
        <f t="shared" si="1"/>
        <v>#REF!</v>
      </c>
    </row>
    <row r="566" hidden="1">
      <c r="A566" s="2" t="s">
        <v>4403</v>
      </c>
      <c r="B566" s="2" t="s">
        <v>997</v>
      </c>
      <c r="C566" s="2" t="s">
        <v>119</v>
      </c>
      <c r="D566" s="2" t="s">
        <v>64</v>
      </c>
      <c r="E566" s="7" t="b">
        <v>1</v>
      </c>
      <c r="F566" s="9">
        <v>61.0</v>
      </c>
      <c r="G566" s="9">
        <v>31.92147200752576</v>
      </c>
      <c r="H566" s="9">
        <v>0.0041982557377049</v>
      </c>
      <c r="I566" s="7" t="b">
        <v>1</v>
      </c>
      <c r="J566" s="9">
        <v>0.0</v>
      </c>
      <c r="K566" s="7" t="b">
        <v>0</v>
      </c>
      <c r="L566" s="9">
        <v>24.0</v>
      </c>
      <c r="M566" s="9">
        <v>0.3934</v>
      </c>
      <c r="N566" s="2" t="s">
        <v>1628</v>
      </c>
      <c r="O566" s="2" t="s">
        <v>1629</v>
      </c>
      <c r="P566" s="9">
        <v>94.5</v>
      </c>
      <c r="Q566" s="9">
        <v>88.5</v>
      </c>
      <c r="R566" s="9">
        <v>0.0</v>
      </c>
      <c r="S566" s="9">
        <v>0.3923</v>
      </c>
      <c r="T566" s="9">
        <v>1.0003</v>
      </c>
      <c r="U566" s="2" t="s">
        <v>1165</v>
      </c>
      <c r="V566" s="9">
        <v>0.8193</v>
      </c>
      <c r="W566" s="2" t="s">
        <v>157</v>
      </c>
      <c r="X566" s="2" t="s">
        <v>1466</v>
      </c>
      <c r="Y566" s="2" t="s">
        <v>3164</v>
      </c>
      <c r="Z566" s="9">
        <v>0.3054</v>
      </c>
      <c r="AA566" s="9">
        <v>0.3923</v>
      </c>
      <c r="AB566" s="9">
        <v>0.8193</v>
      </c>
      <c r="AC566" s="9">
        <v>0.3987</v>
      </c>
      <c r="AD566" s="9" t="str">
        <f t="shared" si="1"/>
        <v>#REF!</v>
      </c>
    </row>
    <row r="567" hidden="1">
      <c r="A567" s="2" t="s">
        <v>4404</v>
      </c>
      <c r="B567" s="2" t="s">
        <v>997</v>
      </c>
      <c r="C567" s="2" t="s">
        <v>119</v>
      </c>
      <c r="D567" s="2" t="s">
        <v>64</v>
      </c>
      <c r="E567" s="7" t="b">
        <v>1</v>
      </c>
      <c r="F567" s="9">
        <v>50.0</v>
      </c>
      <c r="G567" s="9">
        <v>25.67051580093685</v>
      </c>
      <c r="H567" s="9">
        <v>0.0022262616</v>
      </c>
      <c r="I567" s="7" t="b">
        <v>1</v>
      </c>
      <c r="J567" s="9">
        <v>0.0</v>
      </c>
      <c r="K567" s="7" t="b">
        <v>0</v>
      </c>
      <c r="L567" s="9">
        <v>13.0</v>
      </c>
      <c r="M567" s="9">
        <v>0.26</v>
      </c>
      <c r="N567" s="2" t="s">
        <v>1495</v>
      </c>
      <c r="O567" s="2" t="s">
        <v>2552</v>
      </c>
      <c r="P567" s="9">
        <v>89.54</v>
      </c>
      <c r="Q567" s="9">
        <v>87.0</v>
      </c>
      <c r="R567" s="9">
        <v>0.0</v>
      </c>
      <c r="S567" s="9">
        <v>0.3166</v>
      </c>
      <c r="T567" s="9">
        <v>1.0002</v>
      </c>
      <c r="U567" s="2" t="s">
        <v>2973</v>
      </c>
      <c r="V567" s="9">
        <v>0.3</v>
      </c>
      <c r="W567" s="2" t="s">
        <v>157</v>
      </c>
      <c r="X567" s="2" t="s">
        <v>1521</v>
      </c>
      <c r="Y567" s="2" t="s">
        <v>1491</v>
      </c>
      <c r="Z567" s="9">
        <v>0.2465</v>
      </c>
      <c r="AA567" s="9">
        <v>0.3166</v>
      </c>
      <c r="AB567" s="9">
        <v>0.3</v>
      </c>
      <c r="AC567" s="9">
        <v>0.149</v>
      </c>
      <c r="AD567" s="9" t="str">
        <f t="shared" si="1"/>
        <v>#REF!</v>
      </c>
    </row>
    <row r="568" hidden="1">
      <c r="A568" s="2" t="s">
        <v>4405</v>
      </c>
      <c r="B568" s="2" t="s">
        <v>997</v>
      </c>
      <c r="C568" s="2" t="s">
        <v>119</v>
      </c>
      <c r="D568" s="2" t="s">
        <v>64</v>
      </c>
      <c r="E568" s="7" t="b">
        <v>1</v>
      </c>
      <c r="F568" s="9">
        <v>62.0</v>
      </c>
      <c r="G568" s="9">
        <v>28.03167950809036</v>
      </c>
      <c r="H568" s="9">
        <v>0.0032918951612903</v>
      </c>
      <c r="I568" s="7" t="b">
        <v>1</v>
      </c>
      <c r="J568" s="9">
        <v>0.0</v>
      </c>
      <c r="K568" s="7" t="b">
        <v>0</v>
      </c>
      <c r="L568" s="9">
        <v>24.0</v>
      </c>
      <c r="M568" s="9">
        <v>0.3871</v>
      </c>
      <c r="N568" s="2" t="s">
        <v>1628</v>
      </c>
      <c r="O568" s="2" t="s">
        <v>1629</v>
      </c>
      <c r="P568" s="9">
        <v>97.46</v>
      </c>
      <c r="Q568" s="9">
        <v>91.0</v>
      </c>
      <c r="R568" s="9">
        <v>0.0</v>
      </c>
      <c r="S568" s="9">
        <v>0.3923</v>
      </c>
      <c r="T568" s="9">
        <v>1.0003</v>
      </c>
      <c r="U568" s="2" t="s">
        <v>2858</v>
      </c>
      <c r="V568" s="9">
        <v>0.1153</v>
      </c>
      <c r="W568" s="2" t="s">
        <v>157</v>
      </c>
      <c r="X568" s="2" t="s">
        <v>1521</v>
      </c>
      <c r="Y568" s="2" t="s">
        <v>1491</v>
      </c>
      <c r="Z568" s="9">
        <v>0.3054</v>
      </c>
      <c r="AA568" s="9">
        <v>0.3923</v>
      </c>
      <c r="AB568" s="9">
        <v>0.1153</v>
      </c>
      <c r="AC568" s="9">
        <v>0.011</v>
      </c>
      <c r="AD568" s="9" t="str">
        <f t="shared" si="1"/>
        <v>#REF!</v>
      </c>
    </row>
    <row r="569" hidden="1">
      <c r="A569" s="2" t="s">
        <v>1543</v>
      </c>
      <c r="B569" s="2" t="s">
        <v>942</v>
      </c>
      <c r="C569" s="2" t="s">
        <v>119</v>
      </c>
      <c r="D569" s="2" t="s">
        <v>64</v>
      </c>
      <c r="E569" s="7" t="b">
        <v>1</v>
      </c>
      <c r="F569" s="9">
        <v>1030.0</v>
      </c>
      <c r="G569" s="9">
        <v>4.278141576233071</v>
      </c>
      <c r="H569" s="9">
        <v>0.0013323883495145</v>
      </c>
      <c r="I569" s="7" t="b">
        <v>1</v>
      </c>
      <c r="J569" s="9">
        <v>0.0</v>
      </c>
      <c r="K569" s="7" t="b">
        <v>0</v>
      </c>
      <c r="L569" s="9">
        <v>4546.0</v>
      </c>
      <c r="M569" s="9">
        <v>4.4136</v>
      </c>
      <c r="N569" s="2" t="s">
        <v>3128</v>
      </c>
      <c r="O569" s="2" t="s">
        <v>4406</v>
      </c>
      <c r="P569" s="9">
        <v>51.25</v>
      </c>
      <c r="Q569" s="9">
        <v>40.0</v>
      </c>
      <c r="R569" s="9">
        <v>0.012632</v>
      </c>
      <c r="S569" s="9">
        <v>0.779</v>
      </c>
      <c r="T569" s="9">
        <v>0.6246</v>
      </c>
      <c r="U569" s="2" t="s">
        <v>2106</v>
      </c>
      <c r="V569" s="9">
        <v>0.8365</v>
      </c>
      <c r="W569" s="2" t="s">
        <v>1591</v>
      </c>
      <c r="X569" s="2" t="s">
        <v>517</v>
      </c>
      <c r="Y569" s="2" t="s">
        <v>2719</v>
      </c>
      <c r="Z569" s="9">
        <v>0.6914</v>
      </c>
      <c r="AA569" s="9">
        <v>0.779</v>
      </c>
      <c r="AB569" s="9">
        <v>0.8365</v>
      </c>
      <c r="AC569" s="9">
        <v>0.1484</v>
      </c>
      <c r="AD569" s="9" t="str">
        <f t="shared" si="1"/>
        <v>#REF!</v>
      </c>
    </row>
    <row r="570" hidden="1">
      <c r="A570" s="2" t="s">
        <v>2140</v>
      </c>
      <c r="B570" s="2" t="s">
        <v>441</v>
      </c>
      <c r="C570" s="2" t="s">
        <v>1439</v>
      </c>
      <c r="D570" s="2" t="s">
        <v>64</v>
      </c>
      <c r="E570" s="7" t="b">
        <v>1</v>
      </c>
      <c r="F570" s="9">
        <v>4456.0</v>
      </c>
      <c r="G570" s="9">
        <v>1.21982240241971</v>
      </c>
      <c r="H570" s="9">
        <v>0.0022957614452423</v>
      </c>
      <c r="I570" s="7" t="b">
        <v>1</v>
      </c>
      <c r="J570" s="9">
        <v>0.0</v>
      </c>
      <c r="K570" s="7" t="b">
        <v>0</v>
      </c>
      <c r="L570" s="9">
        <v>311.0</v>
      </c>
      <c r="M570" s="9">
        <v>0.0698</v>
      </c>
      <c r="N570" s="2" t="s">
        <v>1768</v>
      </c>
      <c r="O570" s="2" t="s">
        <v>2683</v>
      </c>
      <c r="P570" s="9">
        <v>60.41</v>
      </c>
      <c r="Q570" s="9">
        <v>49.0</v>
      </c>
      <c r="R570" s="9">
        <v>0.013889</v>
      </c>
      <c r="S570" s="9">
        <v>0.5667</v>
      </c>
      <c r="T570" s="9">
        <v>0.6507</v>
      </c>
      <c r="U570" s="2" t="s">
        <v>1520</v>
      </c>
      <c r="V570" s="9">
        <v>0.7785</v>
      </c>
      <c r="W570" s="2" t="s">
        <v>1884</v>
      </c>
      <c r="X570" s="2" t="s">
        <v>1466</v>
      </c>
      <c r="Y570" s="2" t="s">
        <v>4310</v>
      </c>
      <c r="Z570" s="9">
        <v>0.4925</v>
      </c>
      <c r="AA570" s="9">
        <v>0.5667</v>
      </c>
      <c r="AB570" s="9">
        <v>0.7785</v>
      </c>
      <c r="AC570" s="9">
        <v>0.1346</v>
      </c>
      <c r="AD570" s="9" t="str">
        <f t="shared" si="1"/>
        <v>#REF!</v>
      </c>
    </row>
    <row r="571" hidden="1">
      <c r="A571" s="2" t="s">
        <v>2140</v>
      </c>
      <c r="B571" s="2" t="s">
        <v>611</v>
      </c>
      <c r="C571" s="2" t="s">
        <v>1439</v>
      </c>
      <c r="D571" s="2" t="s">
        <v>64</v>
      </c>
      <c r="E571" s="7" t="b">
        <v>1</v>
      </c>
      <c r="F571" s="9">
        <v>3916.0</v>
      </c>
      <c r="G571" s="9">
        <v>2.545936269587093</v>
      </c>
      <c r="H571" s="9">
        <v>0.0020447340143003</v>
      </c>
      <c r="I571" s="7" t="b">
        <v>1</v>
      </c>
      <c r="J571" s="9">
        <v>0.0</v>
      </c>
      <c r="K571" s="7" t="b">
        <v>0</v>
      </c>
      <c r="L571" s="9">
        <v>9.0</v>
      </c>
      <c r="M571" s="9">
        <v>0.0023</v>
      </c>
      <c r="N571" s="2" t="s">
        <v>1664</v>
      </c>
      <c r="O571" s="2" t="s">
        <v>1665</v>
      </c>
      <c r="P571" s="9">
        <v>37.0</v>
      </c>
      <c r="Q571" s="9">
        <v>35.0</v>
      </c>
      <c r="R571" s="9">
        <v>0.0</v>
      </c>
      <c r="S571" s="9">
        <v>0.2099</v>
      </c>
      <c r="T571" s="9">
        <v>0.7958</v>
      </c>
      <c r="U571" s="2" t="s">
        <v>4407</v>
      </c>
      <c r="V571" s="15"/>
      <c r="W571" s="2" t="s">
        <v>82</v>
      </c>
      <c r="X571" s="2" t="s">
        <v>182</v>
      </c>
      <c r="Y571" s="2" t="s">
        <v>1498</v>
      </c>
      <c r="Z571" s="9">
        <v>0.1836</v>
      </c>
      <c r="AA571" s="9">
        <v>0.2099</v>
      </c>
      <c r="AB571" s="15"/>
      <c r="AC571" s="9">
        <v>0.0</v>
      </c>
      <c r="AD571" s="9" t="str">
        <f t="shared" si="1"/>
        <v>#REF!</v>
      </c>
    </row>
    <row r="572" hidden="1">
      <c r="A572" s="2" t="s">
        <v>2140</v>
      </c>
      <c r="B572" s="2" t="s">
        <v>973</v>
      </c>
      <c r="C572" s="2" t="s">
        <v>1439</v>
      </c>
      <c r="D572" s="2" t="s">
        <v>64</v>
      </c>
      <c r="E572" s="7" t="b">
        <v>1</v>
      </c>
      <c r="F572" s="9">
        <v>259.0</v>
      </c>
      <c r="G572" s="9">
        <v>3.717378966393751</v>
      </c>
      <c r="H572" s="9">
        <v>0.0014711833976833</v>
      </c>
      <c r="I572" s="7" t="b">
        <v>1</v>
      </c>
      <c r="J572" s="9">
        <v>0.0</v>
      </c>
      <c r="K572" s="7" t="b">
        <v>0</v>
      </c>
      <c r="L572" s="9">
        <v>149.0</v>
      </c>
      <c r="M572" s="9">
        <v>0.5753</v>
      </c>
      <c r="N572" s="2" t="s">
        <v>4408</v>
      </c>
      <c r="O572" s="2" t="s">
        <v>1629</v>
      </c>
      <c r="P572" s="9">
        <v>91.17</v>
      </c>
      <c r="Q572" s="9">
        <v>100.0</v>
      </c>
      <c r="R572" s="9">
        <v>0.0</v>
      </c>
      <c r="S572" s="9">
        <v>0.122</v>
      </c>
      <c r="T572" s="9">
        <v>0.1126</v>
      </c>
      <c r="U572" s="2" t="s">
        <v>1520</v>
      </c>
      <c r="V572" s="9">
        <v>0.0</v>
      </c>
      <c r="W572" s="2" t="s">
        <v>1657</v>
      </c>
      <c r="X572" s="2" t="s">
        <v>1521</v>
      </c>
      <c r="Y572" s="2" t="s">
        <v>1536</v>
      </c>
      <c r="Z572" s="9">
        <v>0.2308</v>
      </c>
      <c r="AA572" s="9">
        <v>0.122</v>
      </c>
      <c r="AB572" s="9">
        <v>0.0</v>
      </c>
      <c r="AC572" s="9">
        <v>0.1353</v>
      </c>
      <c r="AD572" s="9" t="str">
        <f t="shared" si="1"/>
        <v>#REF!</v>
      </c>
    </row>
    <row r="573" hidden="1">
      <c r="A573" s="2" t="s">
        <v>2140</v>
      </c>
      <c r="B573" s="2" t="s">
        <v>997</v>
      </c>
      <c r="C573" s="2" t="s">
        <v>1439</v>
      </c>
      <c r="D573" s="2" t="s">
        <v>64</v>
      </c>
      <c r="E573" s="7" t="b">
        <v>1</v>
      </c>
      <c r="F573" s="9">
        <v>16003.0</v>
      </c>
      <c r="G573" s="9">
        <v>3.119052178167766</v>
      </c>
      <c r="H573" s="9">
        <v>0.0102032275823283</v>
      </c>
      <c r="I573" s="7" t="b">
        <v>1</v>
      </c>
      <c r="J573" s="9">
        <v>0.0</v>
      </c>
      <c r="K573" s="7" t="b">
        <v>0</v>
      </c>
      <c r="L573" s="9">
        <v>137.0</v>
      </c>
      <c r="M573" s="9">
        <v>0.0086</v>
      </c>
      <c r="N573" s="2" t="s">
        <v>2958</v>
      </c>
      <c r="O573" s="2" t="s">
        <v>1539</v>
      </c>
      <c r="P573" s="9">
        <v>46.39</v>
      </c>
      <c r="Q573" s="9">
        <v>41.0</v>
      </c>
      <c r="R573" s="9">
        <v>0.037037</v>
      </c>
      <c r="S573" s="9">
        <v>0.5275</v>
      </c>
      <c r="T573" s="9">
        <v>0.7482</v>
      </c>
      <c r="U573" s="2" t="s">
        <v>4409</v>
      </c>
      <c r="V573" s="9">
        <v>0.0</v>
      </c>
      <c r="W573" s="2" t="s">
        <v>1193</v>
      </c>
      <c r="X573" s="2" t="s">
        <v>1521</v>
      </c>
      <c r="Y573" s="2" t="s">
        <v>3037</v>
      </c>
      <c r="Z573" s="9">
        <v>0.4309</v>
      </c>
      <c r="AA573" s="9">
        <v>0.5275</v>
      </c>
      <c r="AB573" s="9">
        <v>0.0</v>
      </c>
      <c r="AC573" s="9">
        <v>0.1483</v>
      </c>
      <c r="AD573" s="9" t="str">
        <f t="shared" si="1"/>
        <v>#REF!</v>
      </c>
    </row>
    <row r="574" hidden="1">
      <c r="A574" s="2" t="s">
        <v>2140</v>
      </c>
      <c r="B574" s="2" t="s">
        <v>1004</v>
      </c>
      <c r="C574" s="2" t="s">
        <v>1439</v>
      </c>
      <c r="D574" s="2" t="s">
        <v>64</v>
      </c>
      <c r="E574" s="7" t="b">
        <v>1</v>
      </c>
      <c r="F574" s="9">
        <v>5368.0</v>
      </c>
      <c r="G574" s="9">
        <v>1.701648575610933</v>
      </c>
      <c r="H574" s="9">
        <v>0.0013563543219076</v>
      </c>
      <c r="I574" s="7" t="b">
        <v>1</v>
      </c>
      <c r="J574" s="9">
        <v>0.0</v>
      </c>
      <c r="K574" s="7" t="b">
        <v>0</v>
      </c>
      <c r="L574" s="9">
        <v>146.0</v>
      </c>
      <c r="M574" s="9">
        <v>0.0272</v>
      </c>
      <c r="N574" s="2" t="s">
        <v>2282</v>
      </c>
      <c r="O574" s="2" t="s">
        <v>402</v>
      </c>
      <c r="P574" s="9">
        <v>57.16</v>
      </c>
      <c r="Q574" s="9">
        <v>45.0</v>
      </c>
      <c r="R574" s="9">
        <v>0.0</v>
      </c>
      <c r="S574" s="9">
        <v>0.4364</v>
      </c>
      <c r="T574" s="9">
        <v>0.5828</v>
      </c>
      <c r="U574" s="2" t="s">
        <v>2878</v>
      </c>
      <c r="V574" s="9">
        <v>0.3519</v>
      </c>
      <c r="W574" s="2" t="s">
        <v>82</v>
      </c>
      <c r="X574" s="2" t="s">
        <v>1521</v>
      </c>
      <c r="Y574" s="2" t="s">
        <v>1498</v>
      </c>
      <c r="Z574" s="9">
        <v>0.3961</v>
      </c>
      <c r="AA574" s="9">
        <v>0.4364</v>
      </c>
      <c r="AB574" s="9">
        <v>0.3519</v>
      </c>
      <c r="AC574" s="9">
        <v>0.1286</v>
      </c>
      <c r="AD574" s="9" t="str">
        <f t="shared" si="1"/>
        <v>#REF!</v>
      </c>
    </row>
    <row r="575" hidden="1">
      <c r="A575" s="2" t="s">
        <v>2140</v>
      </c>
      <c r="B575" s="2" t="s">
        <v>1009</v>
      </c>
      <c r="C575" s="2" t="s">
        <v>1439</v>
      </c>
      <c r="D575" s="2" t="s">
        <v>64</v>
      </c>
      <c r="E575" s="7" t="b">
        <v>1</v>
      </c>
      <c r="F575" s="9">
        <v>7062.0</v>
      </c>
      <c r="G575" s="9">
        <v>0.8500230037057587</v>
      </c>
      <c r="H575" s="9">
        <v>0.0013698906825261</v>
      </c>
      <c r="I575" s="7" t="b">
        <v>1</v>
      </c>
      <c r="J575" s="9">
        <v>0.0</v>
      </c>
      <c r="K575" s="7" t="b">
        <v>0</v>
      </c>
      <c r="L575" s="9">
        <v>428.0</v>
      </c>
      <c r="M575" s="9">
        <v>0.0606</v>
      </c>
      <c r="N575" s="2" t="s">
        <v>4410</v>
      </c>
      <c r="O575" s="2" t="s">
        <v>1943</v>
      </c>
      <c r="P575" s="9">
        <v>65.28</v>
      </c>
      <c r="Q575" s="9">
        <v>58.0</v>
      </c>
      <c r="R575" s="9">
        <v>0.014925</v>
      </c>
      <c r="S575" s="9">
        <v>0.4121</v>
      </c>
      <c r="T575" s="9">
        <v>0.2785</v>
      </c>
      <c r="U575" s="2" t="s">
        <v>3783</v>
      </c>
      <c r="V575" s="9">
        <v>0.7197</v>
      </c>
      <c r="W575" s="2" t="s">
        <v>198</v>
      </c>
      <c r="X575" s="2" t="s">
        <v>1466</v>
      </c>
      <c r="Y575" s="2" t="s">
        <v>4310</v>
      </c>
      <c r="Z575" s="9">
        <v>0.409</v>
      </c>
      <c r="AA575" s="9">
        <v>0.4121</v>
      </c>
      <c r="AB575" s="9">
        <v>0.7197</v>
      </c>
      <c r="AC575" s="9">
        <v>0.1529</v>
      </c>
      <c r="AD575" s="9" t="str">
        <f t="shared" si="1"/>
        <v>#REF!</v>
      </c>
    </row>
    <row r="576" hidden="1">
      <c r="A576" s="2" t="s">
        <v>2140</v>
      </c>
      <c r="B576" s="2" t="s">
        <v>1015</v>
      </c>
      <c r="C576" s="2" t="s">
        <v>1439</v>
      </c>
      <c r="D576" s="2" t="s">
        <v>64</v>
      </c>
      <c r="E576" s="7" t="b">
        <v>1</v>
      </c>
      <c r="F576" s="9">
        <v>16783.0</v>
      </c>
      <c r="G576" s="9">
        <v>1.752313081129371</v>
      </c>
      <c r="H576" s="9">
        <v>0.0120229875469224</v>
      </c>
      <c r="I576" s="7" t="b">
        <v>1</v>
      </c>
      <c r="J576" s="9">
        <v>0.0</v>
      </c>
      <c r="K576" s="7" t="b">
        <v>0</v>
      </c>
      <c r="L576" s="9">
        <v>12628.0</v>
      </c>
      <c r="M576" s="9">
        <v>0.7524</v>
      </c>
      <c r="N576" s="2" t="s">
        <v>4411</v>
      </c>
      <c r="O576" s="2" t="s">
        <v>4412</v>
      </c>
      <c r="P576" s="9">
        <v>79.97</v>
      </c>
      <c r="Q576" s="9">
        <v>93.0</v>
      </c>
      <c r="R576" s="9">
        <v>0.027573</v>
      </c>
      <c r="S576" s="9">
        <v>0.8149</v>
      </c>
      <c r="T576" s="9">
        <v>0.2888</v>
      </c>
      <c r="U576" s="2" t="s">
        <v>2106</v>
      </c>
      <c r="V576" s="9">
        <v>0.2148</v>
      </c>
      <c r="W576" s="2" t="s">
        <v>134</v>
      </c>
      <c r="X576" s="2" t="s">
        <v>517</v>
      </c>
      <c r="Y576" s="2" t="s">
        <v>4413</v>
      </c>
      <c r="Z576" s="9">
        <v>0.7453</v>
      </c>
      <c r="AA576" s="9">
        <v>0.8149</v>
      </c>
      <c r="AB576" s="9">
        <v>0.2148</v>
      </c>
      <c r="AC576" s="9">
        <v>0.1484</v>
      </c>
      <c r="AD576" s="9" t="str">
        <f t="shared" si="1"/>
        <v>#REF!</v>
      </c>
    </row>
    <row r="577" hidden="1">
      <c r="A577" s="2" t="s">
        <v>2140</v>
      </c>
      <c r="B577" s="2" t="s">
        <v>1019</v>
      </c>
      <c r="C577" s="2" t="s">
        <v>1439</v>
      </c>
      <c r="D577" s="2" t="s">
        <v>64</v>
      </c>
      <c r="E577" s="7" t="b">
        <v>1</v>
      </c>
      <c r="F577" s="9">
        <v>3009.0</v>
      </c>
      <c r="G577" s="9">
        <v>1.45648163549341</v>
      </c>
      <c r="H577" s="9">
        <v>0.0027011046859421</v>
      </c>
      <c r="I577" s="7" t="b">
        <v>1</v>
      </c>
      <c r="J577" s="9">
        <v>0.0</v>
      </c>
      <c r="K577" s="7" t="b">
        <v>0</v>
      </c>
      <c r="L577" s="9">
        <v>277.0</v>
      </c>
      <c r="M577" s="9">
        <v>0.0921</v>
      </c>
      <c r="N577" s="2" t="s">
        <v>3256</v>
      </c>
      <c r="O577" s="2" t="s">
        <v>2655</v>
      </c>
      <c r="P577" s="9">
        <v>58.7</v>
      </c>
      <c r="Q577" s="9">
        <v>49.0</v>
      </c>
      <c r="R577" s="9">
        <v>0.031746</v>
      </c>
      <c r="S577" s="9">
        <v>0.565</v>
      </c>
      <c r="T577" s="9">
        <v>0.6208</v>
      </c>
      <c r="U577" s="2" t="s">
        <v>2198</v>
      </c>
      <c r="V577" s="9">
        <v>0.3396</v>
      </c>
      <c r="W577" s="2" t="s">
        <v>2152</v>
      </c>
      <c r="X577" s="2" t="s">
        <v>1521</v>
      </c>
      <c r="Y577" s="2" t="s">
        <v>3037</v>
      </c>
      <c r="Z577" s="9">
        <v>0.4788</v>
      </c>
      <c r="AA577" s="9">
        <v>0.565</v>
      </c>
      <c r="AB577" s="9">
        <v>0.3396</v>
      </c>
      <c r="AC577" s="9">
        <v>0.1659</v>
      </c>
      <c r="AD577" s="9" t="str">
        <f t="shared" si="1"/>
        <v>#REF!</v>
      </c>
    </row>
    <row r="578" hidden="1">
      <c r="A578" s="2" t="s">
        <v>2140</v>
      </c>
      <c r="B578" s="2" t="s">
        <v>1024</v>
      </c>
      <c r="C578" s="2" t="s">
        <v>1439</v>
      </c>
      <c r="D578" s="2" t="s">
        <v>64</v>
      </c>
      <c r="E578" s="7" t="b">
        <v>1</v>
      </c>
      <c r="F578" s="9">
        <v>121728.0</v>
      </c>
      <c r="G578" s="9">
        <v>7.126024469849907</v>
      </c>
      <c r="H578" s="9">
        <v>0.1622626937105678</v>
      </c>
      <c r="I578" s="7" t="b">
        <v>1</v>
      </c>
      <c r="J578" s="9">
        <v>0.0</v>
      </c>
      <c r="K578" s="7" t="b">
        <v>0</v>
      </c>
      <c r="L578" s="9">
        <v>17027.0</v>
      </c>
      <c r="M578" s="9">
        <v>0.1399</v>
      </c>
      <c r="N578" s="2" t="s">
        <v>4414</v>
      </c>
      <c r="O578" s="2" t="s">
        <v>4415</v>
      </c>
      <c r="P578" s="9">
        <v>69.32</v>
      </c>
      <c r="Q578" s="9">
        <v>65.0</v>
      </c>
      <c r="R578" s="9">
        <v>0.03271</v>
      </c>
      <c r="S578" s="9">
        <v>0.921</v>
      </c>
      <c r="T578" s="9">
        <v>0.7141</v>
      </c>
      <c r="U578" s="2" t="s">
        <v>3644</v>
      </c>
      <c r="V578" s="9">
        <v>0.7034</v>
      </c>
      <c r="W578" s="2" t="s">
        <v>157</v>
      </c>
      <c r="X578" s="2" t="s">
        <v>517</v>
      </c>
      <c r="Y578" s="2" t="s">
        <v>1503</v>
      </c>
      <c r="Z578" s="9">
        <v>0.8473</v>
      </c>
      <c r="AA578" s="9">
        <v>0.921</v>
      </c>
      <c r="AB578" s="9">
        <v>0.7034</v>
      </c>
      <c r="AC578" s="9">
        <v>0.1851</v>
      </c>
      <c r="AD578" s="9" t="str">
        <f t="shared" si="1"/>
        <v>#REF!</v>
      </c>
    </row>
    <row r="579" hidden="1">
      <c r="A579" s="2" t="s">
        <v>2140</v>
      </c>
      <c r="B579" s="2" t="s">
        <v>1040</v>
      </c>
      <c r="C579" s="2" t="s">
        <v>1439</v>
      </c>
      <c r="D579" s="2" t="s">
        <v>64</v>
      </c>
      <c r="E579" s="7" t="b">
        <v>1</v>
      </c>
      <c r="F579" s="9">
        <v>454.0</v>
      </c>
      <c r="G579" s="9">
        <v>3.409117371079979</v>
      </c>
      <c r="H579" s="9">
        <v>0.0012764966960352</v>
      </c>
      <c r="I579" s="7" t="b">
        <v>1</v>
      </c>
      <c r="J579" s="9">
        <v>0.0</v>
      </c>
      <c r="K579" s="7" t="b">
        <v>0</v>
      </c>
      <c r="L579" s="9">
        <v>1293.0</v>
      </c>
      <c r="M579" s="9">
        <v>2.848</v>
      </c>
      <c r="N579" s="2" t="s">
        <v>4416</v>
      </c>
      <c r="O579" s="2" t="s">
        <v>4373</v>
      </c>
      <c r="P579" s="9">
        <v>48.17</v>
      </c>
      <c r="Q579" s="9">
        <v>41.0</v>
      </c>
      <c r="R579" s="9">
        <v>0.009662</v>
      </c>
      <c r="S579" s="9">
        <v>0.708</v>
      </c>
      <c r="T579" s="9">
        <v>0.7265</v>
      </c>
      <c r="U579" s="2" t="s">
        <v>4409</v>
      </c>
      <c r="V579" s="9">
        <v>0.8365</v>
      </c>
      <c r="W579" s="2" t="s">
        <v>134</v>
      </c>
      <c r="X579" s="2" t="s">
        <v>1466</v>
      </c>
      <c r="Y579" s="2" t="s">
        <v>2821</v>
      </c>
      <c r="Z579" s="9">
        <v>0.6035</v>
      </c>
      <c r="AA579" s="9">
        <v>0.708</v>
      </c>
      <c r="AB579" s="9">
        <v>0.8365</v>
      </c>
      <c r="AC579" s="9">
        <v>0.16</v>
      </c>
      <c r="AD579" s="9" t="str">
        <f t="shared" si="1"/>
        <v>#REF!</v>
      </c>
    </row>
    <row r="580" hidden="1">
      <c r="A580" s="2" t="s">
        <v>2140</v>
      </c>
      <c r="B580" s="2" t="s">
        <v>1053</v>
      </c>
      <c r="C580" s="2" t="s">
        <v>1439</v>
      </c>
      <c r="D580" s="2" t="s">
        <v>64</v>
      </c>
      <c r="E580" s="7" t="b">
        <v>1</v>
      </c>
      <c r="F580" s="9">
        <v>64.0</v>
      </c>
      <c r="G580" s="9">
        <v>3.72570930268695</v>
      </c>
      <c r="H580" s="9">
        <v>0.001472253125</v>
      </c>
      <c r="I580" s="7" t="b">
        <v>1</v>
      </c>
      <c r="J580" s="9">
        <v>0.0</v>
      </c>
      <c r="K580" s="7" t="b">
        <v>0</v>
      </c>
      <c r="L580" s="9">
        <v>1311.0</v>
      </c>
      <c r="M580" s="9">
        <v>20.4844</v>
      </c>
      <c r="N580" s="2" t="s">
        <v>4417</v>
      </c>
      <c r="O580" s="2" t="s">
        <v>4418</v>
      </c>
      <c r="P580" s="9">
        <v>48.39</v>
      </c>
      <c r="Q580" s="9">
        <v>41.0</v>
      </c>
      <c r="R580" s="9">
        <v>0.009501</v>
      </c>
      <c r="S580" s="9">
        <v>0.7065</v>
      </c>
      <c r="T580" s="9">
        <v>0.6983</v>
      </c>
      <c r="U580" s="2" t="s">
        <v>4383</v>
      </c>
      <c r="V580" s="9">
        <v>0.849</v>
      </c>
      <c r="W580" s="2" t="s">
        <v>3191</v>
      </c>
      <c r="X580" s="2" t="s">
        <v>1466</v>
      </c>
      <c r="Y580" s="2" t="s">
        <v>2821</v>
      </c>
      <c r="Z580" s="9">
        <v>0.6019</v>
      </c>
      <c r="AA580" s="9">
        <v>0.7065</v>
      </c>
      <c r="AB580" s="9">
        <v>0.849</v>
      </c>
      <c r="AC580" s="9">
        <v>0.1565</v>
      </c>
      <c r="AD580" s="9" t="str">
        <f t="shared" si="1"/>
        <v>#REF!</v>
      </c>
    </row>
    <row r="581">
      <c r="A581" s="2" t="s">
        <v>428</v>
      </c>
      <c r="B581" s="2" t="s">
        <v>306</v>
      </c>
      <c r="C581" s="2" t="s">
        <v>119</v>
      </c>
      <c r="D581" s="2" t="s">
        <v>64</v>
      </c>
      <c r="E581" s="7" t="b">
        <v>1</v>
      </c>
      <c r="F581" s="9">
        <v>274.0</v>
      </c>
      <c r="G581" s="9">
        <v>25.62430540823086</v>
      </c>
      <c r="H581" s="9">
        <v>0.0653350948905109</v>
      </c>
      <c r="I581" s="7" t="b">
        <v>1</v>
      </c>
      <c r="J581" s="9">
        <v>0.0</v>
      </c>
      <c r="K581" s="7" t="b">
        <v>0</v>
      </c>
      <c r="L581" s="9">
        <v>297.0</v>
      </c>
      <c r="M581" s="9">
        <v>1.0839</v>
      </c>
      <c r="N581" s="2" t="s">
        <v>2628</v>
      </c>
      <c r="O581" s="2" t="s">
        <v>4419</v>
      </c>
      <c r="P581" s="9">
        <v>57.98</v>
      </c>
      <c r="Q581" s="9">
        <v>54.0</v>
      </c>
      <c r="R581" s="9">
        <v>0.0</v>
      </c>
      <c r="S581" s="9">
        <v>0.7439</v>
      </c>
      <c r="T581" s="9">
        <v>0.9971</v>
      </c>
      <c r="U581" s="2" t="s">
        <v>1000</v>
      </c>
      <c r="V581" s="9">
        <v>0.0</v>
      </c>
      <c r="W581" s="2" t="s">
        <v>82</v>
      </c>
      <c r="X581" s="2" t="s">
        <v>495</v>
      </c>
      <c r="Y581" s="2" t="s">
        <v>1408</v>
      </c>
      <c r="Z581" s="9">
        <v>0.5805</v>
      </c>
      <c r="AA581" s="9">
        <v>0.7439</v>
      </c>
      <c r="AB581" s="9">
        <v>0.0</v>
      </c>
      <c r="AC581" s="9">
        <v>0.8715</v>
      </c>
      <c r="AD581" s="9" t="str">
        <f t="shared" si="1"/>
        <v>#REF!</v>
      </c>
    </row>
    <row r="582">
      <c r="A582" s="2" t="s">
        <v>444</v>
      </c>
      <c r="B582" s="2" t="s">
        <v>306</v>
      </c>
      <c r="C582" s="2" t="s">
        <v>119</v>
      </c>
      <c r="D582" s="2" t="s">
        <v>64</v>
      </c>
      <c r="E582" s="7" t="b">
        <v>1</v>
      </c>
      <c r="F582" s="9">
        <v>60895.0</v>
      </c>
      <c r="G582" s="9">
        <v>104.2861323453767</v>
      </c>
      <c r="H582" s="9">
        <v>6.524105328844733</v>
      </c>
      <c r="I582" s="7" t="b">
        <v>1</v>
      </c>
      <c r="J582" s="9">
        <v>0.0</v>
      </c>
      <c r="K582" s="7" t="b">
        <v>0</v>
      </c>
      <c r="L582" s="9">
        <v>60787.0</v>
      </c>
      <c r="M582" s="9">
        <v>0.9982</v>
      </c>
      <c r="N582" s="2" t="s">
        <v>4420</v>
      </c>
      <c r="O582" s="2" t="s">
        <v>4421</v>
      </c>
      <c r="P582" s="9">
        <v>68.52</v>
      </c>
      <c r="Q582" s="9">
        <v>66.0</v>
      </c>
      <c r="R582" s="9">
        <v>0.003318</v>
      </c>
      <c r="S582" s="9">
        <v>0.9831</v>
      </c>
      <c r="T582" s="9">
        <v>0.9012</v>
      </c>
      <c r="U582" s="2" t="s">
        <v>352</v>
      </c>
      <c r="V582" s="9">
        <v>0.8541</v>
      </c>
      <c r="W582" s="2" t="s">
        <v>82</v>
      </c>
      <c r="X582" s="2" t="s">
        <v>84</v>
      </c>
      <c r="Y582" s="2" t="s">
        <v>1572</v>
      </c>
      <c r="Z582" s="9">
        <v>0.9716</v>
      </c>
      <c r="AA582" s="9">
        <v>0.9831</v>
      </c>
      <c r="AB582" s="9">
        <v>0.8541</v>
      </c>
      <c r="AC582" s="9">
        <v>0.8648</v>
      </c>
      <c r="AD582" s="9" t="str">
        <f t="shared" si="1"/>
        <v>#REF!</v>
      </c>
    </row>
    <row r="583" hidden="1">
      <c r="A583" s="2" t="s">
        <v>1965</v>
      </c>
      <c r="B583" s="2" t="s">
        <v>503</v>
      </c>
      <c r="C583" s="2" t="s">
        <v>1439</v>
      </c>
      <c r="D583" s="2" t="s">
        <v>64</v>
      </c>
      <c r="E583" s="7" t="b">
        <v>1</v>
      </c>
      <c r="F583" s="9">
        <v>153.0</v>
      </c>
      <c r="G583" s="9">
        <v>9.064104219703353</v>
      </c>
      <c r="H583" s="9">
        <v>0.0011178588235294</v>
      </c>
      <c r="I583" s="7" t="b">
        <v>1</v>
      </c>
      <c r="J583" s="9">
        <v>0.0</v>
      </c>
      <c r="K583" s="7" t="b">
        <v>0</v>
      </c>
      <c r="L583" s="9">
        <v>231.0</v>
      </c>
      <c r="M583" s="9">
        <v>1.5098</v>
      </c>
      <c r="N583" s="2" t="s">
        <v>2105</v>
      </c>
      <c r="O583" s="2" t="s">
        <v>1396</v>
      </c>
      <c r="P583" s="9">
        <v>51.73</v>
      </c>
      <c r="Q583" s="9">
        <v>45.0</v>
      </c>
      <c r="R583" s="9">
        <v>0.016393</v>
      </c>
      <c r="S583" s="9">
        <v>0.3918</v>
      </c>
      <c r="T583" s="9">
        <v>0.5138</v>
      </c>
      <c r="U583" s="2" t="s">
        <v>3035</v>
      </c>
      <c r="V583" s="9">
        <v>0.8625</v>
      </c>
      <c r="W583" s="2" t="s">
        <v>134</v>
      </c>
      <c r="X583" s="2" t="s">
        <v>517</v>
      </c>
      <c r="Y583" s="2" t="s">
        <v>1593</v>
      </c>
      <c r="Z583" s="9">
        <v>0.3172</v>
      </c>
      <c r="AA583" s="9">
        <v>0.3918</v>
      </c>
      <c r="AB583" s="9">
        <v>0.8625</v>
      </c>
      <c r="AC583" s="9">
        <v>0.2113</v>
      </c>
      <c r="AD583" s="9" t="str">
        <f t="shared" si="1"/>
        <v>#REF!</v>
      </c>
    </row>
    <row r="584" hidden="1">
      <c r="A584" s="2" t="s">
        <v>1965</v>
      </c>
      <c r="B584" s="2" t="s">
        <v>937</v>
      </c>
      <c r="C584" s="2" t="s">
        <v>1439</v>
      </c>
      <c r="D584" s="2" t="s">
        <v>64</v>
      </c>
      <c r="E584" s="7" t="b">
        <v>1</v>
      </c>
      <c r="F584" s="9">
        <v>505.0</v>
      </c>
      <c r="G584" s="9">
        <v>1.845582954022879</v>
      </c>
      <c r="H584" s="9">
        <v>0.0074821306930693</v>
      </c>
      <c r="I584" s="7" t="b">
        <v>1</v>
      </c>
      <c r="J584" s="9">
        <v>0.0</v>
      </c>
      <c r="K584" s="7" t="b">
        <v>0</v>
      </c>
      <c r="L584" s="9">
        <v>265955.0</v>
      </c>
      <c r="M584" s="9">
        <v>526.6436</v>
      </c>
      <c r="N584" s="2" t="s">
        <v>4422</v>
      </c>
      <c r="O584" s="2" t="s">
        <v>4423</v>
      </c>
      <c r="P584" s="9">
        <v>64.46</v>
      </c>
      <c r="Q584" s="9">
        <v>59.0</v>
      </c>
      <c r="R584" s="9">
        <v>0.012546</v>
      </c>
      <c r="S584" s="9">
        <v>0.859</v>
      </c>
      <c r="T584" s="9">
        <v>0.1434</v>
      </c>
      <c r="U584" s="2" t="s">
        <v>4379</v>
      </c>
      <c r="V584" s="9">
        <v>0.7332</v>
      </c>
      <c r="W584" s="2" t="s">
        <v>2879</v>
      </c>
      <c r="X584" s="2" t="s">
        <v>495</v>
      </c>
      <c r="Y584" s="2" t="s">
        <v>2880</v>
      </c>
      <c r="Z584" s="9">
        <v>0.8106</v>
      </c>
      <c r="AA584" s="9">
        <v>0.859</v>
      </c>
      <c r="AB584" s="9">
        <v>0.7332</v>
      </c>
      <c r="AC584" s="9">
        <v>0.1416</v>
      </c>
      <c r="AD584" s="9" t="str">
        <f t="shared" si="1"/>
        <v>#REF!</v>
      </c>
    </row>
    <row r="585" hidden="1">
      <c r="A585" s="2" t="s">
        <v>1965</v>
      </c>
      <c r="B585" s="2" t="s">
        <v>1053</v>
      </c>
      <c r="C585" s="2" t="s">
        <v>1439</v>
      </c>
      <c r="D585" s="2" t="s">
        <v>64</v>
      </c>
      <c r="E585" s="7" t="b">
        <v>1</v>
      </c>
      <c r="F585" s="9">
        <v>63.0</v>
      </c>
      <c r="G585" s="9">
        <v>5.491049998046113</v>
      </c>
      <c r="H585" s="9">
        <v>0.003142238095238</v>
      </c>
      <c r="I585" s="7" t="b">
        <v>1</v>
      </c>
      <c r="J585" s="9">
        <v>0.0</v>
      </c>
      <c r="K585" s="7" t="b">
        <v>0</v>
      </c>
      <c r="L585" s="9">
        <v>6696.0</v>
      </c>
      <c r="M585" s="9">
        <v>106.2857</v>
      </c>
      <c r="N585" s="2" t="s">
        <v>4424</v>
      </c>
      <c r="O585" s="2" t="s">
        <v>2777</v>
      </c>
      <c r="P585" s="9">
        <v>42.2</v>
      </c>
      <c r="Q585" s="9">
        <v>37.0</v>
      </c>
      <c r="R585" s="9">
        <v>0.008242</v>
      </c>
      <c r="S585" s="9">
        <v>0.6974</v>
      </c>
      <c r="T585" s="9">
        <v>0.2452</v>
      </c>
      <c r="U585" s="2" t="s">
        <v>4425</v>
      </c>
      <c r="V585" s="9">
        <v>0.8644</v>
      </c>
      <c r="W585" s="2" t="s">
        <v>1600</v>
      </c>
      <c r="X585" s="2" t="s">
        <v>1466</v>
      </c>
      <c r="Y585" s="2" t="s">
        <v>2821</v>
      </c>
      <c r="Z585" s="9">
        <v>0.6103</v>
      </c>
      <c r="AA585" s="9">
        <v>0.6974</v>
      </c>
      <c r="AB585" s="9">
        <v>0.8644</v>
      </c>
      <c r="AC585" s="9">
        <v>0.1523</v>
      </c>
      <c r="AD585" s="9" t="str">
        <f t="shared" si="1"/>
        <v>#REF!</v>
      </c>
    </row>
    <row r="586">
      <c r="A586" s="2" t="s">
        <v>1939</v>
      </c>
      <c r="B586" s="2" t="s">
        <v>306</v>
      </c>
      <c r="C586" s="2" t="s">
        <v>1439</v>
      </c>
      <c r="D586" s="2" t="s">
        <v>64</v>
      </c>
      <c r="E586" s="7" t="b">
        <v>1</v>
      </c>
      <c r="F586" s="9">
        <v>360.0</v>
      </c>
      <c r="G586" s="9">
        <v>21.64605355700131</v>
      </c>
      <c r="H586" s="9">
        <v>0.0610982444444444</v>
      </c>
      <c r="I586" s="7" t="b">
        <v>1</v>
      </c>
      <c r="J586" s="9">
        <v>0.0</v>
      </c>
      <c r="K586" s="7" t="b">
        <v>0</v>
      </c>
      <c r="L586" s="9">
        <v>382.0</v>
      </c>
      <c r="M586" s="9">
        <v>1.0611</v>
      </c>
      <c r="N586" s="2" t="s">
        <v>2540</v>
      </c>
      <c r="O586" s="2" t="s">
        <v>4426</v>
      </c>
      <c r="P586" s="9">
        <v>55.08</v>
      </c>
      <c r="Q586" s="9">
        <v>49.0</v>
      </c>
      <c r="R586" s="9">
        <v>0.0</v>
      </c>
      <c r="S586" s="9">
        <v>0.7741</v>
      </c>
      <c r="T586" s="9">
        <v>0.9991</v>
      </c>
      <c r="U586" s="2" t="s">
        <v>1000</v>
      </c>
      <c r="V586" s="9">
        <v>0.8193</v>
      </c>
      <c r="W586" s="2" t="s">
        <v>82</v>
      </c>
      <c r="X586" s="2" t="s">
        <v>237</v>
      </c>
      <c r="Y586" s="2" t="s">
        <v>1428</v>
      </c>
      <c r="Z586" s="9">
        <v>0.6055</v>
      </c>
      <c r="AA586" s="9">
        <v>0.7741</v>
      </c>
      <c r="AB586" s="9">
        <v>0.8193</v>
      </c>
      <c r="AC586" s="9">
        <v>0.8745</v>
      </c>
      <c r="AD586" s="9" t="str">
        <f t="shared" si="1"/>
        <v>#REF!</v>
      </c>
    </row>
    <row r="587" hidden="1">
      <c r="A587" s="2" t="s">
        <v>1939</v>
      </c>
      <c r="B587" s="2" t="s">
        <v>997</v>
      </c>
      <c r="C587" s="2" t="s">
        <v>1439</v>
      </c>
      <c r="D587" s="2" t="s">
        <v>64</v>
      </c>
      <c r="E587" s="7" t="b">
        <v>1</v>
      </c>
      <c r="F587" s="9">
        <v>55.0</v>
      </c>
      <c r="G587" s="9">
        <v>26.77622045969132</v>
      </c>
      <c r="H587" s="9">
        <v>0.0026640523636363</v>
      </c>
      <c r="I587" s="7" t="b">
        <v>1</v>
      </c>
      <c r="J587" s="9">
        <v>0.0</v>
      </c>
      <c r="K587" s="7" t="b">
        <v>0</v>
      </c>
      <c r="L587" s="9">
        <v>28.0</v>
      </c>
      <c r="M587" s="9">
        <v>0.5091</v>
      </c>
      <c r="N587" s="2" t="s">
        <v>2619</v>
      </c>
      <c r="O587" s="2" t="s">
        <v>1552</v>
      </c>
      <c r="P587" s="9">
        <v>71.21</v>
      </c>
      <c r="Q587" s="9">
        <v>68.5</v>
      </c>
      <c r="R587" s="9">
        <v>0.0</v>
      </c>
      <c r="S587" s="9">
        <v>0.4068</v>
      </c>
      <c r="T587" s="9">
        <v>1.0003</v>
      </c>
      <c r="U587" s="2" t="s">
        <v>1416</v>
      </c>
      <c r="V587" s="15"/>
      <c r="W587" s="2" t="s">
        <v>157</v>
      </c>
      <c r="X587" s="2" t="s">
        <v>1455</v>
      </c>
      <c r="Y587" s="2" t="s">
        <v>1456</v>
      </c>
      <c r="Z587" s="9">
        <v>0.3168</v>
      </c>
      <c r="AA587" s="9">
        <v>0.4068</v>
      </c>
      <c r="AB587" s="15"/>
      <c r="AC587" s="9">
        <v>0.3564</v>
      </c>
      <c r="AD587" s="9" t="str">
        <f t="shared" si="1"/>
        <v>#REF!</v>
      </c>
    </row>
    <row r="588" hidden="1">
      <c r="A588" s="2" t="s">
        <v>1748</v>
      </c>
      <c r="B588" s="2" t="s">
        <v>534</v>
      </c>
      <c r="C588" s="2" t="s">
        <v>1439</v>
      </c>
      <c r="D588" s="2" t="s">
        <v>64</v>
      </c>
      <c r="E588" s="7" t="b">
        <v>1</v>
      </c>
      <c r="F588" s="9">
        <v>884.0</v>
      </c>
      <c r="G588" s="9">
        <v>10.31624414262829</v>
      </c>
      <c r="H588" s="9">
        <v>0.0063527565610859</v>
      </c>
      <c r="I588" s="7" t="b">
        <v>1</v>
      </c>
      <c r="J588" s="9">
        <v>0.0</v>
      </c>
      <c r="K588" s="7" t="b">
        <v>0</v>
      </c>
      <c r="L588" s="9">
        <v>161.0</v>
      </c>
      <c r="M588" s="9">
        <v>0.1821</v>
      </c>
      <c r="N588" s="2" t="s">
        <v>1813</v>
      </c>
      <c r="O588" s="2" t="s">
        <v>2710</v>
      </c>
      <c r="P588" s="9">
        <v>77.73</v>
      </c>
      <c r="Q588" s="9">
        <v>81.0</v>
      </c>
      <c r="R588" s="9">
        <v>0.034483</v>
      </c>
      <c r="S588" s="9">
        <v>0.6305</v>
      </c>
      <c r="T588" s="9">
        <v>0.9977</v>
      </c>
      <c r="U588" s="2" t="s">
        <v>3808</v>
      </c>
      <c r="V588" s="9">
        <v>0.0432</v>
      </c>
      <c r="W588" s="2" t="s">
        <v>134</v>
      </c>
      <c r="X588" s="2" t="s">
        <v>517</v>
      </c>
      <c r="Y588" s="2" t="s">
        <v>4427</v>
      </c>
      <c r="Z588" s="9">
        <v>0.495</v>
      </c>
      <c r="AA588" s="9">
        <v>0.6305</v>
      </c>
      <c r="AB588" s="9">
        <v>0.0432</v>
      </c>
      <c r="AC588" s="9">
        <v>0.7479</v>
      </c>
      <c r="AD588" s="9" t="str">
        <f t="shared" si="1"/>
        <v>#REF!</v>
      </c>
    </row>
    <row r="589" hidden="1">
      <c r="A589" s="2" t="s">
        <v>1748</v>
      </c>
      <c r="B589" s="2" t="s">
        <v>542</v>
      </c>
      <c r="C589" s="2" t="s">
        <v>1439</v>
      </c>
      <c r="D589" s="2" t="s">
        <v>64</v>
      </c>
      <c r="E589" s="7" t="b">
        <v>1</v>
      </c>
      <c r="F589" s="9">
        <v>309.0</v>
      </c>
      <c r="G589" s="9">
        <v>8.077657898913058</v>
      </c>
      <c r="H589" s="9">
        <v>0.0027363611650485</v>
      </c>
      <c r="I589" s="7" t="b">
        <v>1</v>
      </c>
      <c r="J589" s="9">
        <v>0.0</v>
      </c>
      <c r="K589" s="7" t="b">
        <v>0</v>
      </c>
      <c r="L589" s="9">
        <v>295.0</v>
      </c>
      <c r="M589" s="9">
        <v>0.9547</v>
      </c>
      <c r="N589" s="2" t="s">
        <v>4285</v>
      </c>
      <c r="O589" s="2" t="s">
        <v>4428</v>
      </c>
      <c r="P589" s="9">
        <v>72.07</v>
      </c>
      <c r="Q589" s="9">
        <v>74.0</v>
      </c>
      <c r="R589" s="9">
        <v>0.0</v>
      </c>
      <c r="S589" s="9">
        <v>0.6693</v>
      </c>
      <c r="T589" s="9">
        <v>0.9298</v>
      </c>
      <c r="U589" s="2" t="s">
        <v>3783</v>
      </c>
      <c r="V589" s="9">
        <v>0.589</v>
      </c>
      <c r="W589" s="2" t="s">
        <v>2753</v>
      </c>
      <c r="X589" s="2" t="s">
        <v>517</v>
      </c>
      <c r="Y589" s="2" t="s">
        <v>1711</v>
      </c>
      <c r="Z589" s="9">
        <v>0.5591</v>
      </c>
      <c r="AA589" s="9">
        <v>0.6693</v>
      </c>
      <c r="AB589" s="9">
        <v>0.589</v>
      </c>
      <c r="AC589" s="9">
        <v>0.1745</v>
      </c>
      <c r="AD589" s="9" t="str">
        <f t="shared" si="1"/>
        <v>#REF!</v>
      </c>
    </row>
    <row r="590" hidden="1">
      <c r="A590" s="2" t="s">
        <v>1748</v>
      </c>
      <c r="B590" s="2" t="s">
        <v>982</v>
      </c>
      <c r="C590" s="2" t="s">
        <v>1439</v>
      </c>
      <c r="D590" s="2" t="s">
        <v>64</v>
      </c>
      <c r="E590" s="7" t="b">
        <v>1</v>
      </c>
      <c r="F590" s="9">
        <v>156.0</v>
      </c>
      <c r="G590" s="9">
        <v>12.73679532793861</v>
      </c>
      <c r="H590" s="9">
        <v>0.0121076423076923</v>
      </c>
      <c r="I590" s="7" t="b">
        <v>1</v>
      </c>
      <c r="J590" s="9">
        <v>0.0</v>
      </c>
      <c r="K590" s="7" t="b">
        <v>0</v>
      </c>
      <c r="L590" s="9">
        <v>49.0</v>
      </c>
      <c r="M590" s="9">
        <v>0.3141</v>
      </c>
      <c r="N590" s="2" t="s">
        <v>2651</v>
      </c>
      <c r="O590" s="2" t="s">
        <v>1890</v>
      </c>
      <c r="P590" s="9">
        <v>68.41</v>
      </c>
      <c r="Q590" s="9">
        <v>69.0</v>
      </c>
      <c r="R590" s="9">
        <v>0.0</v>
      </c>
      <c r="S590" s="9">
        <v>0.4616</v>
      </c>
      <c r="T590" s="9">
        <v>0.9235</v>
      </c>
      <c r="U590" s="2" t="s">
        <v>2443</v>
      </c>
      <c r="V590" s="9">
        <v>0.3</v>
      </c>
      <c r="W590" s="2" t="s">
        <v>1875</v>
      </c>
      <c r="X590" s="2" t="s">
        <v>1521</v>
      </c>
      <c r="Y590" s="2" t="s">
        <v>1491</v>
      </c>
      <c r="Z590" s="9">
        <v>0.3829</v>
      </c>
      <c r="AA590" s="9">
        <v>0.4616</v>
      </c>
      <c r="AB590" s="9">
        <v>0.3</v>
      </c>
      <c r="AC590" s="9">
        <v>0.2878</v>
      </c>
      <c r="AD590" s="9" t="str">
        <f t="shared" si="1"/>
        <v>#REF!</v>
      </c>
    </row>
    <row r="591" hidden="1">
      <c r="A591" s="2" t="s">
        <v>1748</v>
      </c>
      <c r="B591" s="2" t="s">
        <v>1027</v>
      </c>
      <c r="C591" s="2" t="s">
        <v>1439</v>
      </c>
      <c r="D591" s="2" t="s">
        <v>64</v>
      </c>
      <c r="E591" s="7" t="b">
        <v>1</v>
      </c>
      <c r="F591" s="9">
        <v>115.0</v>
      </c>
      <c r="G591" s="9">
        <v>19.61307738794482</v>
      </c>
      <c r="H591" s="9">
        <v>0.0046078747826086</v>
      </c>
      <c r="I591" s="7" t="b">
        <v>1</v>
      </c>
      <c r="J591" s="9">
        <v>0.0</v>
      </c>
      <c r="K591" s="7" t="b">
        <v>0</v>
      </c>
      <c r="L591" s="9">
        <v>29.0</v>
      </c>
      <c r="M591" s="9">
        <v>0.2522</v>
      </c>
      <c r="N591" s="2" t="s">
        <v>2329</v>
      </c>
      <c r="O591" s="2" t="s">
        <v>1552</v>
      </c>
      <c r="P591" s="9">
        <v>57.24</v>
      </c>
      <c r="Q591" s="9">
        <v>48.0</v>
      </c>
      <c r="R591" s="9">
        <v>0.0</v>
      </c>
      <c r="S591" s="9">
        <v>0.3621</v>
      </c>
      <c r="T591" s="9">
        <v>0.8202</v>
      </c>
      <c r="U591" s="2" t="s">
        <v>4429</v>
      </c>
      <c r="V591" s="15"/>
      <c r="W591" s="2" t="s">
        <v>82</v>
      </c>
      <c r="X591" s="2" t="s">
        <v>1455</v>
      </c>
      <c r="Y591" s="2" t="s">
        <v>1542</v>
      </c>
      <c r="Z591" s="9">
        <v>0.2787</v>
      </c>
      <c r="AA591" s="9">
        <v>0.3621</v>
      </c>
      <c r="AB591" s="15"/>
      <c r="AC591" s="9">
        <v>0.0</v>
      </c>
      <c r="AD591" s="9" t="str">
        <f t="shared" si="1"/>
        <v>#REF!</v>
      </c>
    </row>
    <row r="592" hidden="1">
      <c r="A592" s="2" t="s">
        <v>1757</v>
      </c>
      <c r="B592" s="2" t="s">
        <v>503</v>
      </c>
      <c r="C592" s="2" t="s">
        <v>1439</v>
      </c>
      <c r="D592" s="2" t="s">
        <v>64</v>
      </c>
      <c r="E592" s="7" t="b">
        <v>1</v>
      </c>
      <c r="F592" s="9">
        <v>1017.0</v>
      </c>
      <c r="G592" s="9">
        <v>15.59858586876393</v>
      </c>
      <c r="H592" s="9">
        <v>0.0217402920353982</v>
      </c>
      <c r="I592" s="7" t="b">
        <v>1</v>
      </c>
      <c r="J592" s="9">
        <v>0.0</v>
      </c>
      <c r="K592" s="7" t="b">
        <v>0</v>
      </c>
      <c r="L592" s="9">
        <v>777.0</v>
      </c>
      <c r="M592" s="9">
        <v>0.764</v>
      </c>
      <c r="N592" s="2" t="s">
        <v>1775</v>
      </c>
      <c r="O592" s="2" t="s">
        <v>4108</v>
      </c>
      <c r="P592" s="9">
        <v>52.64</v>
      </c>
      <c r="Q592" s="9">
        <v>47.0</v>
      </c>
      <c r="R592" s="9">
        <v>0.026316</v>
      </c>
      <c r="S592" s="9">
        <v>0.7437</v>
      </c>
      <c r="T592" s="9">
        <v>0.9521</v>
      </c>
      <c r="U592" s="2" t="s">
        <v>2483</v>
      </c>
      <c r="V592" s="9">
        <v>0.871</v>
      </c>
      <c r="W592" s="2" t="s">
        <v>82</v>
      </c>
      <c r="X592" s="2" t="s">
        <v>237</v>
      </c>
      <c r="Y592" s="2" t="s">
        <v>2003</v>
      </c>
      <c r="Z592" s="9">
        <v>0.6035</v>
      </c>
      <c r="AA592" s="9">
        <v>0.7437</v>
      </c>
      <c r="AB592" s="9">
        <v>0.871</v>
      </c>
      <c r="AC592" s="9">
        <v>0.2685</v>
      </c>
      <c r="AD592" s="9" t="str">
        <f t="shared" si="1"/>
        <v>#REF!</v>
      </c>
    </row>
    <row r="593" hidden="1">
      <c r="A593" s="2" t="s">
        <v>1757</v>
      </c>
      <c r="B593" s="2" t="s">
        <v>534</v>
      </c>
      <c r="C593" s="2" t="s">
        <v>1439</v>
      </c>
      <c r="D593" s="2" t="s">
        <v>64</v>
      </c>
      <c r="E593" s="7" t="b">
        <v>1</v>
      </c>
      <c r="F593" s="9">
        <v>282.0</v>
      </c>
      <c r="G593" s="9">
        <v>12.69184956579455</v>
      </c>
      <c r="H593" s="9">
        <v>0.00307804964539</v>
      </c>
      <c r="I593" s="7" t="b">
        <v>1</v>
      </c>
      <c r="J593" s="9">
        <v>0.0</v>
      </c>
      <c r="K593" s="7" t="b">
        <v>0</v>
      </c>
      <c r="L593" s="9">
        <v>70.0</v>
      </c>
      <c r="M593" s="9">
        <v>0.2482</v>
      </c>
      <c r="N593" s="2" t="s">
        <v>2958</v>
      </c>
      <c r="O593" s="2" t="s">
        <v>2866</v>
      </c>
      <c r="P593" s="9">
        <v>74.66</v>
      </c>
      <c r="Q593" s="9">
        <v>79.5</v>
      </c>
      <c r="R593" s="9">
        <v>0.0</v>
      </c>
      <c r="S593" s="9">
        <v>0.5272</v>
      </c>
      <c r="T593" s="9">
        <v>1.0009</v>
      </c>
      <c r="U593" s="2" t="s">
        <v>1528</v>
      </c>
      <c r="V593" s="9">
        <v>0.0</v>
      </c>
      <c r="W593" s="2" t="s">
        <v>134</v>
      </c>
      <c r="X593" s="2" t="s">
        <v>1466</v>
      </c>
      <c r="Y593" s="2" t="s">
        <v>2836</v>
      </c>
      <c r="Z593" s="9">
        <v>0.4146</v>
      </c>
      <c r="AA593" s="9">
        <v>0.5272</v>
      </c>
      <c r="AB593" s="9">
        <v>0.0</v>
      </c>
      <c r="AC593" s="9">
        <v>0.6878</v>
      </c>
      <c r="AD593" s="9" t="str">
        <f t="shared" si="1"/>
        <v>#REF!</v>
      </c>
    </row>
    <row r="594" hidden="1">
      <c r="A594" s="2" t="s">
        <v>1757</v>
      </c>
      <c r="B594" s="2" t="s">
        <v>542</v>
      </c>
      <c r="C594" s="2" t="s">
        <v>1439</v>
      </c>
      <c r="D594" s="2" t="s">
        <v>64</v>
      </c>
      <c r="E594" s="7" t="b">
        <v>1</v>
      </c>
      <c r="F594" s="9">
        <v>77.0</v>
      </c>
      <c r="G594" s="9">
        <v>10.43395579068047</v>
      </c>
      <c r="H594" s="9">
        <v>0.0011398428571428</v>
      </c>
      <c r="I594" s="7" t="b">
        <v>1</v>
      </c>
      <c r="J594" s="9">
        <v>0.0</v>
      </c>
      <c r="K594" s="7" t="b">
        <v>0</v>
      </c>
      <c r="L594" s="9">
        <v>118.0</v>
      </c>
      <c r="M594" s="9">
        <v>1.5325</v>
      </c>
      <c r="N594" s="2" t="s">
        <v>4048</v>
      </c>
      <c r="O594" s="2" t="s">
        <v>1791</v>
      </c>
      <c r="P594" s="9">
        <v>71.69</v>
      </c>
      <c r="Q594" s="9">
        <v>73.5</v>
      </c>
      <c r="R594" s="9">
        <v>0.0</v>
      </c>
      <c r="S594" s="9">
        <v>0.6036</v>
      </c>
      <c r="T594" s="9">
        <v>0.9814</v>
      </c>
      <c r="U594" s="2" t="s">
        <v>3783</v>
      </c>
      <c r="V594" s="9">
        <v>0.0</v>
      </c>
      <c r="W594" s="2" t="s">
        <v>181</v>
      </c>
      <c r="X594" s="2" t="s">
        <v>1466</v>
      </c>
      <c r="Y594" s="2" t="s">
        <v>1456</v>
      </c>
      <c r="Z594" s="9">
        <v>0.4751</v>
      </c>
      <c r="AA594" s="9">
        <v>0.6036</v>
      </c>
      <c r="AB594" s="9">
        <v>0.0</v>
      </c>
      <c r="AC594" s="9">
        <v>0.1738</v>
      </c>
      <c r="AD594" s="9" t="str">
        <f t="shared" si="1"/>
        <v>#REF!</v>
      </c>
    </row>
    <row r="595" hidden="1">
      <c r="A595" s="2" t="s">
        <v>1757</v>
      </c>
      <c r="B595" s="2" t="s">
        <v>942</v>
      </c>
      <c r="C595" s="2" t="s">
        <v>1439</v>
      </c>
      <c r="D595" s="2" t="s">
        <v>64</v>
      </c>
      <c r="E595" s="7" t="b">
        <v>1</v>
      </c>
      <c r="F595" s="9">
        <v>1075.0</v>
      </c>
      <c r="G595" s="9">
        <v>4.194222775625955</v>
      </c>
      <c r="H595" s="9">
        <v>0.001336361116279</v>
      </c>
      <c r="I595" s="7" t="b">
        <v>1</v>
      </c>
      <c r="J595" s="9">
        <v>0.0</v>
      </c>
      <c r="K595" s="7" t="b">
        <v>0</v>
      </c>
      <c r="L595" s="9">
        <v>5685.0</v>
      </c>
      <c r="M595" s="9">
        <v>5.2884</v>
      </c>
      <c r="N595" s="2" t="s">
        <v>4430</v>
      </c>
      <c r="O595" s="2" t="s">
        <v>4431</v>
      </c>
      <c r="P595" s="9">
        <v>49.48</v>
      </c>
      <c r="Q595" s="9">
        <v>41.0</v>
      </c>
      <c r="R595" s="9">
        <v>0.01382</v>
      </c>
      <c r="S595" s="9">
        <v>0.8101</v>
      </c>
      <c r="T595" s="9">
        <v>0.642</v>
      </c>
      <c r="U595" s="2" t="s">
        <v>2878</v>
      </c>
      <c r="V595" s="9">
        <v>0.8077</v>
      </c>
      <c r="W595" s="2" t="s">
        <v>1884</v>
      </c>
      <c r="X595" s="2" t="s">
        <v>495</v>
      </c>
      <c r="Y595" s="2" t="s">
        <v>2889</v>
      </c>
      <c r="Z595" s="9">
        <v>0.7226</v>
      </c>
      <c r="AA595" s="9">
        <v>0.8101</v>
      </c>
      <c r="AB595" s="9">
        <v>0.8077</v>
      </c>
      <c r="AC595" s="9">
        <v>0.1467</v>
      </c>
      <c r="AD595" s="9" t="str">
        <f t="shared" si="1"/>
        <v>#REF!</v>
      </c>
    </row>
    <row r="596" hidden="1">
      <c r="A596" s="2" t="s">
        <v>1757</v>
      </c>
      <c r="B596" s="2" t="s">
        <v>1027</v>
      </c>
      <c r="C596" s="2" t="s">
        <v>1439</v>
      </c>
      <c r="D596" s="2" t="s">
        <v>64</v>
      </c>
      <c r="E596" s="7" t="b">
        <v>1</v>
      </c>
      <c r="F596" s="9">
        <v>50.0</v>
      </c>
      <c r="G596" s="9">
        <v>20.4903417604406</v>
      </c>
      <c r="H596" s="9">
        <v>0.002189312</v>
      </c>
      <c r="I596" s="7" t="b">
        <v>1</v>
      </c>
      <c r="J596" s="9">
        <v>0.0</v>
      </c>
      <c r="K596" s="7" t="b">
        <v>0</v>
      </c>
      <c r="L596" s="9">
        <v>22.0</v>
      </c>
      <c r="M596" s="9">
        <v>0.44</v>
      </c>
      <c r="N596" s="2" t="s">
        <v>2474</v>
      </c>
      <c r="O596" s="2" t="s">
        <v>1486</v>
      </c>
      <c r="P596" s="9">
        <v>41.23</v>
      </c>
      <c r="Q596" s="9">
        <v>36.0</v>
      </c>
      <c r="R596" s="9">
        <v>0.0</v>
      </c>
      <c r="S596" s="9">
        <v>0.2133</v>
      </c>
      <c r="T596" s="9">
        <v>0.5238</v>
      </c>
      <c r="U596" s="2" t="s">
        <v>3483</v>
      </c>
      <c r="V596" s="9">
        <v>0.0</v>
      </c>
      <c r="W596" s="2" t="s">
        <v>82</v>
      </c>
      <c r="X596" s="2" t="s">
        <v>1521</v>
      </c>
      <c r="Y596" s="2" t="s">
        <v>1498</v>
      </c>
      <c r="Z596" s="9">
        <v>0.1642</v>
      </c>
      <c r="AA596" s="9">
        <v>0.2133</v>
      </c>
      <c r="AB596" s="9">
        <v>0.0</v>
      </c>
      <c r="AC596" s="9">
        <v>0.1148</v>
      </c>
      <c r="AD596" s="9" t="str">
        <f t="shared" si="1"/>
        <v>#REF!</v>
      </c>
    </row>
    <row r="597" hidden="1">
      <c r="A597" s="2" t="s">
        <v>1754</v>
      </c>
      <c r="B597" s="2" t="s">
        <v>503</v>
      </c>
      <c r="C597" s="2" t="s">
        <v>1439</v>
      </c>
      <c r="D597" s="2" t="s">
        <v>64</v>
      </c>
      <c r="E597" s="7" t="b">
        <v>1</v>
      </c>
      <c r="F597" s="9">
        <v>253.0</v>
      </c>
      <c r="G597" s="9">
        <v>10.91779411106768</v>
      </c>
      <c r="H597" s="9">
        <v>0.0026783019762845</v>
      </c>
      <c r="I597" s="7" t="b">
        <v>1</v>
      </c>
      <c r="J597" s="9">
        <v>0.0</v>
      </c>
      <c r="K597" s="7" t="b">
        <v>0</v>
      </c>
      <c r="L597" s="9">
        <v>206.0</v>
      </c>
      <c r="M597" s="9">
        <v>0.8142</v>
      </c>
      <c r="N597" s="2" t="s">
        <v>1794</v>
      </c>
      <c r="O597" s="2" t="s">
        <v>1890</v>
      </c>
      <c r="P597" s="9">
        <v>49.26</v>
      </c>
      <c r="Q597" s="9">
        <v>39.0</v>
      </c>
      <c r="R597" s="9">
        <v>0.014706</v>
      </c>
      <c r="S597" s="9">
        <v>0.4847</v>
      </c>
      <c r="T597" s="9">
        <v>0.7196</v>
      </c>
      <c r="U597" s="2" t="s">
        <v>3131</v>
      </c>
      <c r="V597" s="9">
        <v>0.0</v>
      </c>
      <c r="W597" s="2" t="s">
        <v>134</v>
      </c>
      <c r="X597" s="2" t="s">
        <v>1466</v>
      </c>
      <c r="Y597" s="2" t="s">
        <v>1582</v>
      </c>
      <c r="Z597" s="9">
        <v>0.3949</v>
      </c>
      <c r="AA597" s="9">
        <v>0.4847</v>
      </c>
      <c r="AB597" s="9">
        <v>0.0</v>
      </c>
      <c r="AC597" s="9">
        <v>0.1387</v>
      </c>
      <c r="AD597" s="9" t="str">
        <f t="shared" si="1"/>
        <v>#REF!</v>
      </c>
    </row>
    <row r="598" hidden="1">
      <c r="A598" s="2" t="s">
        <v>1754</v>
      </c>
      <c r="B598" s="2" t="s">
        <v>534</v>
      </c>
      <c r="C598" s="2" t="s">
        <v>1439</v>
      </c>
      <c r="D598" s="2" t="s">
        <v>64</v>
      </c>
      <c r="E598" s="7" t="b">
        <v>1</v>
      </c>
      <c r="F598" s="9">
        <v>1420.0</v>
      </c>
      <c r="G598" s="9">
        <v>7.868900050746593</v>
      </c>
      <c r="H598" s="9">
        <v>0.0059300311267605</v>
      </c>
      <c r="I598" s="7" t="b">
        <v>1</v>
      </c>
      <c r="J598" s="9">
        <v>0.0</v>
      </c>
      <c r="K598" s="7" t="b">
        <v>0</v>
      </c>
      <c r="L598" s="9">
        <v>254.0</v>
      </c>
      <c r="M598" s="9">
        <v>0.1789</v>
      </c>
      <c r="N598" s="2" t="s">
        <v>1820</v>
      </c>
      <c r="O598" s="2" t="s">
        <v>3057</v>
      </c>
      <c r="P598" s="9">
        <v>77.24</v>
      </c>
      <c r="Q598" s="9">
        <v>88.0</v>
      </c>
      <c r="R598" s="9">
        <v>0.0</v>
      </c>
      <c r="S598" s="9">
        <v>0.6717</v>
      </c>
      <c r="T598" s="9">
        <v>0.9753</v>
      </c>
      <c r="U598" s="2" t="s">
        <v>2455</v>
      </c>
      <c r="V598" s="9">
        <v>0.8488</v>
      </c>
      <c r="W598" s="2" t="s">
        <v>1657</v>
      </c>
      <c r="X598" s="2" t="s">
        <v>517</v>
      </c>
      <c r="Y598" s="2" t="s">
        <v>3207</v>
      </c>
      <c r="Z598" s="9">
        <v>0.5286</v>
      </c>
      <c r="AA598" s="9">
        <v>0.6717</v>
      </c>
      <c r="AB598" s="9">
        <v>0.8488</v>
      </c>
      <c r="AC598" s="9">
        <v>0.7309</v>
      </c>
      <c r="AD598" s="9" t="str">
        <f t="shared" si="1"/>
        <v>#REF!</v>
      </c>
    </row>
    <row r="599" hidden="1">
      <c r="A599" s="2" t="s">
        <v>1754</v>
      </c>
      <c r="B599" s="2" t="s">
        <v>542</v>
      </c>
      <c r="C599" s="2" t="s">
        <v>1439</v>
      </c>
      <c r="D599" s="2" t="s">
        <v>64</v>
      </c>
      <c r="E599" s="7" t="b">
        <v>1</v>
      </c>
      <c r="F599" s="9">
        <v>374.0</v>
      </c>
      <c r="G599" s="9">
        <v>7.757747800859465</v>
      </c>
      <c r="H599" s="9">
        <v>0.0030531893048128</v>
      </c>
      <c r="I599" s="7" t="b">
        <v>1</v>
      </c>
      <c r="J599" s="9">
        <v>0.0</v>
      </c>
      <c r="K599" s="7" t="b">
        <v>0</v>
      </c>
      <c r="L599" s="9">
        <v>369.0</v>
      </c>
      <c r="M599" s="9">
        <v>0.9866</v>
      </c>
      <c r="N599" s="2" t="s">
        <v>1997</v>
      </c>
      <c r="O599" s="2" t="s">
        <v>4432</v>
      </c>
      <c r="P599" s="9">
        <v>73.34</v>
      </c>
      <c r="Q599" s="9">
        <v>73.0</v>
      </c>
      <c r="R599" s="9">
        <v>0.015873</v>
      </c>
      <c r="S599" s="9">
        <v>0.7066</v>
      </c>
      <c r="T599" s="9">
        <v>0.9522</v>
      </c>
      <c r="U599" s="2" t="s">
        <v>2134</v>
      </c>
      <c r="V599" s="9">
        <v>0.063</v>
      </c>
      <c r="W599" s="2" t="s">
        <v>181</v>
      </c>
      <c r="X599" s="2" t="s">
        <v>517</v>
      </c>
      <c r="Y599" s="2" t="s">
        <v>1399</v>
      </c>
      <c r="Z599" s="9">
        <v>0.5828</v>
      </c>
      <c r="AA599" s="9">
        <v>0.7066</v>
      </c>
      <c r="AB599" s="9">
        <v>0.063</v>
      </c>
      <c r="AC599" s="9">
        <v>0.1498</v>
      </c>
      <c r="AD599" s="9" t="str">
        <f t="shared" si="1"/>
        <v>#REF!</v>
      </c>
    </row>
    <row r="600" hidden="1">
      <c r="A600" s="2" t="s">
        <v>1754</v>
      </c>
      <c r="B600" s="2" t="s">
        <v>982</v>
      </c>
      <c r="C600" s="2" t="s">
        <v>1439</v>
      </c>
      <c r="D600" s="2" t="s">
        <v>64</v>
      </c>
      <c r="E600" s="7" t="b">
        <v>1</v>
      </c>
      <c r="F600" s="9">
        <v>267.0</v>
      </c>
      <c r="G600" s="9">
        <v>10.91069674292588</v>
      </c>
      <c r="H600" s="9">
        <v>0.0151420149812734</v>
      </c>
      <c r="I600" s="7" t="b">
        <v>1</v>
      </c>
      <c r="J600" s="9">
        <v>0.0</v>
      </c>
      <c r="K600" s="7" t="b">
        <v>0</v>
      </c>
      <c r="L600" s="9">
        <v>64.0</v>
      </c>
      <c r="M600" s="9">
        <v>0.2397</v>
      </c>
      <c r="N600" s="2" t="s">
        <v>2277</v>
      </c>
      <c r="O600" s="2" t="s">
        <v>1373</v>
      </c>
      <c r="P600" s="9">
        <v>73.08</v>
      </c>
      <c r="Q600" s="9">
        <v>71.0</v>
      </c>
      <c r="R600" s="9">
        <v>0.066667</v>
      </c>
      <c r="S600" s="9">
        <v>0.5275</v>
      </c>
      <c r="T600" s="9">
        <v>0.976</v>
      </c>
      <c r="U600" s="2" t="s">
        <v>1589</v>
      </c>
      <c r="V600" s="9">
        <v>0.3</v>
      </c>
      <c r="W600" s="2" t="s">
        <v>1821</v>
      </c>
      <c r="X600" s="2" t="s">
        <v>1466</v>
      </c>
      <c r="Y600" s="2" t="s">
        <v>3229</v>
      </c>
      <c r="Z600" s="9">
        <v>0.414</v>
      </c>
      <c r="AA600" s="9">
        <v>0.5275</v>
      </c>
      <c r="AB600" s="9">
        <v>0.3</v>
      </c>
      <c r="AC600" s="9">
        <v>0.2846</v>
      </c>
      <c r="AD600" s="9" t="str">
        <f t="shared" si="1"/>
        <v>#REF!</v>
      </c>
    </row>
    <row r="601" hidden="1">
      <c r="A601" s="2" t="s">
        <v>1754</v>
      </c>
      <c r="B601" s="2" t="s">
        <v>1027</v>
      </c>
      <c r="C601" s="2" t="s">
        <v>1439</v>
      </c>
      <c r="D601" s="2" t="s">
        <v>64</v>
      </c>
      <c r="E601" s="7" t="b">
        <v>1</v>
      </c>
      <c r="F601" s="9">
        <v>248.0</v>
      </c>
      <c r="G601" s="9">
        <v>11.24527146084944</v>
      </c>
      <c r="H601" s="9">
        <v>0.0032656370967741</v>
      </c>
      <c r="I601" s="7" t="b">
        <v>1</v>
      </c>
      <c r="J601" s="9">
        <v>0.0</v>
      </c>
      <c r="K601" s="7" t="b">
        <v>0</v>
      </c>
      <c r="L601" s="9">
        <v>50.0</v>
      </c>
      <c r="M601" s="9">
        <v>0.2016</v>
      </c>
      <c r="N601" s="2" t="s">
        <v>400</v>
      </c>
      <c r="O601" s="2" t="s">
        <v>2025</v>
      </c>
      <c r="P601" s="9">
        <v>53.8</v>
      </c>
      <c r="Q601" s="9">
        <v>40.0</v>
      </c>
      <c r="R601" s="9">
        <v>0.0</v>
      </c>
      <c r="S601" s="9">
        <v>0.3728</v>
      </c>
      <c r="T601" s="9">
        <v>0.7704</v>
      </c>
      <c r="U601" s="2" t="s">
        <v>3947</v>
      </c>
      <c r="V601" s="9">
        <v>0.0</v>
      </c>
      <c r="W601" s="2" t="s">
        <v>82</v>
      </c>
      <c r="X601" s="2" t="s">
        <v>1521</v>
      </c>
      <c r="Y601" s="2" t="s">
        <v>1498</v>
      </c>
      <c r="Z601" s="9">
        <v>0.2868</v>
      </c>
      <c r="AA601" s="9">
        <v>0.3728</v>
      </c>
      <c r="AB601" s="9">
        <v>0.0</v>
      </c>
      <c r="AC601" s="9">
        <v>0.0411</v>
      </c>
      <c r="AD601" s="9" t="str">
        <f t="shared" si="1"/>
        <v>#REF!</v>
      </c>
    </row>
    <row r="602" hidden="1">
      <c r="A602" s="2" t="s">
        <v>371</v>
      </c>
      <c r="B602" s="2" t="s">
        <v>997</v>
      </c>
      <c r="C602" s="2" t="s">
        <v>119</v>
      </c>
      <c r="D602" s="2" t="s">
        <v>64</v>
      </c>
      <c r="E602" s="7" t="b">
        <v>1</v>
      </c>
      <c r="F602" s="9">
        <v>194.0</v>
      </c>
      <c r="G602" s="9">
        <v>24.90948924328759</v>
      </c>
      <c r="H602" s="9">
        <v>0.0081154510309278</v>
      </c>
      <c r="I602" s="7" t="b">
        <v>1</v>
      </c>
      <c r="J602" s="9">
        <v>0.0</v>
      </c>
      <c r="K602" s="7" t="b">
        <v>0</v>
      </c>
      <c r="L602" s="9">
        <v>119.0</v>
      </c>
      <c r="M602" s="9">
        <v>0.6134</v>
      </c>
      <c r="N602" s="2" t="s">
        <v>2277</v>
      </c>
      <c r="O602" s="2" t="s">
        <v>1373</v>
      </c>
      <c r="P602" s="9">
        <v>67.9</v>
      </c>
      <c r="Q602" s="9">
        <v>64.0</v>
      </c>
      <c r="R602" s="9">
        <v>0.0</v>
      </c>
      <c r="S602" s="9">
        <v>0.587</v>
      </c>
      <c r="T602" s="9">
        <v>0.9972</v>
      </c>
      <c r="U602" s="2" t="s">
        <v>1416</v>
      </c>
      <c r="V602" s="9">
        <v>0.0432</v>
      </c>
      <c r="W602" s="2" t="s">
        <v>82</v>
      </c>
      <c r="X602" s="2" t="s">
        <v>495</v>
      </c>
      <c r="Y602" s="2" t="s">
        <v>1408</v>
      </c>
      <c r="Z602" s="9">
        <v>0.4593</v>
      </c>
      <c r="AA602" s="9">
        <v>0.587</v>
      </c>
      <c r="AB602" s="9">
        <v>0.0432</v>
      </c>
      <c r="AC602" s="9">
        <v>0.677</v>
      </c>
      <c r="AD602" s="9" t="str">
        <f t="shared" si="1"/>
        <v>#REF!</v>
      </c>
    </row>
    <row r="603" hidden="1">
      <c r="A603" s="2" t="s">
        <v>392</v>
      </c>
      <c r="B603" s="2" t="s">
        <v>534</v>
      </c>
      <c r="C603" s="2" t="s">
        <v>119</v>
      </c>
      <c r="D603" s="2" t="s">
        <v>64</v>
      </c>
      <c r="E603" s="7" t="b">
        <v>1</v>
      </c>
      <c r="F603" s="9">
        <v>286.0</v>
      </c>
      <c r="G603" s="9">
        <v>12.00971118305209</v>
      </c>
      <c r="H603" s="9">
        <v>0.0027951853146853</v>
      </c>
      <c r="I603" s="7" t="b">
        <v>1</v>
      </c>
      <c r="J603" s="9">
        <v>0.0</v>
      </c>
      <c r="K603" s="7" t="b">
        <v>0</v>
      </c>
      <c r="L603" s="9">
        <v>94.0</v>
      </c>
      <c r="M603" s="9">
        <v>0.3287</v>
      </c>
      <c r="N603" s="2" t="s">
        <v>1825</v>
      </c>
      <c r="O603" s="2" t="s">
        <v>2284</v>
      </c>
      <c r="P603" s="9">
        <v>62.26</v>
      </c>
      <c r="Q603" s="9">
        <v>55.0</v>
      </c>
      <c r="R603" s="9">
        <v>0.0</v>
      </c>
      <c r="S603" s="9">
        <v>0.5481</v>
      </c>
      <c r="T603" s="9">
        <v>0.9485</v>
      </c>
      <c r="U603" s="2" t="s">
        <v>1416</v>
      </c>
      <c r="V603" s="15"/>
      <c r="W603" s="2" t="s">
        <v>1124</v>
      </c>
      <c r="X603" s="2" t="s">
        <v>182</v>
      </c>
      <c r="Y603" s="2" t="s">
        <v>3170</v>
      </c>
      <c r="Z603" s="9">
        <v>0.4278</v>
      </c>
      <c r="AA603" s="9">
        <v>0.5481</v>
      </c>
      <c r="AB603" s="15"/>
      <c r="AC603" s="9">
        <v>0.2513</v>
      </c>
      <c r="AD603" s="9" t="str">
        <f t="shared" si="1"/>
        <v>#REF!</v>
      </c>
    </row>
    <row r="604" hidden="1">
      <c r="A604" s="2" t="s">
        <v>392</v>
      </c>
      <c r="B604" s="2" t="s">
        <v>937</v>
      </c>
      <c r="C604" s="2" t="s">
        <v>119</v>
      </c>
      <c r="D604" s="2" t="s">
        <v>64</v>
      </c>
      <c r="E604" s="7" t="b">
        <v>1</v>
      </c>
      <c r="F604" s="9">
        <v>304.0</v>
      </c>
      <c r="G604" s="9">
        <v>1.763268649268311</v>
      </c>
      <c r="H604" s="9">
        <v>0.0041789802631578</v>
      </c>
      <c r="I604" s="7" t="b">
        <v>1</v>
      </c>
      <c r="J604" s="9">
        <v>0.0</v>
      </c>
      <c r="K604" s="7" t="b">
        <v>0</v>
      </c>
      <c r="L604" s="9">
        <v>180314.0</v>
      </c>
      <c r="M604" s="9">
        <v>593.1382</v>
      </c>
      <c r="N604" s="2" t="s">
        <v>4433</v>
      </c>
      <c r="O604" s="2" t="s">
        <v>4434</v>
      </c>
      <c r="P604" s="9">
        <v>60.19</v>
      </c>
      <c r="Q604" s="9">
        <v>51.0</v>
      </c>
      <c r="R604" s="9">
        <v>0.010929</v>
      </c>
      <c r="S604" s="9">
        <v>0.8547</v>
      </c>
      <c r="T604" s="9">
        <v>0.153</v>
      </c>
      <c r="U604" s="2" t="s">
        <v>3329</v>
      </c>
      <c r="V604" s="9">
        <v>0.8066</v>
      </c>
      <c r="W604" s="2" t="s">
        <v>2879</v>
      </c>
      <c r="X604" s="2" t="s">
        <v>495</v>
      </c>
      <c r="Y604" s="2" t="s">
        <v>2880</v>
      </c>
      <c r="Z604" s="9">
        <v>0.8079</v>
      </c>
      <c r="AA604" s="9">
        <v>0.8547</v>
      </c>
      <c r="AB604" s="9">
        <v>0.8066</v>
      </c>
      <c r="AC604" s="9">
        <v>0.1479</v>
      </c>
      <c r="AD604" s="9" t="str">
        <f t="shared" si="1"/>
        <v>#REF!</v>
      </c>
    </row>
    <row r="605" hidden="1">
      <c r="A605" s="2" t="s">
        <v>392</v>
      </c>
      <c r="B605" s="2" t="s">
        <v>997</v>
      </c>
      <c r="C605" s="2" t="s">
        <v>119</v>
      </c>
      <c r="D605" s="2" t="s">
        <v>64</v>
      </c>
      <c r="E605" s="7" t="b">
        <v>1</v>
      </c>
      <c r="F605" s="9">
        <v>347.0</v>
      </c>
      <c r="G605" s="9">
        <v>10.16705501472318</v>
      </c>
      <c r="H605" s="9">
        <v>0.0024200841498559</v>
      </c>
      <c r="I605" s="7" t="b">
        <v>1</v>
      </c>
      <c r="J605" s="9">
        <v>0.0</v>
      </c>
      <c r="K605" s="7" t="b">
        <v>0</v>
      </c>
      <c r="L605" s="9">
        <v>106.0</v>
      </c>
      <c r="M605" s="9">
        <v>0.3055</v>
      </c>
      <c r="N605" s="2" t="s">
        <v>1450</v>
      </c>
      <c r="O605" s="2" t="s">
        <v>1451</v>
      </c>
      <c r="P605" s="9">
        <v>57.48</v>
      </c>
      <c r="Q605" s="9">
        <v>51.5</v>
      </c>
      <c r="R605" s="9">
        <v>0.0</v>
      </c>
      <c r="S605" s="9">
        <v>0.5691</v>
      </c>
      <c r="T605" s="9">
        <v>0.9888</v>
      </c>
      <c r="U605" s="2" t="s">
        <v>1416</v>
      </c>
      <c r="V605" s="9">
        <v>0.0</v>
      </c>
      <c r="W605" s="2" t="s">
        <v>157</v>
      </c>
      <c r="X605" s="2" t="s">
        <v>1466</v>
      </c>
      <c r="Y605" s="2" t="s">
        <v>2849</v>
      </c>
      <c r="Z605" s="9">
        <v>0.4457</v>
      </c>
      <c r="AA605" s="9">
        <v>0.5691</v>
      </c>
      <c r="AB605" s="9">
        <v>0.0</v>
      </c>
      <c r="AC605" s="9">
        <v>0.7231</v>
      </c>
      <c r="AD605" s="9" t="str">
        <f t="shared" si="1"/>
        <v>#REF!</v>
      </c>
    </row>
    <row r="606" hidden="1">
      <c r="A606" s="2" t="s">
        <v>392</v>
      </c>
      <c r="B606" s="2" t="s">
        <v>1053</v>
      </c>
      <c r="C606" s="2" t="s">
        <v>119</v>
      </c>
      <c r="D606" s="2" t="s">
        <v>64</v>
      </c>
      <c r="E606" s="7" t="b">
        <v>1</v>
      </c>
      <c r="F606" s="9">
        <v>73.0</v>
      </c>
      <c r="G606" s="9">
        <v>3.706482887041712</v>
      </c>
      <c r="H606" s="9">
        <v>0.0016610547945205</v>
      </c>
      <c r="I606" s="7" t="b">
        <v>1</v>
      </c>
      <c r="J606" s="9">
        <v>0.0</v>
      </c>
      <c r="K606" s="7" t="b">
        <v>0</v>
      </c>
      <c r="L606" s="9">
        <v>15744.0</v>
      </c>
      <c r="M606" s="9">
        <v>215.6712</v>
      </c>
      <c r="N606" s="2" t="s">
        <v>4435</v>
      </c>
      <c r="O606" s="2" t="s">
        <v>4436</v>
      </c>
      <c r="P606" s="9">
        <v>37.31</v>
      </c>
      <c r="Q606" s="9">
        <v>35.0</v>
      </c>
      <c r="R606" s="9">
        <v>0.009972</v>
      </c>
      <c r="S606" s="9">
        <v>0.7645</v>
      </c>
      <c r="T606" s="9">
        <v>0.2601</v>
      </c>
      <c r="U606" s="2" t="s">
        <v>4425</v>
      </c>
      <c r="V606" s="9">
        <v>0.8865</v>
      </c>
      <c r="W606" s="2" t="s">
        <v>1600</v>
      </c>
      <c r="X606" s="2" t="s">
        <v>1466</v>
      </c>
      <c r="Y606" s="2" t="s">
        <v>2821</v>
      </c>
      <c r="Z606" s="9">
        <v>0.6871</v>
      </c>
      <c r="AA606" s="9">
        <v>0.7645</v>
      </c>
      <c r="AB606" s="9">
        <v>0.8865</v>
      </c>
      <c r="AC606" s="9">
        <v>0.1444</v>
      </c>
      <c r="AD606" s="9" t="str">
        <f t="shared" si="1"/>
        <v>#REF!</v>
      </c>
    </row>
    <row r="607" hidden="1">
      <c r="A607" s="2" t="s">
        <v>384</v>
      </c>
      <c r="B607" s="2" t="s">
        <v>534</v>
      </c>
      <c r="C607" s="2" t="s">
        <v>119</v>
      </c>
      <c r="D607" s="2" t="s">
        <v>64</v>
      </c>
      <c r="E607" s="7" t="b">
        <v>1</v>
      </c>
      <c r="F607" s="9">
        <v>357.0</v>
      </c>
      <c r="G607" s="9">
        <v>11.82269697774312</v>
      </c>
      <c r="H607" s="9">
        <v>0.0033802647058823</v>
      </c>
      <c r="I607" s="7" t="b">
        <v>1</v>
      </c>
      <c r="J607" s="9">
        <v>0.0</v>
      </c>
      <c r="K607" s="7" t="b">
        <v>0</v>
      </c>
      <c r="L607" s="9">
        <v>109.0</v>
      </c>
      <c r="M607" s="9">
        <v>0.3053</v>
      </c>
      <c r="N607" s="2" t="s">
        <v>2105</v>
      </c>
      <c r="O607" s="2" t="s">
        <v>1373</v>
      </c>
      <c r="P607" s="9">
        <v>68.1</v>
      </c>
      <c r="Q607" s="9">
        <v>64.0</v>
      </c>
      <c r="R607" s="9">
        <v>0.0</v>
      </c>
      <c r="S607" s="9">
        <v>0.5478</v>
      </c>
      <c r="T607" s="9">
        <v>0.9258</v>
      </c>
      <c r="U607" s="2" t="s">
        <v>3790</v>
      </c>
      <c r="V607" s="9">
        <v>0.6153</v>
      </c>
      <c r="W607" s="2" t="s">
        <v>134</v>
      </c>
      <c r="X607" s="2" t="s">
        <v>1466</v>
      </c>
      <c r="Y607" s="2" t="s">
        <v>4437</v>
      </c>
      <c r="Z607" s="9">
        <v>0.4327</v>
      </c>
      <c r="AA607" s="9">
        <v>0.5478</v>
      </c>
      <c r="AB607" s="9">
        <v>0.6153</v>
      </c>
      <c r="AC607" s="9">
        <v>0.2444</v>
      </c>
      <c r="AD607" s="9" t="str">
        <f t="shared" si="1"/>
        <v>#REF!</v>
      </c>
    </row>
    <row r="608" hidden="1">
      <c r="A608" s="2" t="s">
        <v>384</v>
      </c>
      <c r="B608" s="2" t="s">
        <v>542</v>
      </c>
      <c r="C608" s="2" t="s">
        <v>119</v>
      </c>
      <c r="D608" s="2" t="s">
        <v>64</v>
      </c>
      <c r="E608" s="7" t="b">
        <v>1</v>
      </c>
      <c r="F608" s="9">
        <v>81.0</v>
      </c>
      <c r="G608" s="9">
        <v>10.3141787354673</v>
      </c>
      <c r="H608" s="9">
        <v>0.0011720925925925</v>
      </c>
      <c r="I608" s="7" t="b">
        <v>1</v>
      </c>
      <c r="J608" s="9">
        <v>0.0</v>
      </c>
      <c r="K608" s="7" t="b">
        <v>0</v>
      </c>
      <c r="L608" s="9">
        <v>123.0</v>
      </c>
      <c r="M608" s="9">
        <v>1.5185</v>
      </c>
      <c r="N608" s="2" t="s">
        <v>1724</v>
      </c>
      <c r="O608" s="2" t="s">
        <v>231</v>
      </c>
      <c r="P608" s="9">
        <v>56.58</v>
      </c>
      <c r="Q608" s="9">
        <v>49.0</v>
      </c>
      <c r="R608" s="9">
        <v>0.0</v>
      </c>
      <c r="S608" s="9">
        <v>0.6183</v>
      </c>
      <c r="T608" s="9">
        <v>0.9888</v>
      </c>
      <c r="U608" s="2" t="s">
        <v>3103</v>
      </c>
      <c r="V608" s="9">
        <v>0.0</v>
      </c>
      <c r="W608" s="2" t="s">
        <v>1193</v>
      </c>
      <c r="X608" s="2" t="s">
        <v>1466</v>
      </c>
      <c r="Y608" s="2" t="s">
        <v>1456</v>
      </c>
      <c r="Z608" s="9">
        <v>0.4799</v>
      </c>
      <c r="AA608" s="9">
        <v>0.6183</v>
      </c>
      <c r="AB608" s="9">
        <v>0.0</v>
      </c>
      <c r="AC608" s="9">
        <v>0.1669</v>
      </c>
      <c r="AD608" s="9" t="str">
        <f t="shared" si="1"/>
        <v>#REF!</v>
      </c>
    </row>
    <row r="609" hidden="1">
      <c r="A609" s="2" t="s">
        <v>384</v>
      </c>
      <c r="B609" s="2" t="s">
        <v>611</v>
      </c>
      <c r="C609" s="2" t="s">
        <v>119</v>
      </c>
      <c r="D609" s="2" t="s">
        <v>64</v>
      </c>
      <c r="E609" s="7" t="b">
        <v>1</v>
      </c>
      <c r="F609" s="9">
        <v>308.0</v>
      </c>
      <c r="G609" s="9">
        <v>9.221062381199916</v>
      </c>
      <c r="H609" s="9">
        <v>0.0021213022727272</v>
      </c>
      <c r="I609" s="7" t="b">
        <v>1</v>
      </c>
      <c r="J609" s="9">
        <v>0.0</v>
      </c>
      <c r="K609" s="7" t="b">
        <v>0</v>
      </c>
      <c r="L609" s="9">
        <v>52.0</v>
      </c>
      <c r="M609" s="9">
        <v>0.1688</v>
      </c>
      <c r="N609" s="2" t="s">
        <v>2619</v>
      </c>
      <c r="O609" s="2" t="s">
        <v>2552</v>
      </c>
      <c r="P609" s="9">
        <v>35.52</v>
      </c>
      <c r="Q609" s="9">
        <v>34.0</v>
      </c>
      <c r="R609" s="9">
        <v>0.0</v>
      </c>
      <c r="S609" s="9">
        <v>0.2872</v>
      </c>
      <c r="T609" s="9">
        <v>0.4154</v>
      </c>
      <c r="U609" s="2" t="s">
        <v>4438</v>
      </c>
      <c r="V609" s="9">
        <v>0.0</v>
      </c>
      <c r="W609" s="2" t="s">
        <v>82</v>
      </c>
      <c r="X609" s="2" t="s">
        <v>1521</v>
      </c>
      <c r="Y609" s="2" t="s">
        <v>1498</v>
      </c>
      <c r="Z609" s="9">
        <v>0.2317</v>
      </c>
      <c r="AA609" s="9">
        <v>0.2872</v>
      </c>
      <c r="AB609" s="9">
        <v>0.0</v>
      </c>
      <c r="AC609" s="9">
        <v>0.1016</v>
      </c>
      <c r="AD609" s="9" t="str">
        <f t="shared" si="1"/>
        <v>#REF!</v>
      </c>
    </row>
    <row r="610" hidden="1">
      <c r="A610" s="2" t="s">
        <v>384</v>
      </c>
      <c r="B610" s="2" t="s">
        <v>937</v>
      </c>
      <c r="C610" s="2" t="s">
        <v>119</v>
      </c>
      <c r="D610" s="2" t="s">
        <v>64</v>
      </c>
      <c r="E610" s="7" t="b">
        <v>1</v>
      </c>
      <c r="F610" s="9">
        <v>282.0</v>
      </c>
      <c r="G610" s="9">
        <v>1.777603792076278</v>
      </c>
      <c r="H610" s="9">
        <v>0.0039468936170212</v>
      </c>
      <c r="I610" s="7" t="b">
        <v>1</v>
      </c>
      <c r="J610" s="9">
        <v>0.0</v>
      </c>
      <c r="K610" s="7" t="b">
        <v>0</v>
      </c>
      <c r="L610" s="9">
        <v>156717.0</v>
      </c>
      <c r="M610" s="9">
        <v>555.734</v>
      </c>
      <c r="N610" s="2" t="s">
        <v>4439</v>
      </c>
      <c r="O610" s="2" t="s">
        <v>4440</v>
      </c>
      <c r="P610" s="9">
        <v>61.02</v>
      </c>
      <c r="Q610" s="9">
        <v>54.0</v>
      </c>
      <c r="R610" s="9">
        <v>0.010636</v>
      </c>
      <c r="S610" s="9">
        <v>0.8499</v>
      </c>
      <c r="T610" s="9">
        <v>0.1523</v>
      </c>
      <c r="U610" s="2" t="s">
        <v>2770</v>
      </c>
      <c r="V610" s="9">
        <v>0.7823</v>
      </c>
      <c r="W610" s="2" t="s">
        <v>2879</v>
      </c>
      <c r="X610" s="2" t="s">
        <v>495</v>
      </c>
      <c r="Y610" s="2" t="s">
        <v>2880</v>
      </c>
      <c r="Z610" s="9">
        <v>0.8024</v>
      </c>
      <c r="AA610" s="9">
        <v>0.8499</v>
      </c>
      <c r="AB610" s="9">
        <v>0.7823</v>
      </c>
      <c r="AC610" s="9">
        <v>0.1558</v>
      </c>
      <c r="AD610" s="9" t="str">
        <f t="shared" si="1"/>
        <v>#REF!</v>
      </c>
    </row>
    <row r="611" hidden="1">
      <c r="A611" s="2" t="s">
        <v>384</v>
      </c>
      <c r="B611" s="2" t="s">
        <v>997</v>
      </c>
      <c r="C611" s="2" t="s">
        <v>119</v>
      </c>
      <c r="D611" s="2" t="s">
        <v>64</v>
      </c>
      <c r="E611" s="7" t="b">
        <v>1</v>
      </c>
      <c r="F611" s="9">
        <v>1790.0</v>
      </c>
      <c r="G611" s="9">
        <v>19.69002269704945</v>
      </c>
      <c r="H611" s="9">
        <v>0.0458956620111731</v>
      </c>
      <c r="I611" s="7" t="b">
        <v>1</v>
      </c>
      <c r="J611" s="9">
        <v>0.0</v>
      </c>
      <c r="K611" s="7" t="b">
        <v>0</v>
      </c>
      <c r="L611" s="9">
        <v>892.0</v>
      </c>
      <c r="M611" s="9">
        <v>0.4983</v>
      </c>
      <c r="N611" s="2" t="s">
        <v>4441</v>
      </c>
      <c r="O611" s="2" t="s">
        <v>2757</v>
      </c>
      <c r="P611" s="9">
        <v>62.83</v>
      </c>
      <c r="Q611" s="9">
        <v>59.0</v>
      </c>
      <c r="R611" s="9">
        <v>0.039735</v>
      </c>
      <c r="S611" s="9">
        <v>0.7999</v>
      </c>
      <c r="T611" s="9">
        <v>0.9719</v>
      </c>
      <c r="U611" s="2" t="s">
        <v>758</v>
      </c>
      <c r="V611" s="9">
        <v>0.6166</v>
      </c>
      <c r="W611" s="2" t="s">
        <v>134</v>
      </c>
      <c r="X611" s="2" t="s">
        <v>495</v>
      </c>
      <c r="Y611" s="2" t="s">
        <v>2967</v>
      </c>
      <c r="Z611" s="9">
        <v>0.6443</v>
      </c>
      <c r="AA611" s="9">
        <v>0.7999</v>
      </c>
      <c r="AB611" s="9">
        <v>0.6166</v>
      </c>
      <c r="AC611" s="9">
        <v>0.7141</v>
      </c>
      <c r="AD611" s="9" t="str">
        <f t="shared" si="1"/>
        <v>#REF!</v>
      </c>
    </row>
    <row r="612" hidden="1">
      <c r="A612" s="2" t="s">
        <v>384</v>
      </c>
      <c r="B612" s="2" t="s">
        <v>1040</v>
      </c>
      <c r="C612" s="2" t="s">
        <v>119</v>
      </c>
      <c r="D612" s="2" t="s">
        <v>64</v>
      </c>
      <c r="E612" s="7" t="b">
        <v>1</v>
      </c>
      <c r="F612" s="9">
        <v>907.0</v>
      </c>
      <c r="G612" s="9">
        <v>2.138144379003815</v>
      </c>
      <c r="H612" s="9">
        <v>0.0010020611907386</v>
      </c>
      <c r="I612" s="7" t="b">
        <v>1</v>
      </c>
      <c r="J612" s="9">
        <v>0.0</v>
      </c>
      <c r="K612" s="7" t="b">
        <v>0</v>
      </c>
      <c r="L612" s="9">
        <v>13595.0</v>
      </c>
      <c r="M612" s="9">
        <v>14.989</v>
      </c>
      <c r="N612" s="2" t="s">
        <v>4442</v>
      </c>
      <c r="O612" s="2" t="s">
        <v>4443</v>
      </c>
      <c r="P612" s="9">
        <v>37.23</v>
      </c>
      <c r="Q612" s="9">
        <v>34.0</v>
      </c>
      <c r="R612" s="9">
        <v>0.014797</v>
      </c>
      <c r="S612" s="9">
        <v>0.7576</v>
      </c>
      <c r="T612" s="9">
        <v>0.2891</v>
      </c>
      <c r="U612" s="2" t="s">
        <v>3424</v>
      </c>
      <c r="V612" s="9">
        <v>0.8845</v>
      </c>
      <c r="W612" s="2" t="s">
        <v>1884</v>
      </c>
      <c r="X612" s="2" t="s">
        <v>517</v>
      </c>
      <c r="Y612" s="2" t="s">
        <v>1593</v>
      </c>
      <c r="Z612" s="9">
        <v>0.6813</v>
      </c>
      <c r="AA612" s="9">
        <v>0.7576</v>
      </c>
      <c r="AB612" s="9">
        <v>0.8845</v>
      </c>
      <c r="AC612" s="9">
        <v>0.1424</v>
      </c>
      <c r="AD612" s="9" t="str">
        <f t="shared" si="1"/>
        <v>#REF!</v>
      </c>
    </row>
    <row r="613" hidden="1">
      <c r="A613" s="2" t="s">
        <v>384</v>
      </c>
      <c r="B613" s="2" t="s">
        <v>1053</v>
      </c>
      <c r="C613" s="2" t="s">
        <v>119</v>
      </c>
      <c r="D613" s="2" t="s">
        <v>64</v>
      </c>
      <c r="E613" s="7" t="b">
        <v>1</v>
      </c>
      <c r="F613" s="9">
        <v>75.0</v>
      </c>
      <c r="G613" s="9">
        <v>3.232805841462535</v>
      </c>
      <c r="H613" s="9">
        <v>0.0012987333333333</v>
      </c>
      <c r="I613" s="7" t="b">
        <v>1</v>
      </c>
      <c r="J613" s="9">
        <v>0.0</v>
      </c>
      <c r="K613" s="7" t="b">
        <v>0</v>
      </c>
      <c r="L613" s="9">
        <v>13316.0</v>
      </c>
      <c r="M613" s="9">
        <v>177.5467</v>
      </c>
      <c r="N613" s="2" t="s">
        <v>4444</v>
      </c>
      <c r="O613" s="2" t="s">
        <v>4445</v>
      </c>
      <c r="P613" s="9">
        <v>37.28</v>
      </c>
      <c r="Q613" s="9">
        <v>34.0</v>
      </c>
      <c r="R613" s="9">
        <v>0.014441</v>
      </c>
      <c r="S613" s="9">
        <v>0.7598</v>
      </c>
      <c r="T613" s="9">
        <v>0.2874</v>
      </c>
      <c r="U613" s="2" t="s">
        <v>3424</v>
      </c>
      <c r="V613" s="9">
        <v>0.8854</v>
      </c>
      <c r="W613" s="2" t="s">
        <v>1771</v>
      </c>
      <c r="X613" s="2" t="s">
        <v>517</v>
      </c>
      <c r="Y613" s="2" t="s">
        <v>1593</v>
      </c>
      <c r="Z613" s="9">
        <v>0.6842</v>
      </c>
      <c r="AA613" s="9">
        <v>0.7598</v>
      </c>
      <c r="AB613" s="9">
        <v>0.8854</v>
      </c>
      <c r="AC613" s="9">
        <v>0.1438</v>
      </c>
      <c r="AD613" s="9" t="str">
        <f t="shared" si="1"/>
        <v>#REF!</v>
      </c>
    </row>
    <row r="614" hidden="1">
      <c r="A614" s="2" t="s">
        <v>406</v>
      </c>
      <c r="B614" s="2" t="s">
        <v>441</v>
      </c>
      <c r="C614" s="2" t="s">
        <v>119</v>
      </c>
      <c r="D614" s="2" t="s">
        <v>64</v>
      </c>
      <c r="E614" s="7" t="b">
        <v>1</v>
      </c>
      <c r="F614" s="9">
        <v>227.0</v>
      </c>
      <c r="G614" s="9">
        <v>3.983959595615301</v>
      </c>
      <c r="H614" s="9">
        <v>0.0012665867841409</v>
      </c>
      <c r="I614" s="7" t="b">
        <v>1</v>
      </c>
      <c r="J614" s="9">
        <v>0.0</v>
      </c>
      <c r="K614" s="7" t="b">
        <v>0</v>
      </c>
      <c r="L614" s="9">
        <v>58.0</v>
      </c>
      <c r="M614" s="9">
        <v>0.2555</v>
      </c>
      <c r="N614" s="2" t="s">
        <v>2024</v>
      </c>
      <c r="O614" s="2" t="s">
        <v>2330</v>
      </c>
      <c r="P614" s="9">
        <v>52.41</v>
      </c>
      <c r="Q614" s="9">
        <v>53.5</v>
      </c>
      <c r="R614" s="9">
        <v>0.0</v>
      </c>
      <c r="S614" s="9">
        <v>0.4659</v>
      </c>
      <c r="T614" s="9">
        <v>0.9313</v>
      </c>
      <c r="U614" s="2" t="s">
        <v>2878</v>
      </c>
      <c r="V614" s="15"/>
      <c r="W614" s="2" t="s">
        <v>1124</v>
      </c>
      <c r="X614" s="2" t="s">
        <v>182</v>
      </c>
      <c r="Y614" s="2" t="s">
        <v>1491</v>
      </c>
      <c r="Z614" s="9">
        <v>0.3754</v>
      </c>
      <c r="AA614" s="9">
        <v>0.4659</v>
      </c>
      <c r="AB614" s="15"/>
      <c r="AC614" s="9">
        <v>0.047</v>
      </c>
      <c r="AD614" s="9" t="str">
        <f t="shared" si="1"/>
        <v>#REF!</v>
      </c>
    </row>
    <row r="615" hidden="1">
      <c r="A615" s="2" t="s">
        <v>406</v>
      </c>
      <c r="B615" s="2" t="s">
        <v>503</v>
      </c>
      <c r="C615" s="2" t="s">
        <v>119</v>
      </c>
      <c r="D615" s="2" t="s">
        <v>64</v>
      </c>
      <c r="E615" s="7" t="b">
        <v>1</v>
      </c>
      <c r="F615" s="9">
        <v>181.0</v>
      </c>
      <c r="G615" s="9">
        <v>7.944023379861803</v>
      </c>
      <c r="H615" s="9">
        <v>0.0010154270718232</v>
      </c>
      <c r="I615" s="7" t="b">
        <v>1</v>
      </c>
      <c r="J615" s="9">
        <v>0.0</v>
      </c>
      <c r="K615" s="7" t="b">
        <v>0</v>
      </c>
      <c r="L615" s="9">
        <v>259.0</v>
      </c>
      <c r="M615" s="9">
        <v>1.4309</v>
      </c>
      <c r="N615" s="2" t="s">
        <v>2379</v>
      </c>
      <c r="O615" s="2" t="s">
        <v>1912</v>
      </c>
      <c r="P615" s="9">
        <v>48.73</v>
      </c>
      <c r="Q615" s="9">
        <v>41.0</v>
      </c>
      <c r="R615" s="9">
        <v>0.0</v>
      </c>
      <c r="S615" s="9">
        <v>0.4391</v>
      </c>
      <c r="T615" s="9">
        <v>0.5651</v>
      </c>
      <c r="U615" s="2" t="s">
        <v>3581</v>
      </c>
      <c r="V615" s="9">
        <v>0.8393</v>
      </c>
      <c r="W615" s="2" t="s">
        <v>1657</v>
      </c>
      <c r="X615" s="2" t="s">
        <v>1466</v>
      </c>
      <c r="Y615" s="2" t="s">
        <v>2821</v>
      </c>
      <c r="Z615" s="9">
        <v>0.3529</v>
      </c>
      <c r="AA615" s="9">
        <v>0.4391</v>
      </c>
      <c r="AB615" s="9">
        <v>0.8393</v>
      </c>
      <c r="AC615" s="9">
        <v>0.1923</v>
      </c>
      <c r="AD615" s="9" t="str">
        <f t="shared" si="1"/>
        <v>#REF!</v>
      </c>
    </row>
    <row r="616" hidden="1">
      <c r="A616" s="2" t="s">
        <v>406</v>
      </c>
      <c r="B616" s="2" t="s">
        <v>542</v>
      </c>
      <c r="C616" s="2" t="s">
        <v>119</v>
      </c>
      <c r="D616" s="2" t="s">
        <v>64</v>
      </c>
      <c r="E616" s="7" t="b">
        <v>1</v>
      </c>
      <c r="F616" s="9">
        <v>99.0</v>
      </c>
      <c r="G616" s="9">
        <v>8.782683103312928</v>
      </c>
      <c r="H616" s="9">
        <v>0.0010384111111111</v>
      </c>
      <c r="I616" s="7" t="b">
        <v>1</v>
      </c>
      <c r="J616" s="9">
        <v>0.0</v>
      </c>
      <c r="K616" s="7" t="b">
        <v>0</v>
      </c>
      <c r="L616" s="9">
        <v>71.0</v>
      </c>
      <c r="M616" s="9">
        <v>0.7172</v>
      </c>
      <c r="N616" s="2" t="s">
        <v>1794</v>
      </c>
      <c r="O616" s="2" t="s">
        <v>1795</v>
      </c>
      <c r="P616" s="9">
        <v>66.87</v>
      </c>
      <c r="Q616" s="9">
        <v>65.0</v>
      </c>
      <c r="R616" s="9">
        <v>0.0</v>
      </c>
      <c r="S616" s="9">
        <v>0.5492</v>
      </c>
      <c r="T616" s="9">
        <v>0.999</v>
      </c>
      <c r="U616" s="2" t="s">
        <v>3676</v>
      </c>
      <c r="V616" s="9">
        <v>0.3</v>
      </c>
      <c r="W616" s="2" t="s">
        <v>1657</v>
      </c>
      <c r="X616" s="2" t="s">
        <v>1466</v>
      </c>
      <c r="Y616" s="2" t="s">
        <v>1456</v>
      </c>
      <c r="Z616" s="9">
        <v>0.4281</v>
      </c>
      <c r="AA616" s="9">
        <v>0.5492</v>
      </c>
      <c r="AB616" s="9">
        <v>0.3</v>
      </c>
      <c r="AC616" s="9">
        <v>0.1634</v>
      </c>
      <c r="AD616" s="9" t="str">
        <f t="shared" si="1"/>
        <v>#REF!</v>
      </c>
    </row>
    <row r="617" hidden="1">
      <c r="A617" s="2" t="s">
        <v>406</v>
      </c>
      <c r="B617" s="2" t="s">
        <v>501</v>
      </c>
      <c r="C617" s="2" t="s">
        <v>119</v>
      </c>
      <c r="D617" s="2" t="s">
        <v>64</v>
      </c>
      <c r="E617" s="7" t="b">
        <v>1</v>
      </c>
      <c r="F617" s="9">
        <v>2603.0</v>
      </c>
      <c r="G617" s="9">
        <v>3.392878921361166</v>
      </c>
      <c r="H617" s="9">
        <v>0.0039477948520937</v>
      </c>
      <c r="I617" s="7" t="b">
        <v>1</v>
      </c>
      <c r="J617" s="9">
        <v>0.0</v>
      </c>
      <c r="K617" s="7" t="b">
        <v>0</v>
      </c>
      <c r="L617" s="9">
        <v>5437.0</v>
      </c>
      <c r="M617" s="9">
        <v>2.0887</v>
      </c>
      <c r="N617" s="2" t="s">
        <v>4446</v>
      </c>
      <c r="O617" s="2" t="s">
        <v>4257</v>
      </c>
      <c r="P617" s="9">
        <v>52.36</v>
      </c>
      <c r="Q617" s="9">
        <v>42.0</v>
      </c>
      <c r="R617" s="9">
        <v>0.009815</v>
      </c>
      <c r="S617" s="9">
        <v>0.6201</v>
      </c>
      <c r="T617" s="9">
        <v>0.3096</v>
      </c>
      <c r="U617" s="2" t="s">
        <v>4447</v>
      </c>
      <c r="V617" s="9">
        <v>0.8428</v>
      </c>
      <c r="W617" s="15"/>
      <c r="X617" s="2" t="s">
        <v>1466</v>
      </c>
      <c r="Y617" s="2" t="s">
        <v>2821</v>
      </c>
      <c r="Z617" s="9">
        <v>0.5921</v>
      </c>
      <c r="AA617" s="9">
        <v>0.6201</v>
      </c>
      <c r="AB617" s="9">
        <v>0.8428</v>
      </c>
      <c r="AC617" s="9">
        <v>0.1228</v>
      </c>
      <c r="AD617" s="9" t="str">
        <f t="shared" si="1"/>
        <v>#REF!</v>
      </c>
    </row>
    <row r="618" hidden="1">
      <c r="A618" s="2" t="s">
        <v>406</v>
      </c>
      <c r="B618" s="2" t="s">
        <v>937</v>
      </c>
      <c r="C618" s="2" t="s">
        <v>119</v>
      </c>
      <c r="D618" s="2" t="s">
        <v>64</v>
      </c>
      <c r="E618" s="7" t="b">
        <v>1</v>
      </c>
      <c r="F618" s="9">
        <v>317.0</v>
      </c>
      <c r="G618" s="9">
        <v>1.87833768389726</v>
      </c>
      <c r="H618" s="9">
        <v>0.0049340063091482</v>
      </c>
      <c r="I618" s="7" t="b">
        <v>1</v>
      </c>
      <c r="J618" s="9">
        <v>0.0</v>
      </c>
      <c r="K618" s="7" t="b">
        <v>0</v>
      </c>
      <c r="L618" s="9">
        <v>161839.0</v>
      </c>
      <c r="M618" s="9">
        <v>510.5331</v>
      </c>
      <c r="N618" s="2" t="s">
        <v>4448</v>
      </c>
      <c r="O618" s="2" t="s">
        <v>4449</v>
      </c>
      <c r="P618" s="9">
        <v>62.72</v>
      </c>
      <c r="Q618" s="9">
        <v>57.0</v>
      </c>
      <c r="R618" s="9">
        <v>0.010972</v>
      </c>
      <c r="S618" s="9">
        <v>0.8499</v>
      </c>
      <c r="T618" s="9">
        <v>0.1484</v>
      </c>
      <c r="U618" s="2" t="s">
        <v>4041</v>
      </c>
      <c r="V618" s="9">
        <v>0.7655</v>
      </c>
      <c r="W618" s="2" t="s">
        <v>2879</v>
      </c>
      <c r="X618" s="2" t="s">
        <v>495</v>
      </c>
      <c r="Y618" s="2" t="s">
        <v>2880</v>
      </c>
      <c r="Z618" s="9">
        <v>0.8011</v>
      </c>
      <c r="AA618" s="9">
        <v>0.8499</v>
      </c>
      <c r="AB618" s="9">
        <v>0.7655</v>
      </c>
      <c r="AC618" s="9">
        <v>0.1522</v>
      </c>
      <c r="AD618" s="9" t="str">
        <f t="shared" si="1"/>
        <v>#REF!</v>
      </c>
    </row>
    <row r="619" hidden="1">
      <c r="A619" s="2" t="s">
        <v>406</v>
      </c>
      <c r="B619" s="2" t="s">
        <v>997</v>
      </c>
      <c r="C619" s="2" t="s">
        <v>119</v>
      </c>
      <c r="D619" s="2" t="s">
        <v>64</v>
      </c>
      <c r="E619" s="7" t="b">
        <v>1</v>
      </c>
      <c r="F619" s="9">
        <v>4464.0</v>
      </c>
      <c r="G619" s="9">
        <v>31.53316609819296</v>
      </c>
      <c r="H619" s="9">
        <v>0.2753726129032258</v>
      </c>
      <c r="I619" s="7" t="b">
        <v>1</v>
      </c>
      <c r="J619" s="9">
        <v>0.0</v>
      </c>
      <c r="K619" s="7" t="b">
        <v>0</v>
      </c>
      <c r="L619" s="9">
        <v>604.0</v>
      </c>
      <c r="M619" s="9">
        <v>0.1353</v>
      </c>
      <c r="N619" s="2" t="s">
        <v>4417</v>
      </c>
      <c r="O619" s="2" t="s">
        <v>4450</v>
      </c>
      <c r="P619" s="9">
        <v>73.87</v>
      </c>
      <c r="Q619" s="9">
        <v>75.0</v>
      </c>
      <c r="R619" s="9">
        <v>0.020202</v>
      </c>
      <c r="S619" s="9">
        <v>0.7683</v>
      </c>
      <c r="T619" s="9">
        <v>0.9963</v>
      </c>
      <c r="U619" s="2" t="s">
        <v>704</v>
      </c>
      <c r="V619" s="9">
        <v>0.0729</v>
      </c>
      <c r="W619" s="2" t="s">
        <v>82</v>
      </c>
      <c r="X619" s="2" t="s">
        <v>495</v>
      </c>
      <c r="Y619" s="2" t="s">
        <v>1726</v>
      </c>
      <c r="Z619" s="9">
        <v>0.6127</v>
      </c>
      <c r="AA619" s="9">
        <v>0.7683</v>
      </c>
      <c r="AB619" s="9">
        <v>0.0729</v>
      </c>
      <c r="AC619" s="9">
        <v>0.7025</v>
      </c>
      <c r="AD619" s="9" t="str">
        <f t="shared" si="1"/>
        <v>#REF!</v>
      </c>
    </row>
    <row r="620" hidden="1">
      <c r="A620" s="2" t="s">
        <v>406</v>
      </c>
      <c r="B620" s="2" t="s">
        <v>1015</v>
      </c>
      <c r="C620" s="2" t="s">
        <v>119</v>
      </c>
      <c r="D620" s="2" t="s">
        <v>64</v>
      </c>
      <c r="E620" s="7" t="b">
        <v>1</v>
      </c>
      <c r="F620" s="9">
        <v>182.0</v>
      </c>
      <c r="G620" s="9">
        <v>4.724559262518572</v>
      </c>
      <c r="H620" s="9">
        <v>0.0010114489010989</v>
      </c>
      <c r="I620" s="7" t="b">
        <v>1</v>
      </c>
      <c r="J620" s="9">
        <v>0.0</v>
      </c>
      <c r="K620" s="7" t="b">
        <v>0</v>
      </c>
      <c r="L620" s="9">
        <v>41.0</v>
      </c>
      <c r="M620" s="9">
        <v>0.2253</v>
      </c>
      <c r="N620" s="2" t="s">
        <v>1628</v>
      </c>
      <c r="O620" s="2" t="s">
        <v>2475</v>
      </c>
      <c r="P620" s="9">
        <v>45.8</v>
      </c>
      <c r="Q620" s="9">
        <v>43.0</v>
      </c>
      <c r="R620" s="9">
        <v>0.0</v>
      </c>
      <c r="S620" s="9">
        <v>0.297</v>
      </c>
      <c r="T620" s="9">
        <v>0.5859</v>
      </c>
      <c r="U620" s="2" t="s">
        <v>3162</v>
      </c>
      <c r="V620" s="15"/>
      <c r="W620" s="2" t="s">
        <v>198</v>
      </c>
      <c r="X620" s="2" t="s">
        <v>1787</v>
      </c>
      <c r="Y620" s="2" t="s">
        <v>1788</v>
      </c>
      <c r="Z620" s="9">
        <v>0.2756</v>
      </c>
      <c r="AA620" s="9">
        <v>0.297</v>
      </c>
      <c r="AB620" s="15"/>
      <c r="AC620" s="9">
        <v>0.0605</v>
      </c>
      <c r="AD620" s="9" t="str">
        <f t="shared" si="1"/>
        <v>#REF!</v>
      </c>
    </row>
    <row r="621" hidden="1">
      <c r="A621" s="2" t="s">
        <v>406</v>
      </c>
      <c r="B621" s="2" t="s">
        <v>1047</v>
      </c>
      <c r="C621" s="2" t="s">
        <v>119</v>
      </c>
      <c r="D621" s="2" t="s">
        <v>64</v>
      </c>
      <c r="E621" s="7" t="b">
        <v>1</v>
      </c>
      <c r="F621" s="9">
        <v>79.0</v>
      </c>
      <c r="G621" s="9">
        <v>3.527291476441557</v>
      </c>
      <c r="H621" s="9">
        <v>0.0017563265822784</v>
      </c>
      <c r="I621" s="7" t="b">
        <v>1</v>
      </c>
      <c r="J621" s="9">
        <v>0.0</v>
      </c>
      <c r="K621" s="7" t="b">
        <v>0</v>
      </c>
      <c r="L621" s="9">
        <v>7428.0</v>
      </c>
      <c r="M621" s="9">
        <v>94.0253</v>
      </c>
      <c r="N621" s="2" t="s">
        <v>4451</v>
      </c>
      <c r="O621" s="2" t="s">
        <v>4452</v>
      </c>
      <c r="P621" s="9">
        <v>40.16</v>
      </c>
      <c r="Q621" s="9">
        <v>36.0</v>
      </c>
      <c r="R621" s="9">
        <v>0.009856</v>
      </c>
      <c r="S621" s="9">
        <v>0.7363</v>
      </c>
      <c r="T621" s="9">
        <v>0.3099</v>
      </c>
      <c r="U621" s="2" t="s">
        <v>4453</v>
      </c>
      <c r="V621" s="9">
        <v>0.8733</v>
      </c>
      <c r="W621" s="2" t="s">
        <v>1600</v>
      </c>
      <c r="X621" s="2" t="s">
        <v>1466</v>
      </c>
      <c r="Y621" s="2" t="s">
        <v>2821</v>
      </c>
      <c r="Z621" s="9">
        <v>0.6552</v>
      </c>
      <c r="AA621" s="9">
        <v>0.7363</v>
      </c>
      <c r="AB621" s="9">
        <v>0.8733</v>
      </c>
      <c r="AC621" s="9">
        <v>0.1462</v>
      </c>
      <c r="AD621" s="9" t="str">
        <f t="shared" si="1"/>
        <v>#REF!</v>
      </c>
    </row>
    <row r="622" hidden="1">
      <c r="A622" s="2" t="s">
        <v>1358</v>
      </c>
      <c r="B622" s="2" t="s">
        <v>997</v>
      </c>
      <c r="C622" s="2" t="s">
        <v>119</v>
      </c>
      <c r="D622" s="2" t="s">
        <v>64</v>
      </c>
      <c r="E622" s="7" t="b">
        <v>1</v>
      </c>
      <c r="F622" s="9">
        <v>95.0</v>
      </c>
      <c r="G622" s="9">
        <v>36.5668061520654</v>
      </c>
      <c r="H622" s="9">
        <v>0.0085690736842105</v>
      </c>
      <c r="I622" s="7" t="b">
        <v>1</v>
      </c>
      <c r="J622" s="9">
        <v>0.0</v>
      </c>
      <c r="K622" s="7" t="b">
        <v>0</v>
      </c>
      <c r="L622" s="9">
        <v>53.0</v>
      </c>
      <c r="M622" s="9">
        <v>0.5579</v>
      </c>
      <c r="N622" s="2" t="s">
        <v>2162</v>
      </c>
      <c r="O622" s="2" t="s">
        <v>1396</v>
      </c>
      <c r="P622" s="9">
        <v>83.51</v>
      </c>
      <c r="Q622" s="9">
        <v>95.0</v>
      </c>
      <c r="R622" s="9">
        <v>0.0</v>
      </c>
      <c r="S622" s="9">
        <v>0.4804</v>
      </c>
      <c r="T622" s="9">
        <v>1.0007</v>
      </c>
      <c r="U622" s="2" t="s">
        <v>2641</v>
      </c>
      <c r="V622" s="9">
        <v>0.3</v>
      </c>
      <c r="W622" s="2" t="s">
        <v>157</v>
      </c>
      <c r="X622" s="2" t="s">
        <v>1466</v>
      </c>
      <c r="Y622" s="2" t="s">
        <v>1456</v>
      </c>
      <c r="Z622" s="9">
        <v>0.3816</v>
      </c>
      <c r="AA622" s="9">
        <v>0.4804</v>
      </c>
      <c r="AB622" s="9">
        <v>0.3</v>
      </c>
      <c r="AC622" s="9">
        <v>0.1877</v>
      </c>
      <c r="AD622" s="9" t="str">
        <f t="shared" si="1"/>
        <v>#REF!</v>
      </c>
    </row>
    <row r="623" hidden="1">
      <c r="A623" s="2" t="s">
        <v>1351</v>
      </c>
      <c r="B623" s="2" t="s">
        <v>503</v>
      </c>
      <c r="C623" s="2" t="s">
        <v>119</v>
      </c>
      <c r="D623" s="2" t="s">
        <v>64</v>
      </c>
      <c r="E623" s="7" t="b">
        <v>1</v>
      </c>
      <c r="F623" s="9">
        <v>66.0</v>
      </c>
      <c r="G623" s="9">
        <v>15.64314764361526</v>
      </c>
      <c r="H623" s="9">
        <v>0.0014361999999999</v>
      </c>
      <c r="I623" s="7" t="b">
        <v>1</v>
      </c>
      <c r="J623" s="9">
        <v>0.0</v>
      </c>
      <c r="K623" s="7" t="b">
        <v>0</v>
      </c>
      <c r="L623" s="9">
        <v>138.0</v>
      </c>
      <c r="M623" s="9">
        <v>2.0909</v>
      </c>
      <c r="N623" s="2" t="s">
        <v>1394</v>
      </c>
      <c r="O623" s="2" t="s">
        <v>1552</v>
      </c>
      <c r="P623" s="9">
        <v>45.33</v>
      </c>
      <c r="Q623" s="9">
        <v>38.0</v>
      </c>
      <c r="R623" s="9">
        <v>0.054054</v>
      </c>
      <c r="S623" s="9">
        <v>0.3315</v>
      </c>
      <c r="T623" s="9">
        <v>0.4413</v>
      </c>
      <c r="U623" s="2" t="s">
        <v>4454</v>
      </c>
      <c r="V623" s="9">
        <v>0.8786</v>
      </c>
      <c r="W623" s="2" t="s">
        <v>134</v>
      </c>
      <c r="X623" s="2" t="s">
        <v>517</v>
      </c>
      <c r="Y623" s="2" t="s">
        <v>1593</v>
      </c>
      <c r="Z623" s="9">
        <v>0.2631</v>
      </c>
      <c r="AA623" s="9">
        <v>0.3315</v>
      </c>
      <c r="AB623" s="9">
        <v>0.8786</v>
      </c>
      <c r="AC623" s="9">
        <v>0.15</v>
      </c>
      <c r="AD623" s="9" t="str">
        <f t="shared" si="1"/>
        <v>#REF!</v>
      </c>
    </row>
    <row r="624" hidden="1">
      <c r="A624" s="2" t="s">
        <v>1351</v>
      </c>
      <c r="B624" s="2" t="s">
        <v>1009</v>
      </c>
      <c r="C624" s="2" t="s">
        <v>119</v>
      </c>
      <c r="D624" s="2" t="s">
        <v>64</v>
      </c>
      <c r="E624" s="7" t="b">
        <v>1</v>
      </c>
      <c r="F624" s="9">
        <v>96.0</v>
      </c>
      <c r="G624" s="9">
        <v>18.09240987350174</v>
      </c>
      <c r="H624" s="9">
        <v>0.0085296093749999</v>
      </c>
      <c r="I624" s="7" t="b">
        <v>1</v>
      </c>
      <c r="J624" s="9">
        <v>0.0</v>
      </c>
      <c r="K624" s="7" t="b">
        <v>0</v>
      </c>
      <c r="L624" s="9">
        <v>32.0</v>
      </c>
      <c r="M624" s="9">
        <v>0.3333</v>
      </c>
      <c r="N624" s="2" t="s">
        <v>2619</v>
      </c>
      <c r="O624" s="2" t="s">
        <v>1462</v>
      </c>
      <c r="P624" s="9">
        <v>49.41</v>
      </c>
      <c r="Q624" s="9">
        <v>38.5</v>
      </c>
      <c r="R624" s="9">
        <v>0.125</v>
      </c>
      <c r="S624" s="9">
        <v>0.3315</v>
      </c>
      <c r="T624" s="9">
        <v>0.7623</v>
      </c>
      <c r="U624" s="2" t="s">
        <v>3329</v>
      </c>
      <c r="V624" s="9">
        <v>0.0</v>
      </c>
      <c r="W624" s="2" t="s">
        <v>1094</v>
      </c>
      <c r="X624" s="2" t="s">
        <v>1521</v>
      </c>
      <c r="Y624" s="2" t="s">
        <v>3037</v>
      </c>
      <c r="Z624" s="9">
        <v>0.2663</v>
      </c>
      <c r="AA624" s="9">
        <v>0.3315</v>
      </c>
      <c r="AB624" s="9">
        <v>0.0</v>
      </c>
      <c r="AC624" s="9">
        <v>0.0447</v>
      </c>
      <c r="AD624" s="9" t="str">
        <f t="shared" si="1"/>
        <v>#REF!</v>
      </c>
    </row>
    <row r="625" hidden="1">
      <c r="A625" s="2" t="s">
        <v>1905</v>
      </c>
      <c r="B625" s="2" t="s">
        <v>997</v>
      </c>
      <c r="C625" s="2" t="s">
        <v>1439</v>
      </c>
      <c r="D625" s="2" t="s">
        <v>64</v>
      </c>
      <c r="E625" s="7" t="b">
        <v>1</v>
      </c>
      <c r="F625" s="9">
        <v>189.0</v>
      </c>
      <c r="G625" s="9">
        <v>13.6832421106658</v>
      </c>
      <c r="H625" s="9">
        <v>0.002388491005291</v>
      </c>
      <c r="I625" s="7" t="b">
        <v>1</v>
      </c>
      <c r="J625" s="9">
        <v>0.0</v>
      </c>
      <c r="K625" s="7" t="b">
        <v>0</v>
      </c>
      <c r="L625" s="9">
        <v>76.0</v>
      </c>
      <c r="M625" s="9">
        <v>0.4021</v>
      </c>
      <c r="N625" s="2" t="s">
        <v>1394</v>
      </c>
      <c r="O625" s="2" t="s">
        <v>1539</v>
      </c>
      <c r="P625" s="9">
        <v>62.14</v>
      </c>
      <c r="Q625" s="9">
        <v>56.5</v>
      </c>
      <c r="R625" s="9">
        <v>0.1</v>
      </c>
      <c r="S625" s="9">
        <v>0.5278</v>
      </c>
      <c r="T625" s="9">
        <v>1.0007</v>
      </c>
      <c r="U625" s="2" t="s">
        <v>1496</v>
      </c>
      <c r="V625" s="9">
        <v>0.8174</v>
      </c>
      <c r="W625" s="2" t="s">
        <v>157</v>
      </c>
      <c r="X625" s="2" t="s">
        <v>495</v>
      </c>
      <c r="Y625" s="2" t="s">
        <v>2967</v>
      </c>
      <c r="Z625" s="9">
        <v>0.4162</v>
      </c>
      <c r="AA625" s="9">
        <v>0.5278</v>
      </c>
      <c r="AB625" s="9">
        <v>0.8174</v>
      </c>
      <c r="AC625" s="9">
        <v>0.7657</v>
      </c>
      <c r="AD625" s="9" t="str">
        <f t="shared" si="1"/>
        <v>#REF!</v>
      </c>
    </row>
    <row r="626">
      <c r="A626" s="2" t="s">
        <v>796</v>
      </c>
      <c r="B626" s="2" t="s">
        <v>306</v>
      </c>
      <c r="C626" s="2" t="s">
        <v>119</v>
      </c>
      <c r="D626" s="2" t="s">
        <v>64</v>
      </c>
      <c r="E626" s="7" t="b">
        <v>1</v>
      </c>
      <c r="F626" s="9">
        <v>412.0</v>
      </c>
      <c r="G626" s="9">
        <v>24.18458876246985</v>
      </c>
      <c r="H626" s="9">
        <v>0.0866483737864077</v>
      </c>
      <c r="I626" s="7" t="b">
        <v>1</v>
      </c>
      <c r="J626" s="9">
        <v>0.0</v>
      </c>
      <c r="K626" s="7" t="b">
        <v>0</v>
      </c>
      <c r="L626" s="9">
        <v>438.0</v>
      </c>
      <c r="M626" s="9">
        <v>1.0631</v>
      </c>
      <c r="N626" s="2" t="s">
        <v>4455</v>
      </c>
      <c r="O626" s="2" t="s">
        <v>4456</v>
      </c>
      <c r="P626" s="9">
        <v>55.61</v>
      </c>
      <c r="Q626" s="9">
        <v>50.0</v>
      </c>
      <c r="R626" s="9">
        <v>0.0</v>
      </c>
      <c r="S626" s="9">
        <v>0.7829</v>
      </c>
      <c r="T626" s="9">
        <v>0.996</v>
      </c>
      <c r="U626" s="2" t="s">
        <v>352</v>
      </c>
      <c r="V626" s="9">
        <v>0.0</v>
      </c>
      <c r="W626" s="2" t="s">
        <v>82</v>
      </c>
      <c r="X626" s="2" t="s">
        <v>495</v>
      </c>
      <c r="Y626" s="2" t="s">
        <v>1408</v>
      </c>
      <c r="Z626" s="9">
        <v>0.6191</v>
      </c>
      <c r="AA626" s="9">
        <v>0.7829</v>
      </c>
      <c r="AB626" s="9">
        <v>0.0</v>
      </c>
      <c r="AC626" s="9">
        <v>0.8591</v>
      </c>
      <c r="AD626" s="9" t="str">
        <f t="shared" si="1"/>
        <v>#REF!</v>
      </c>
    </row>
    <row r="627" hidden="1">
      <c r="A627" s="2" t="s">
        <v>796</v>
      </c>
      <c r="B627" s="2" t="s">
        <v>997</v>
      </c>
      <c r="C627" s="2" t="s">
        <v>119</v>
      </c>
      <c r="D627" s="2" t="s">
        <v>64</v>
      </c>
      <c r="E627" s="7" t="b">
        <v>1</v>
      </c>
      <c r="F627" s="9">
        <v>421.0</v>
      </c>
      <c r="G627" s="9">
        <v>39.08742120877189</v>
      </c>
      <c r="H627" s="9">
        <v>0.0430441567695961</v>
      </c>
      <c r="I627" s="7" t="b">
        <v>1</v>
      </c>
      <c r="J627" s="9">
        <v>0.0</v>
      </c>
      <c r="K627" s="7" t="b">
        <v>0</v>
      </c>
      <c r="L627" s="9">
        <v>295.0</v>
      </c>
      <c r="M627" s="9">
        <v>0.7007</v>
      </c>
      <c r="N627" s="2" t="s">
        <v>4304</v>
      </c>
      <c r="O627" s="2" t="s">
        <v>3057</v>
      </c>
      <c r="P627" s="9">
        <v>77.46</v>
      </c>
      <c r="Q627" s="9">
        <v>83.0</v>
      </c>
      <c r="R627" s="9">
        <v>0.020408</v>
      </c>
      <c r="S627" s="9">
        <v>0.6944</v>
      </c>
      <c r="T627" s="9">
        <v>1.0034</v>
      </c>
      <c r="U627" s="2" t="s">
        <v>1553</v>
      </c>
      <c r="V627" s="9">
        <v>0.55</v>
      </c>
      <c r="W627" s="2" t="s">
        <v>157</v>
      </c>
      <c r="X627" s="2" t="s">
        <v>237</v>
      </c>
      <c r="Y627" s="2" t="s">
        <v>1703</v>
      </c>
      <c r="Z627" s="9">
        <v>0.5466</v>
      </c>
      <c r="AA627" s="9">
        <v>0.6944</v>
      </c>
      <c r="AB627" s="9">
        <v>0.55</v>
      </c>
      <c r="AC627" s="9">
        <v>0.7652</v>
      </c>
      <c r="AD627" s="9" t="str">
        <f t="shared" si="1"/>
        <v>#REF!</v>
      </c>
    </row>
    <row r="628" hidden="1">
      <c r="A628" s="2" t="s">
        <v>1262</v>
      </c>
      <c r="B628" s="2" t="s">
        <v>997</v>
      </c>
      <c r="C628" s="2" t="s">
        <v>119</v>
      </c>
      <c r="D628" s="2" t="s">
        <v>64</v>
      </c>
      <c r="E628" s="7" t="b">
        <v>1</v>
      </c>
      <c r="F628" s="9">
        <v>224.0</v>
      </c>
      <c r="G628" s="9">
        <v>10.44082337468856</v>
      </c>
      <c r="H628" s="9">
        <v>0.0016484196428571</v>
      </c>
      <c r="I628" s="7" t="b">
        <v>1</v>
      </c>
      <c r="J628" s="9">
        <v>0.0</v>
      </c>
      <c r="K628" s="7" t="b">
        <v>0</v>
      </c>
      <c r="L628" s="9">
        <v>50.0</v>
      </c>
      <c r="M628" s="9">
        <v>0.2232</v>
      </c>
      <c r="N628" s="2" t="s">
        <v>2024</v>
      </c>
      <c r="O628" s="2" t="s">
        <v>2025</v>
      </c>
      <c r="P628" s="9">
        <v>60.52</v>
      </c>
      <c r="Q628" s="9">
        <v>55.5</v>
      </c>
      <c r="R628" s="9">
        <v>0.0</v>
      </c>
      <c r="S628" s="9">
        <v>0.4769</v>
      </c>
      <c r="T628" s="9">
        <v>0.9882</v>
      </c>
      <c r="U628" s="2" t="s">
        <v>2483</v>
      </c>
      <c r="V628" s="15"/>
      <c r="W628" s="2" t="s">
        <v>1193</v>
      </c>
      <c r="X628" s="2" t="s">
        <v>182</v>
      </c>
      <c r="Y628" s="2" t="s">
        <v>1491</v>
      </c>
      <c r="Z628" s="9">
        <v>0.3713</v>
      </c>
      <c r="AA628" s="9">
        <v>0.4769</v>
      </c>
      <c r="AB628" s="15"/>
      <c r="AC628" s="9">
        <v>0.659</v>
      </c>
      <c r="AD628" s="9" t="str">
        <f t="shared" si="1"/>
        <v>#REF!</v>
      </c>
    </row>
    <row r="629" hidden="1">
      <c r="A629" s="2" t="s">
        <v>1262</v>
      </c>
      <c r="B629" s="2" t="s">
        <v>1015</v>
      </c>
      <c r="C629" s="2" t="s">
        <v>119</v>
      </c>
      <c r="D629" s="2" t="s">
        <v>64</v>
      </c>
      <c r="E629" s="7" t="b">
        <v>1</v>
      </c>
      <c r="F629" s="9">
        <v>459.0</v>
      </c>
      <c r="G629" s="9">
        <v>9.131930022267555</v>
      </c>
      <c r="H629" s="9">
        <v>0.0094597189542483</v>
      </c>
      <c r="I629" s="7" t="b">
        <v>1</v>
      </c>
      <c r="J629" s="9">
        <v>0.0</v>
      </c>
      <c r="K629" s="7" t="b">
        <v>0</v>
      </c>
      <c r="L629" s="9">
        <v>113.0</v>
      </c>
      <c r="M629" s="9">
        <v>0.2462</v>
      </c>
      <c r="N629" s="2" t="s">
        <v>1825</v>
      </c>
      <c r="O629" s="2" t="s">
        <v>2866</v>
      </c>
      <c r="P629" s="9">
        <v>52.79</v>
      </c>
      <c r="Q629" s="9">
        <v>46.0</v>
      </c>
      <c r="R629" s="9">
        <v>0.0</v>
      </c>
      <c r="S629" s="9">
        <v>0.5413</v>
      </c>
      <c r="T629" s="9">
        <v>0.9061</v>
      </c>
      <c r="U629" s="2" t="s">
        <v>2735</v>
      </c>
      <c r="V629" s="9">
        <v>0.0</v>
      </c>
      <c r="W629" s="2" t="s">
        <v>1657</v>
      </c>
      <c r="X629" s="2" t="s">
        <v>1521</v>
      </c>
      <c r="Y629" s="2" t="s">
        <v>1491</v>
      </c>
      <c r="Z629" s="9">
        <v>0.4346</v>
      </c>
      <c r="AA629" s="9">
        <v>0.5413</v>
      </c>
      <c r="AB629" s="9">
        <v>0.0</v>
      </c>
      <c r="AC629" s="9">
        <v>0.1191</v>
      </c>
      <c r="AD629" s="9" t="str">
        <f t="shared" si="1"/>
        <v>#REF!</v>
      </c>
    </row>
    <row r="630" hidden="1">
      <c r="A630" s="2" t="s">
        <v>1853</v>
      </c>
      <c r="B630" s="2" t="s">
        <v>942</v>
      </c>
      <c r="C630" s="2" t="s">
        <v>1439</v>
      </c>
      <c r="D630" s="2" t="s">
        <v>64</v>
      </c>
      <c r="E630" s="7" t="b">
        <v>1</v>
      </c>
      <c r="F630" s="9">
        <v>728.0</v>
      </c>
      <c r="G630" s="9">
        <v>5.198881016899275</v>
      </c>
      <c r="H630" s="9">
        <v>0.0013910192307692</v>
      </c>
      <c r="I630" s="7" t="b">
        <v>1</v>
      </c>
      <c r="J630" s="9">
        <v>0.0</v>
      </c>
      <c r="K630" s="7" t="b">
        <v>0</v>
      </c>
      <c r="L630" s="9">
        <v>6474.0</v>
      </c>
      <c r="M630" s="9">
        <v>8.8929</v>
      </c>
      <c r="N630" s="2" t="s">
        <v>4457</v>
      </c>
      <c r="O630" s="2" t="s">
        <v>4458</v>
      </c>
      <c r="P630" s="9">
        <v>44.01</v>
      </c>
      <c r="Q630" s="9">
        <v>36.0</v>
      </c>
      <c r="R630" s="9">
        <v>0.010101</v>
      </c>
      <c r="S630" s="9">
        <v>0.7659</v>
      </c>
      <c r="T630" s="9">
        <v>0.5345</v>
      </c>
      <c r="U630" s="2" t="s">
        <v>3436</v>
      </c>
      <c r="V630" s="9">
        <v>0.8417</v>
      </c>
      <c r="W630" s="2" t="s">
        <v>1780</v>
      </c>
      <c r="X630" s="2" t="s">
        <v>517</v>
      </c>
      <c r="Y630" s="2" t="s">
        <v>2719</v>
      </c>
      <c r="Z630" s="9">
        <v>0.6816</v>
      </c>
      <c r="AA630" s="9">
        <v>0.7659</v>
      </c>
      <c r="AB630" s="9">
        <v>0.8417</v>
      </c>
      <c r="AC630" s="9">
        <v>0.1417</v>
      </c>
      <c r="AD630" s="9" t="str">
        <f t="shared" si="1"/>
        <v>#REF!</v>
      </c>
    </row>
    <row r="631" hidden="1">
      <c r="A631" s="2" t="s">
        <v>1844</v>
      </c>
      <c r="B631" s="2" t="s">
        <v>63</v>
      </c>
      <c r="C631" s="2" t="s">
        <v>1439</v>
      </c>
      <c r="D631" s="2" t="s">
        <v>64</v>
      </c>
      <c r="E631" s="7" t="b">
        <v>1</v>
      </c>
      <c r="F631" s="9">
        <v>61.0</v>
      </c>
      <c r="G631" s="9">
        <v>3.039194373321396</v>
      </c>
      <c r="H631" s="9">
        <v>0.0013553524590163</v>
      </c>
      <c r="I631" s="7" t="b">
        <v>1</v>
      </c>
      <c r="J631" s="9">
        <v>0.0</v>
      </c>
      <c r="K631" s="7" t="b">
        <v>0</v>
      </c>
      <c r="L631" s="9">
        <v>9274.0</v>
      </c>
      <c r="M631" s="9">
        <v>152.0328</v>
      </c>
      <c r="N631" s="2" t="s">
        <v>4459</v>
      </c>
      <c r="O631" s="2" t="s">
        <v>3572</v>
      </c>
      <c r="P631" s="9">
        <v>38.4</v>
      </c>
      <c r="Q631" s="9">
        <v>35.0</v>
      </c>
      <c r="R631" s="9">
        <v>0.010783</v>
      </c>
      <c r="S631" s="9">
        <v>0.769</v>
      </c>
      <c r="T631" s="9">
        <v>0.2918</v>
      </c>
      <c r="U631" s="2" t="s">
        <v>4438</v>
      </c>
      <c r="V631" s="9">
        <v>0.8722</v>
      </c>
      <c r="W631" s="2" t="s">
        <v>2753</v>
      </c>
      <c r="X631" s="2" t="s">
        <v>517</v>
      </c>
      <c r="Y631" s="2" t="s">
        <v>3567</v>
      </c>
      <c r="Z631" s="9">
        <v>0.6789</v>
      </c>
      <c r="AA631" s="9">
        <v>0.769</v>
      </c>
      <c r="AB631" s="9">
        <v>0.8722</v>
      </c>
      <c r="AC631" s="9">
        <v>0.1355</v>
      </c>
      <c r="AD631" s="9" t="str">
        <f t="shared" si="1"/>
        <v>#REF!</v>
      </c>
    </row>
    <row r="632" hidden="1">
      <c r="A632" s="2" t="s">
        <v>1844</v>
      </c>
      <c r="B632" s="2" t="s">
        <v>186</v>
      </c>
      <c r="C632" s="2" t="s">
        <v>1439</v>
      </c>
      <c r="D632" s="2" t="s">
        <v>64</v>
      </c>
      <c r="E632" s="7" t="b">
        <v>1</v>
      </c>
      <c r="F632" s="9">
        <v>56.0</v>
      </c>
      <c r="G632" s="9">
        <v>1.61194374598679</v>
      </c>
      <c r="H632" s="9">
        <v>0.0010150714285714</v>
      </c>
      <c r="I632" s="7" t="b">
        <v>1</v>
      </c>
      <c r="J632" s="9">
        <v>0.0</v>
      </c>
      <c r="K632" s="7" t="b">
        <v>0</v>
      </c>
      <c r="L632" s="9">
        <v>9352.0</v>
      </c>
      <c r="M632" s="9">
        <v>167.0</v>
      </c>
      <c r="N632" s="2" t="s">
        <v>4460</v>
      </c>
      <c r="O632" s="2" t="s">
        <v>4461</v>
      </c>
      <c r="P632" s="9">
        <v>38.45</v>
      </c>
      <c r="Q632" s="9">
        <v>35.0</v>
      </c>
      <c r="R632" s="9">
        <v>0.010753</v>
      </c>
      <c r="S632" s="9">
        <v>0.7662</v>
      </c>
      <c r="T632" s="9">
        <v>0.2871</v>
      </c>
      <c r="U632" s="2" t="s">
        <v>2820</v>
      </c>
      <c r="V632" s="9">
        <v>0.8733</v>
      </c>
      <c r="W632" s="2" t="s">
        <v>198</v>
      </c>
      <c r="X632" s="2" t="s">
        <v>517</v>
      </c>
      <c r="Y632" s="2" t="s">
        <v>3567</v>
      </c>
      <c r="Z632" s="9">
        <v>0.6781</v>
      </c>
      <c r="AA632" s="9">
        <v>0.7662</v>
      </c>
      <c r="AB632" s="9">
        <v>0.8733</v>
      </c>
      <c r="AC632" s="9">
        <v>0.1378</v>
      </c>
      <c r="AD632" s="9" t="str">
        <f t="shared" si="1"/>
        <v>#REF!</v>
      </c>
    </row>
    <row r="633" hidden="1">
      <c r="A633" s="2" t="s">
        <v>1844</v>
      </c>
      <c r="B633" s="2" t="s">
        <v>534</v>
      </c>
      <c r="C633" s="2" t="s">
        <v>1439</v>
      </c>
      <c r="D633" s="2" t="s">
        <v>64</v>
      </c>
      <c r="E633" s="7" t="b">
        <v>1</v>
      </c>
      <c r="F633" s="9">
        <v>1057.0</v>
      </c>
      <c r="G633" s="9">
        <v>8.66013108748208</v>
      </c>
      <c r="H633" s="9">
        <v>0.0053527221381267</v>
      </c>
      <c r="I633" s="7" t="b">
        <v>1</v>
      </c>
      <c r="J633" s="9">
        <v>0.0</v>
      </c>
      <c r="K633" s="7" t="b">
        <v>0</v>
      </c>
      <c r="L633" s="9">
        <v>241.0</v>
      </c>
      <c r="M633" s="9">
        <v>0.228</v>
      </c>
      <c r="N633" s="2" t="s">
        <v>1525</v>
      </c>
      <c r="O633" s="2" t="s">
        <v>550</v>
      </c>
      <c r="P633" s="9">
        <v>73.27</v>
      </c>
      <c r="Q633" s="9">
        <v>73.0</v>
      </c>
      <c r="R633" s="9">
        <v>0.020833</v>
      </c>
      <c r="S633" s="9">
        <v>0.6753</v>
      </c>
      <c r="T633" s="9">
        <v>0.9875</v>
      </c>
      <c r="U633" s="2" t="s">
        <v>4400</v>
      </c>
      <c r="V633" s="9">
        <v>0.525</v>
      </c>
      <c r="W633" s="2" t="s">
        <v>1193</v>
      </c>
      <c r="X633" s="2" t="s">
        <v>495</v>
      </c>
      <c r="Y633" s="2" t="s">
        <v>4462</v>
      </c>
      <c r="Z633" s="9">
        <v>0.5305</v>
      </c>
      <c r="AA633" s="9">
        <v>0.6753</v>
      </c>
      <c r="AB633" s="9">
        <v>0.525</v>
      </c>
      <c r="AC633" s="9">
        <v>0.7324</v>
      </c>
      <c r="AD633" s="9" t="str">
        <f t="shared" si="1"/>
        <v>#REF!</v>
      </c>
    </row>
    <row r="634" hidden="1">
      <c r="A634" s="2" t="s">
        <v>1844</v>
      </c>
      <c r="B634" s="2" t="s">
        <v>542</v>
      </c>
      <c r="C634" s="2" t="s">
        <v>1439</v>
      </c>
      <c r="D634" s="2" t="s">
        <v>64</v>
      </c>
      <c r="E634" s="7" t="b">
        <v>1</v>
      </c>
      <c r="F634" s="9">
        <v>122.0</v>
      </c>
      <c r="G634" s="9">
        <v>12.50405037774149</v>
      </c>
      <c r="H634" s="9">
        <v>0.0025920491803278</v>
      </c>
      <c r="I634" s="7" t="b">
        <v>1</v>
      </c>
      <c r="J634" s="9">
        <v>0.0</v>
      </c>
      <c r="K634" s="7" t="b">
        <v>0</v>
      </c>
      <c r="L634" s="9">
        <v>190.0</v>
      </c>
      <c r="M634" s="9">
        <v>1.5574</v>
      </c>
      <c r="N634" s="2" t="s">
        <v>4463</v>
      </c>
      <c r="O634" s="2" t="s">
        <v>2629</v>
      </c>
      <c r="P634" s="9">
        <v>65.71</v>
      </c>
      <c r="Q634" s="9">
        <v>60.5</v>
      </c>
      <c r="R634" s="9">
        <v>0.026316</v>
      </c>
      <c r="S634" s="9">
        <v>0.6627</v>
      </c>
      <c r="T634" s="9">
        <v>0.9874</v>
      </c>
      <c r="U634" s="2" t="s">
        <v>4023</v>
      </c>
      <c r="V634" s="9">
        <v>0.8393</v>
      </c>
      <c r="W634" s="2" t="s">
        <v>181</v>
      </c>
      <c r="X634" s="2" t="s">
        <v>495</v>
      </c>
      <c r="Y634" s="2" t="s">
        <v>1980</v>
      </c>
      <c r="Z634" s="9">
        <v>0.523</v>
      </c>
      <c r="AA634" s="9">
        <v>0.6627</v>
      </c>
      <c r="AB634" s="9">
        <v>0.8393</v>
      </c>
      <c r="AC634" s="9">
        <v>0.1239</v>
      </c>
      <c r="AD634" s="9" t="str">
        <f t="shared" si="1"/>
        <v>#REF!</v>
      </c>
    </row>
    <row r="635" hidden="1">
      <c r="A635" s="2" t="s">
        <v>1844</v>
      </c>
      <c r="B635" s="2" t="s">
        <v>942</v>
      </c>
      <c r="C635" s="2" t="s">
        <v>1439</v>
      </c>
      <c r="D635" s="2" t="s">
        <v>64</v>
      </c>
      <c r="E635" s="7" t="b">
        <v>1</v>
      </c>
      <c r="F635" s="9">
        <v>3560.0</v>
      </c>
      <c r="G635" s="9">
        <v>2.157774404017482</v>
      </c>
      <c r="H635" s="9">
        <v>0.0011688854494382</v>
      </c>
      <c r="I635" s="7" t="b">
        <v>1</v>
      </c>
      <c r="J635" s="9">
        <v>0.0</v>
      </c>
      <c r="K635" s="7" t="b">
        <v>0</v>
      </c>
      <c r="L635" s="9">
        <v>22585.0</v>
      </c>
      <c r="M635" s="9">
        <v>6.3441</v>
      </c>
      <c r="N635" s="2" t="s">
        <v>4464</v>
      </c>
      <c r="O635" s="2" t="s">
        <v>4465</v>
      </c>
      <c r="P635" s="9">
        <v>44.65</v>
      </c>
      <c r="Q635" s="9">
        <v>36.0</v>
      </c>
      <c r="R635" s="9">
        <v>0.013407</v>
      </c>
      <c r="S635" s="9">
        <v>0.7996</v>
      </c>
      <c r="T635" s="9">
        <v>0.3462</v>
      </c>
      <c r="U635" s="2" t="s">
        <v>4466</v>
      </c>
      <c r="V635" s="9">
        <v>0.8634</v>
      </c>
      <c r="W635" s="2" t="s">
        <v>1780</v>
      </c>
      <c r="X635" s="2" t="s">
        <v>517</v>
      </c>
      <c r="Y635" s="2" t="s">
        <v>2719</v>
      </c>
      <c r="Z635" s="9">
        <v>0.7355</v>
      </c>
      <c r="AA635" s="9">
        <v>0.7996</v>
      </c>
      <c r="AB635" s="9">
        <v>0.8634</v>
      </c>
      <c r="AC635" s="9">
        <v>0.1456</v>
      </c>
      <c r="AD635" s="9" t="str">
        <f t="shared" si="1"/>
        <v>#REF!</v>
      </c>
    </row>
    <row r="636" hidden="1">
      <c r="A636" s="2" t="s">
        <v>1844</v>
      </c>
      <c r="B636" s="2" t="s">
        <v>982</v>
      </c>
      <c r="C636" s="2" t="s">
        <v>1439</v>
      </c>
      <c r="D636" s="2" t="s">
        <v>64</v>
      </c>
      <c r="E636" s="7" t="b">
        <v>1</v>
      </c>
      <c r="F636" s="9">
        <v>68.0</v>
      </c>
      <c r="G636" s="9">
        <v>13.04098924646244</v>
      </c>
      <c r="H636" s="9">
        <v>0.0055598823529411</v>
      </c>
      <c r="I636" s="7" t="b">
        <v>1</v>
      </c>
      <c r="J636" s="9">
        <v>0.0</v>
      </c>
      <c r="K636" s="7" t="b">
        <v>0</v>
      </c>
      <c r="L636" s="9">
        <v>25.0</v>
      </c>
      <c r="M636" s="9">
        <v>0.3676</v>
      </c>
      <c r="N636" s="2" t="s">
        <v>1628</v>
      </c>
      <c r="O636" s="2" t="s">
        <v>1629</v>
      </c>
      <c r="P636" s="9">
        <v>54.2</v>
      </c>
      <c r="Q636" s="9">
        <v>42.0</v>
      </c>
      <c r="R636" s="9">
        <v>0.0</v>
      </c>
      <c r="S636" s="9">
        <v>0.3815</v>
      </c>
      <c r="T636" s="9">
        <v>0.9346</v>
      </c>
      <c r="U636" s="2" t="s">
        <v>3095</v>
      </c>
      <c r="V636" s="15"/>
      <c r="W636" s="2" t="s">
        <v>1591</v>
      </c>
      <c r="X636" s="2" t="s">
        <v>182</v>
      </c>
      <c r="Y636" s="2" t="s">
        <v>1491</v>
      </c>
      <c r="Z636" s="9">
        <v>0.3072</v>
      </c>
      <c r="AA636" s="9">
        <v>0.3815</v>
      </c>
      <c r="AB636" s="15"/>
      <c r="AC636" s="9">
        <v>0.6491</v>
      </c>
      <c r="AD636" s="9" t="str">
        <f t="shared" si="1"/>
        <v>#REF!</v>
      </c>
    </row>
    <row r="637" hidden="1">
      <c r="A637" s="2" t="s">
        <v>1844</v>
      </c>
      <c r="B637" s="2" t="s">
        <v>997</v>
      </c>
      <c r="C637" s="2" t="s">
        <v>1439</v>
      </c>
      <c r="D637" s="2" t="s">
        <v>64</v>
      </c>
      <c r="E637" s="7" t="b">
        <v>1</v>
      </c>
      <c r="F637" s="9">
        <v>16504.0</v>
      </c>
      <c r="G637" s="9">
        <v>35.65898490429334</v>
      </c>
      <c r="H637" s="9">
        <v>1.030262808410082</v>
      </c>
      <c r="I637" s="7" t="b">
        <v>1</v>
      </c>
      <c r="J637" s="9">
        <v>0.0</v>
      </c>
      <c r="K637" s="7" t="b">
        <v>0</v>
      </c>
      <c r="L637" s="9">
        <v>104.0</v>
      </c>
      <c r="M637" s="9">
        <v>0.0063</v>
      </c>
      <c r="N637" s="2" t="s">
        <v>1394</v>
      </c>
      <c r="O637" s="2" t="s">
        <v>1396</v>
      </c>
      <c r="P637" s="9">
        <v>44.85</v>
      </c>
      <c r="Q637" s="9">
        <v>40.5</v>
      </c>
      <c r="R637" s="9">
        <v>0.052632</v>
      </c>
      <c r="S637" s="9">
        <v>0.5333</v>
      </c>
      <c r="T637" s="9">
        <v>0.9069</v>
      </c>
      <c r="U637" s="2" t="s">
        <v>2450</v>
      </c>
      <c r="V637" s="9">
        <v>0.0</v>
      </c>
      <c r="W637" s="2" t="s">
        <v>82</v>
      </c>
      <c r="X637" s="2" t="s">
        <v>517</v>
      </c>
      <c r="Y637" s="2" t="s">
        <v>1437</v>
      </c>
      <c r="Z637" s="9">
        <v>0.4315</v>
      </c>
      <c r="AA637" s="9">
        <v>0.5333</v>
      </c>
      <c r="AB637" s="9">
        <v>0.0</v>
      </c>
      <c r="AC637" s="9">
        <v>0.1988</v>
      </c>
      <c r="AD637" s="9" t="str">
        <f t="shared" si="1"/>
        <v>#REF!</v>
      </c>
    </row>
    <row r="638" hidden="1">
      <c r="A638" s="2" t="s">
        <v>1844</v>
      </c>
      <c r="B638" s="2" t="s">
        <v>1009</v>
      </c>
      <c r="C638" s="2" t="s">
        <v>1439</v>
      </c>
      <c r="D638" s="2" t="s">
        <v>64</v>
      </c>
      <c r="E638" s="7" t="b">
        <v>1</v>
      </c>
      <c r="F638" s="9">
        <v>11077.0</v>
      </c>
      <c r="G638" s="9">
        <v>17.29201168912883</v>
      </c>
      <c r="H638" s="9">
        <v>0.60341391983389</v>
      </c>
      <c r="I638" s="7" t="b">
        <v>1</v>
      </c>
      <c r="J638" s="9">
        <v>0.0</v>
      </c>
      <c r="K638" s="7" t="b">
        <v>0</v>
      </c>
      <c r="L638" s="9">
        <v>8326.0</v>
      </c>
      <c r="M638" s="9">
        <v>0.7516</v>
      </c>
      <c r="N638" s="2" t="s">
        <v>4467</v>
      </c>
      <c r="O638" s="2" t="s">
        <v>4468</v>
      </c>
      <c r="P638" s="9">
        <v>67.24</v>
      </c>
      <c r="Q638" s="9">
        <v>64.0</v>
      </c>
      <c r="R638" s="9">
        <v>0.033306</v>
      </c>
      <c r="S638" s="9">
        <v>0.9411</v>
      </c>
      <c r="T638" s="9">
        <v>0.8904</v>
      </c>
      <c r="U638" s="2" t="s">
        <v>2165</v>
      </c>
      <c r="V638" s="9">
        <v>0.7309</v>
      </c>
      <c r="W638" s="2" t="s">
        <v>157</v>
      </c>
      <c r="X638" s="2" t="s">
        <v>237</v>
      </c>
      <c r="Y638" s="2" t="s">
        <v>1752</v>
      </c>
      <c r="Z638" s="9">
        <v>0.8501</v>
      </c>
      <c r="AA638" s="9">
        <v>0.9411</v>
      </c>
      <c r="AB638" s="9">
        <v>0.7309</v>
      </c>
      <c r="AC638" s="9">
        <v>0.2269</v>
      </c>
      <c r="AD638" s="9" t="str">
        <f t="shared" si="1"/>
        <v>#REF!</v>
      </c>
    </row>
    <row r="639" hidden="1">
      <c r="A639" s="2" t="s">
        <v>1844</v>
      </c>
      <c r="B639" s="2" t="s">
        <v>1019</v>
      </c>
      <c r="C639" s="2" t="s">
        <v>1439</v>
      </c>
      <c r="D639" s="2" t="s">
        <v>64</v>
      </c>
      <c r="E639" s="7" t="b">
        <v>1</v>
      </c>
      <c r="F639" s="9">
        <v>144.0</v>
      </c>
      <c r="G639" s="9">
        <v>4.380608972138234</v>
      </c>
      <c r="H639" s="9">
        <v>0.0011869374999999</v>
      </c>
      <c r="I639" s="7" t="b">
        <v>1</v>
      </c>
      <c r="J639" s="9">
        <v>0.0</v>
      </c>
      <c r="K639" s="7" t="b">
        <v>0</v>
      </c>
      <c r="L639" s="9">
        <v>152.0</v>
      </c>
      <c r="M639" s="9">
        <v>1.0556</v>
      </c>
      <c r="N639" s="2" t="s">
        <v>2007</v>
      </c>
      <c r="O639" s="2" t="s">
        <v>1533</v>
      </c>
      <c r="P639" s="9">
        <v>47.95</v>
      </c>
      <c r="Q639" s="9">
        <v>40.0</v>
      </c>
      <c r="R639" s="9">
        <v>0.035714</v>
      </c>
      <c r="S639" s="9">
        <v>0.5564</v>
      </c>
      <c r="T639" s="9">
        <v>0.8491</v>
      </c>
      <c r="U639" s="2" t="s">
        <v>2553</v>
      </c>
      <c r="V639" s="9">
        <v>0.8786</v>
      </c>
      <c r="W639" s="2" t="s">
        <v>3767</v>
      </c>
      <c r="X639" s="2" t="s">
        <v>495</v>
      </c>
      <c r="Y639" s="2" t="s">
        <v>1980</v>
      </c>
      <c r="Z639" s="9">
        <v>0.4568</v>
      </c>
      <c r="AA639" s="9">
        <v>0.5564</v>
      </c>
      <c r="AB639" s="9">
        <v>0.8786</v>
      </c>
      <c r="AC639" s="9">
        <v>0.0927</v>
      </c>
      <c r="AD639" s="9" t="str">
        <f t="shared" si="1"/>
        <v>#REF!</v>
      </c>
    </row>
    <row r="640" hidden="1">
      <c r="A640" s="2" t="s">
        <v>1844</v>
      </c>
      <c r="B640" s="2" t="s">
        <v>1053</v>
      </c>
      <c r="C640" s="2" t="s">
        <v>1439</v>
      </c>
      <c r="D640" s="2" t="s">
        <v>64</v>
      </c>
      <c r="E640" s="7" t="b">
        <v>1</v>
      </c>
      <c r="F640" s="9">
        <v>112.0</v>
      </c>
      <c r="G640" s="9">
        <v>2.586221550823154</v>
      </c>
      <c r="H640" s="9">
        <v>0.0012403776785714</v>
      </c>
      <c r="I640" s="7" t="b">
        <v>1</v>
      </c>
      <c r="J640" s="9">
        <v>0.0</v>
      </c>
      <c r="K640" s="7" t="b">
        <v>0</v>
      </c>
      <c r="L640" s="9">
        <v>15737.0</v>
      </c>
      <c r="M640" s="9">
        <v>140.5089</v>
      </c>
      <c r="N640" s="2" t="s">
        <v>4469</v>
      </c>
      <c r="O640" s="2" t="s">
        <v>4470</v>
      </c>
      <c r="P640" s="9">
        <v>36.87</v>
      </c>
      <c r="Q640" s="9">
        <v>34.0</v>
      </c>
      <c r="R640" s="9">
        <v>0.010669</v>
      </c>
      <c r="S640" s="9">
        <v>0.7611</v>
      </c>
      <c r="T640" s="9">
        <v>0.2737</v>
      </c>
      <c r="U640" s="2" t="s">
        <v>4379</v>
      </c>
      <c r="V640" s="9">
        <v>0.8808</v>
      </c>
      <c r="W640" s="2" t="s">
        <v>1771</v>
      </c>
      <c r="X640" s="2" t="s">
        <v>517</v>
      </c>
      <c r="Y640" s="2" t="s">
        <v>1593</v>
      </c>
      <c r="Z640" s="9">
        <v>0.6851</v>
      </c>
      <c r="AA640" s="9">
        <v>0.7611</v>
      </c>
      <c r="AB640" s="9">
        <v>0.8808</v>
      </c>
      <c r="AC640" s="9">
        <v>0.1377</v>
      </c>
      <c r="AD640" s="9" t="str">
        <f t="shared" si="1"/>
        <v>#REF!</v>
      </c>
    </row>
    <row r="641" hidden="1">
      <c r="A641" s="2" t="s">
        <v>1858</v>
      </c>
      <c r="B641" s="2" t="s">
        <v>63</v>
      </c>
      <c r="C641" s="2" t="s">
        <v>1439</v>
      </c>
      <c r="D641" s="2" t="s">
        <v>64</v>
      </c>
      <c r="E641" s="7" t="b">
        <v>1</v>
      </c>
      <c r="F641" s="9">
        <v>36.0</v>
      </c>
      <c r="G641" s="9">
        <v>4.006577311695794</v>
      </c>
      <c r="H641" s="9">
        <v>0.0013916</v>
      </c>
      <c r="I641" s="7" t="b">
        <v>1</v>
      </c>
      <c r="J641" s="9">
        <v>0.0</v>
      </c>
      <c r="K641" s="7" t="b">
        <v>0</v>
      </c>
      <c r="L641" s="9">
        <v>5806.0</v>
      </c>
      <c r="M641" s="9">
        <v>161.2778</v>
      </c>
      <c r="N641" s="2" t="s">
        <v>3326</v>
      </c>
      <c r="O641" s="2" t="s">
        <v>4471</v>
      </c>
      <c r="P641" s="9">
        <v>37.2</v>
      </c>
      <c r="Q641" s="9">
        <v>34.0</v>
      </c>
      <c r="R641" s="9">
        <v>0.009315</v>
      </c>
      <c r="S641" s="9">
        <v>0.7512</v>
      </c>
      <c r="T641" s="9">
        <v>0.3379</v>
      </c>
      <c r="U641" s="2" t="s">
        <v>4379</v>
      </c>
      <c r="V641" s="9">
        <v>0.8837</v>
      </c>
      <c r="W641" s="2" t="s">
        <v>2753</v>
      </c>
      <c r="X641" s="2" t="s">
        <v>1466</v>
      </c>
      <c r="Y641" s="2" t="s">
        <v>3114</v>
      </c>
      <c r="Z641" s="9">
        <v>0.6564</v>
      </c>
      <c r="AA641" s="9">
        <v>0.7512</v>
      </c>
      <c r="AB641" s="9">
        <v>0.8837</v>
      </c>
      <c r="AC641" s="9">
        <v>0.137</v>
      </c>
      <c r="AD641" s="9" t="str">
        <f t="shared" si="1"/>
        <v>#REF!</v>
      </c>
    </row>
    <row r="642" hidden="1">
      <c r="A642" s="2" t="s">
        <v>1858</v>
      </c>
      <c r="B642" s="2" t="s">
        <v>534</v>
      </c>
      <c r="C642" s="2" t="s">
        <v>1439</v>
      </c>
      <c r="D642" s="2" t="s">
        <v>64</v>
      </c>
      <c r="E642" s="7" t="b">
        <v>1</v>
      </c>
      <c r="F642" s="9">
        <v>694.0</v>
      </c>
      <c r="G642" s="9">
        <v>19.99184017285808</v>
      </c>
      <c r="H642" s="9">
        <v>0.0186734244956772</v>
      </c>
      <c r="I642" s="7" t="b">
        <v>1</v>
      </c>
      <c r="J642" s="9">
        <v>0.0</v>
      </c>
      <c r="K642" s="7" t="b">
        <v>0</v>
      </c>
      <c r="L642" s="9">
        <v>244.0</v>
      </c>
      <c r="M642" s="9">
        <v>0.3516</v>
      </c>
      <c r="N642" s="2" t="s">
        <v>4304</v>
      </c>
      <c r="O642" s="2" t="s">
        <v>2646</v>
      </c>
      <c r="P642" s="9">
        <v>79.1</v>
      </c>
      <c r="Q642" s="9">
        <v>88.0</v>
      </c>
      <c r="R642" s="9">
        <v>0.03125</v>
      </c>
      <c r="S642" s="9">
        <v>0.6693</v>
      </c>
      <c r="T642" s="9">
        <v>0.9753</v>
      </c>
      <c r="U642" s="2" t="s">
        <v>234</v>
      </c>
      <c r="V642" s="9">
        <v>0.0217</v>
      </c>
      <c r="W642" s="2" t="s">
        <v>1657</v>
      </c>
      <c r="X642" s="2" t="s">
        <v>517</v>
      </c>
      <c r="Y642" s="2" t="s">
        <v>4427</v>
      </c>
      <c r="Z642" s="9">
        <v>0.5292</v>
      </c>
      <c r="AA642" s="9">
        <v>0.6693</v>
      </c>
      <c r="AB642" s="9">
        <v>0.0217</v>
      </c>
      <c r="AC642" s="9">
        <v>0.7019</v>
      </c>
      <c r="AD642" s="9" t="str">
        <f t="shared" si="1"/>
        <v>#REF!</v>
      </c>
    </row>
    <row r="643" hidden="1">
      <c r="A643" s="2" t="s">
        <v>1858</v>
      </c>
      <c r="B643" s="2" t="s">
        <v>542</v>
      </c>
      <c r="C643" s="2" t="s">
        <v>1439</v>
      </c>
      <c r="D643" s="2" t="s">
        <v>64</v>
      </c>
      <c r="E643" s="7" t="b">
        <v>1</v>
      </c>
      <c r="F643" s="9">
        <v>116.0</v>
      </c>
      <c r="G643" s="9">
        <v>11.5530454401335</v>
      </c>
      <c r="H643" s="9">
        <v>0.0021043077586206</v>
      </c>
      <c r="I643" s="7" t="b">
        <v>1</v>
      </c>
      <c r="J643" s="9">
        <v>0.0</v>
      </c>
      <c r="K643" s="7" t="b">
        <v>0</v>
      </c>
      <c r="L643" s="9">
        <v>222.0</v>
      </c>
      <c r="M643" s="9">
        <v>1.9138</v>
      </c>
      <c r="N643" s="2" t="s">
        <v>4472</v>
      </c>
      <c r="O643" s="2" t="s">
        <v>78</v>
      </c>
      <c r="P643" s="9">
        <v>63.95</v>
      </c>
      <c r="Q643" s="9">
        <v>59.0</v>
      </c>
      <c r="R643" s="9">
        <v>0.0</v>
      </c>
      <c r="S643" s="9">
        <v>0.6563</v>
      </c>
      <c r="T643" s="9">
        <v>0.9537</v>
      </c>
      <c r="U643" s="2" t="s">
        <v>4473</v>
      </c>
      <c r="V643" s="9">
        <v>0.55</v>
      </c>
      <c r="W643" s="2" t="s">
        <v>2760</v>
      </c>
      <c r="X643" s="2" t="s">
        <v>517</v>
      </c>
      <c r="Y643" s="2" t="s">
        <v>1711</v>
      </c>
      <c r="Z643" s="9">
        <v>0.5342</v>
      </c>
      <c r="AA643" s="9">
        <v>0.6563</v>
      </c>
      <c r="AB643" s="9">
        <v>0.55</v>
      </c>
      <c r="AC643" s="9">
        <v>0.1935</v>
      </c>
      <c r="AD643" s="9" t="str">
        <f t="shared" si="1"/>
        <v>#REF!</v>
      </c>
    </row>
    <row r="644" hidden="1">
      <c r="A644" s="2" t="s">
        <v>1858</v>
      </c>
      <c r="B644" s="2" t="s">
        <v>942</v>
      </c>
      <c r="C644" s="2" t="s">
        <v>1439</v>
      </c>
      <c r="D644" s="2" t="s">
        <v>64</v>
      </c>
      <c r="E644" s="7" t="b">
        <v>1</v>
      </c>
      <c r="F644" s="9">
        <v>4284.0</v>
      </c>
      <c r="G644" s="9">
        <v>1.870074862227233</v>
      </c>
      <c r="H644" s="9">
        <v>0.0010563809523809</v>
      </c>
      <c r="I644" s="7" t="b">
        <v>1</v>
      </c>
      <c r="J644" s="9">
        <v>0.0</v>
      </c>
      <c r="K644" s="7" t="b">
        <v>0</v>
      </c>
      <c r="L644" s="9">
        <v>23154.0</v>
      </c>
      <c r="M644" s="9">
        <v>5.4048</v>
      </c>
      <c r="N644" s="2" t="s">
        <v>4474</v>
      </c>
      <c r="O644" s="2" t="s">
        <v>4475</v>
      </c>
      <c r="P644" s="9">
        <v>49.68</v>
      </c>
      <c r="Q644" s="9">
        <v>38.0</v>
      </c>
      <c r="R644" s="9">
        <v>0.011681</v>
      </c>
      <c r="S644" s="9">
        <v>0.8105</v>
      </c>
      <c r="T644" s="9">
        <v>0.3402</v>
      </c>
      <c r="U644" s="2" t="s">
        <v>2828</v>
      </c>
      <c r="V644" s="9">
        <v>0.8394</v>
      </c>
      <c r="W644" s="2" t="s">
        <v>1780</v>
      </c>
      <c r="X644" s="2" t="s">
        <v>495</v>
      </c>
      <c r="Y644" s="2" t="s">
        <v>2889</v>
      </c>
      <c r="Z644" s="9">
        <v>0.7509</v>
      </c>
      <c r="AA644" s="9">
        <v>0.8105</v>
      </c>
      <c r="AB644" s="9">
        <v>0.8394</v>
      </c>
      <c r="AC644" s="9">
        <v>0.1462</v>
      </c>
      <c r="AD644" s="9" t="str">
        <f t="shared" si="1"/>
        <v>#REF!</v>
      </c>
    </row>
    <row r="645" hidden="1">
      <c r="A645" s="2" t="s">
        <v>1858</v>
      </c>
      <c r="B645" s="2" t="s">
        <v>997</v>
      </c>
      <c r="C645" s="2" t="s">
        <v>1439</v>
      </c>
      <c r="D645" s="2" t="s">
        <v>64</v>
      </c>
      <c r="E645" s="7" t="b">
        <v>1</v>
      </c>
      <c r="F645" s="9">
        <v>348.0</v>
      </c>
      <c r="G645" s="9">
        <v>29.80223998503639</v>
      </c>
      <c r="H645" s="9">
        <v>0.0207631120689655</v>
      </c>
      <c r="I645" s="7" t="b">
        <v>1</v>
      </c>
      <c r="J645" s="9">
        <v>0.0</v>
      </c>
      <c r="K645" s="7" t="b">
        <v>0</v>
      </c>
      <c r="L645" s="9">
        <v>180.0</v>
      </c>
      <c r="M645" s="9">
        <v>0.5172</v>
      </c>
      <c r="N645" s="2" t="s">
        <v>2074</v>
      </c>
      <c r="O645" s="2" t="s">
        <v>1579</v>
      </c>
      <c r="P645" s="9">
        <v>80.96</v>
      </c>
      <c r="Q645" s="9">
        <v>90.5</v>
      </c>
      <c r="R645" s="9">
        <v>0.0</v>
      </c>
      <c r="S645" s="9">
        <v>0.6324</v>
      </c>
      <c r="T645" s="9">
        <v>0.9944</v>
      </c>
      <c r="U645" s="2" t="s">
        <v>1367</v>
      </c>
      <c r="V645" s="9">
        <v>0.738</v>
      </c>
      <c r="W645" s="2" t="s">
        <v>157</v>
      </c>
      <c r="X645" s="2" t="s">
        <v>495</v>
      </c>
      <c r="Y645" s="2" t="s">
        <v>1718</v>
      </c>
      <c r="Z645" s="9">
        <v>0.4984</v>
      </c>
      <c r="AA645" s="9">
        <v>0.6324</v>
      </c>
      <c r="AB645" s="9">
        <v>0.738</v>
      </c>
      <c r="AC645" s="9">
        <v>0.7788</v>
      </c>
      <c r="AD645" s="9" t="str">
        <f t="shared" si="1"/>
        <v>#REF!</v>
      </c>
    </row>
    <row r="646" hidden="1">
      <c r="A646" s="2" t="s">
        <v>1858</v>
      </c>
      <c r="B646" s="2" t="s">
        <v>1027</v>
      </c>
      <c r="C646" s="2" t="s">
        <v>1439</v>
      </c>
      <c r="D646" s="2" t="s">
        <v>64</v>
      </c>
      <c r="E646" s="7" t="b">
        <v>1</v>
      </c>
      <c r="F646" s="9">
        <v>282.0</v>
      </c>
      <c r="G646" s="9">
        <v>19.27129182586312</v>
      </c>
      <c r="H646" s="9">
        <v>0.0108765177304964</v>
      </c>
      <c r="I646" s="7" t="b">
        <v>1</v>
      </c>
      <c r="J646" s="9">
        <v>0.0</v>
      </c>
      <c r="K646" s="7" t="b">
        <v>0</v>
      </c>
      <c r="L646" s="9">
        <v>182.0</v>
      </c>
      <c r="M646" s="9">
        <v>0.6454</v>
      </c>
      <c r="N646" s="2" t="s">
        <v>1879</v>
      </c>
      <c r="O646" s="2" t="s">
        <v>1690</v>
      </c>
      <c r="P646" s="9">
        <v>56.07</v>
      </c>
      <c r="Q646" s="9">
        <v>49.5</v>
      </c>
      <c r="R646" s="9">
        <v>0.0</v>
      </c>
      <c r="S646" s="9">
        <v>0.561</v>
      </c>
      <c r="T646" s="9">
        <v>0.8143</v>
      </c>
      <c r="U646" s="2" t="s">
        <v>3617</v>
      </c>
      <c r="V646" s="9">
        <v>0.55</v>
      </c>
      <c r="W646" s="2" t="s">
        <v>82</v>
      </c>
      <c r="X646" s="2" t="s">
        <v>495</v>
      </c>
      <c r="Y646" s="2" t="s">
        <v>3609</v>
      </c>
      <c r="Z646" s="9">
        <v>0.4371</v>
      </c>
      <c r="AA646" s="9">
        <v>0.561</v>
      </c>
      <c r="AB646" s="9">
        <v>0.55</v>
      </c>
      <c r="AC646" s="9">
        <v>0.2323</v>
      </c>
      <c r="AD646" s="9" t="str">
        <f t="shared" si="1"/>
        <v>#REF!</v>
      </c>
    </row>
    <row r="647" hidden="1">
      <c r="A647" s="2" t="s">
        <v>1858</v>
      </c>
      <c r="B647" s="2" t="s">
        <v>1047</v>
      </c>
      <c r="C647" s="2" t="s">
        <v>1439</v>
      </c>
      <c r="D647" s="2" t="s">
        <v>64</v>
      </c>
      <c r="E647" s="7" t="b">
        <v>1</v>
      </c>
      <c r="F647" s="9">
        <v>76.0</v>
      </c>
      <c r="G647" s="9">
        <v>3.759072954231871</v>
      </c>
      <c r="H647" s="9">
        <v>0.001918875</v>
      </c>
      <c r="I647" s="7" t="b">
        <v>1</v>
      </c>
      <c r="J647" s="9">
        <v>0.0</v>
      </c>
      <c r="K647" s="7" t="b">
        <v>0</v>
      </c>
      <c r="L647" s="9">
        <v>10947.0</v>
      </c>
      <c r="M647" s="9">
        <v>144.0395</v>
      </c>
      <c r="N647" s="2" t="s">
        <v>4476</v>
      </c>
      <c r="O647" s="2" t="s">
        <v>2819</v>
      </c>
      <c r="P647" s="9">
        <v>36.79</v>
      </c>
      <c r="Q647" s="9">
        <v>34.0</v>
      </c>
      <c r="R647" s="9">
        <v>0.008719</v>
      </c>
      <c r="S647" s="9">
        <v>0.754</v>
      </c>
      <c r="T647" s="9">
        <v>0.3056</v>
      </c>
      <c r="U647" s="2" t="s">
        <v>2820</v>
      </c>
      <c r="V647" s="9">
        <v>0.8838</v>
      </c>
      <c r="W647" s="2" t="s">
        <v>1600</v>
      </c>
      <c r="X647" s="2" t="s">
        <v>1466</v>
      </c>
      <c r="Y647" s="2" t="s">
        <v>2821</v>
      </c>
      <c r="Z647" s="9">
        <v>0.6776</v>
      </c>
      <c r="AA647" s="9">
        <v>0.754</v>
      </c>
      <c r="AB647" s="9">
        <v>0.8838</v>
      </c>
      <c r="AC647" s="9">
        <v>0.1414</v>
      </c>
      <c r="AD647" s="9" t="str">
        <f t="shared" si="1"/>
        <v>#REF!</v>
      </c>
    </row>
    <row r="648" hidden="1">
      <c r="A648" s="2" t="s">
        <v>1858</v>
      </c>
      <c r="B648" s="2" t="s">
        <v>1053</v>
      </c>
      <c r="C648" s="2" t="s">
        <v>1439</v>
      </c>
      <c r="D648" s="2" t="s">
        <v>64</v>
      </c>
      <c r="E648" s="7" t="b">
        <v>1</v>
      </c>
      <c r="F648" s="9">
        <v>83.0</v>
      </c>
      <c r="G648" s="9">
        <v>3.005872572624959</v>
      </c>
      <c r="H648" s="9">
        <v>0.0012423</v>
      </c>
      <c r="I648" s="7" t="b">
        <v>1</v>
      </c>
      <c r="J648" s="9">
        <v>0.0</v>
      </c>
      <c r="K648" s="7" t="b">
        <v>0</v>
      </c>
      <c r="L648" s="9">
        <v>11556.0</v>
      </c>
      <c r="M648" s="9">
        <v>139.2289</v>
      </c>
      <c r="N648" s="2" t="s">
        <v>4477</v>
      </c>
      <c r="O648" s="2" t="s">
        <v>3914</v>
      </c>
      <c r="P648" s="9">
        <v>36.59</v>
      </c>
      <c r="Q648" s="9">
        <v>34.0</v>
      </c>
      <c r="R648" s="9">
        <v>0.009256</v>
      </c>
      <c r="S648" s="9">
        <v>0.7597</v>
      </c>
      <c r="T648" s="9">
        <v>0.3207</v>
      </c>
      <c r="U648" s="2" t="s">
        <v>2820</v>
      </c>
      <c r="V648" s="9">
        <v>0.8855</v>
      </c>
      <c r="W648" s="2" t="s">
        <v>1771</v>
      </c>
      <c r="X648" s="2" t="s">
        <v>1466</v>
      </c>
      <c r="Y648" s="2" t="s">
        <v>2821</v>
      </c>
      <c r="Z648" s="9">
        <v>0.6806</v>
      </c>
      <c r="AA648" s="9">
        <v>0.7597</v>
      </c>
      <c r="AB648" s="9">
        <v>0.8855</v>
      </c>
      <c r="AC648" s="9">
        <v>0.1428</v>
      </c>
      <c r="AD648" s="9" t="str">
        <f t="shared" si="1"/>
        <v>#REF!</v>
      </c>
    </row>
    <row r="649" hidden="1">
      <c r="A649" s="2" t="s">
        <v>1837</v>
      </c>
      <c r="B649" s="2" t="s">
        <v>534</v>
      </c>
      <c r="C649" s="2" t="s">
        <v>1439</v>
      </c>
      <c r="D649" s="2" t="s">
        <v>64</v>
      </c>
      <c r="E649" s="7" t="b">
        <v>1</v>
      </c>
      <c r="F649" s="9">
        <v>238.0</v>
      </c>
      <c r="G649" s="9">
        <v>10.77776536887046</v>
      </c>
      <c r="H649" s="9">
        <v>0.0018748668067226</v>
      </c>
      <c r="I649" s="7" t="b">
        <v>1</v>
      </c>
      <c r="J649" s="9">
        <v>0.0</v>
      </c>
      <c r="K649" s="7" t="b">
        <v>0</v>
      </c>
      <c r="L649" s="9">
        <v>38.0</v>
      </c>
      <c r="M649" s="9">
        <v>0.1597</v>
      </c>
      <c r="N649" s="2" t="s">
        <v>1984</v>
      </c>
      <c r="O649" s="2" t="s">
        <v>1985</v>
      </c>
      <c r="P649" s="9">
        <v>79.18</v>
      </c>
      <c r="Q649" s="9">
        <v>81.5</v>
      </c>
      <c r="R649" s="9">
        <v>0.0</v>
      </c>
      <c r="S649" s="9">
        <v>0.4578</v>
      </c>
      <c r="T649" s="9">
        <v>1.0005</v>
      </c>
      <c r="U649" s="2" t="s">
        <v>1817</v>
      </c>
      <c r="V649" s="9">
        <v>0.3</v>
      </c>
      <c r="W649" s="2" t="s">
        <v>1657</v>
      </c>
      <c r="X649" s="2" t="s">
        <v>1466</v>
      </c>
      <c r="Y649" s="2" t="s">
        <v>2836</v>
      </c>
      <c r="Z649" s="9">
        <v>0.355</v>
      </c>
      <c r="AA649" s="9">
        <v>0.4578</v>
      </c>
      <c r="AB649" s="9">
        <v>0.3</v>
      </c>
      <c r="AC649" s="9">
        <v>0.7109</v>
      </c>
      <c r="AD649" s="9" t="str">
        <f t="shared" si="1"/>
        <v>#REF!</v>
      </c>
    </row>
    <row r="650" hidden="1">
      <c r="A650" s="2" t="s">
        <v>1837</v>
      </c>
      <c r="B650" s="2" t="s">
        <v>542</v>
      </c>
      <c r="C650" s="2" t="s">
        <v>1439</v>
      </c>
      <c r="D650" s="2" t="s">
        <v>64</v>
      </c>
      <c r="E650" s="7" t="b">
        <v>1</v>
      </c>
      <c r="F650" s="9">
        <v>56.0</v>
      </c>
      <c r="G650" s="9">
        <v>12.86309647823336</v>
      </c>
      <c r="H650" s="9">
        <v>0.0012603857142857</v>
      </c>
      <c r="I650" s="7" t="b">
        <v>1</v>
      </c>
      <c r="J650" s="9">
        <v>0.0</v>
      </c>
      <c r="K650" s="7" t="b">
        <v>0</v>
      </c>
      <c r="L650" s="9">
        <v>63.0</v>
      </c>
      <c r="M650" s="9">
        <v>1.125</v>
      </c>
      <c r="N650" s="2" t="s">
        <v>1825</v>
      </c>
      <c r="O650" s="2" t="s">
        <v>2284</v>
      </c>
      <c r="P650" s="9">
        <v>69.98</v>
      </c>
      <c r="Q650" s="9">
        <v>66.0</v>
      </c>
      <c r="R650" s="9">
        <v>0.0</v>
      </c>
      <c r="S650" s="9">
        <v>0.5188</v>
      </c>
      <c r="T650" s="9">
        <v>0.9699</v>
      </c>
      <c r="U650" s="2" t="s">
        <v>4263</v>
      </c>
      <c r="V650" s="9">
        <v>0.55</v>
      </c>
      <c r="W650" s="2" t="s">
        <v>198</v>
      </c>
      <c r="X650" s="2" t="s">
        <v>517</v>
      </c>
      <c r="Y650" s="2" t="s">
        <v>1711</v>
      </c>
      <c r="Z650" s="9">
        <v>0.4086</v>
      </c>
      <c r="AA650" s="9">
        <v>0.5188</v>
      </c>
      <c r="AB650" s="9">
        <v>0.55</v>
      </c>
      <c r="AC650" s="9">
        <v>0.1418</v>
      </c>
      <c r="AD650" s="9" t="str">
        <f t="shared" si="1"/>
        <v>#REF!</v>
      </c>
    </row>
    <row r="651" hidden="1">
      <c r="A651" s="2" t="s">
        <v>1837</v>
      </c>
      <c r="B651" s="2" t="s">
        <v>942</v>
      </c>
      <c r="C651" s="2" t="s">
        <v>1439</v>
      </c>
      <c r="D651" s="2" t="s">
        <v>64</v>
      </c>
      <c r="E651" s="7" t="b">
        <v>1</v>
      </c>
      <c r="F651" s="9">
        <v>2428.0</v>
      </c>
      <c r="G651" s="9">
        <v>2.49391901610898</v>
      </c>
      <c r="H651" s="9">
        <v>0.0010659871911037</v>
      </c>
      <c r="I651" s="7" t="b">
        <v>1</v>
      </c>
      <c r="J651" s="9">
        <v>0.0</v>
      </c>
      <c r="K651" s="7" t="b">
        <v>0</v>
      </c>
      <c r="L651" s="9">
        <v>9134.0</v>
      </c>
      <c r="M651" s="9">
        <v>3.7619</v>
      </c>
      <c r="N651" s="2" t="s">
        <v>4478</v>
      </c>
      <c r="O651" s="2" t="s">
        <v>4479</v>
      </c>
      <c r="P651" s="9">
        <v>51.6</v>
      </c>
      <c r="Q651" s="9">
        <v>41.0</v>
      </c>
      <c r="R651" s="9">
        <v>0.011632</v>
      </c>
      <c r="S651" s="9">
        <v>0.7971</v>
      </c>
      <c r="T651" s="9">
        <v>0.4823</v>
      </c>
      <c r="U651" s="2" t="s">
        <v>2820</v>
      </c>
      <c r="V651" s="9">
        <v>0.8023</v>
      </c>
      <c r="W651" s="2" t="s">
        <v>1884</v>
      </c>
      <c r="X651" s="2" t="s">
        <v>517</v>
      </c>
      <c r="Y651" s="2" t="s">
        <v>2719</v>
      </c>
      <c r="Z651" s="9">
        <v>0.719</v>
      </c>
      <c r="AA651" s="9">
        <v>0.7971</v>
      </c>
      <c r="AB651" s="9">
        <v>0.8023</v>
      </c>
      <c r="AC651" s="9">
        <v>0.1373</v>
      </c>
      <c r="AD651" s="9" t="str">
        <f t="shared" si="1"/>
        <v>#REF!</v>
      </c>
    </row>
    <row r="652" hidden="1">
      <c r="A652" s="2" t="s">
        <v>1837</v>
      </c>
      <c r="B652" s="2" t="s">
        <v>997</v>
      </c>
      <c r="C652" s="2" t="s">
        <v>1439</v>
      </c>
      <c r="D652" s="2" t="s">
        <v>64</v>
      </c>
      <c r="E652" s="7" t="b">
        <v>1</v>
      </c>
      <c r="F652" s="9">
        <v>2326.0</v>
      </c>
      <c r="G652" s="9">
        <v>29.10396625730588</v>
      </c>
      <c r="H652" s="9">
        <v>0.1277119501289768</v>
      </c>
      <c r="I652" s="7" t="b">
        <v>1</v>
      </c>
      <c r="J652" s="9">
        <v>0.0</v>
      </c>
      <c r="K652" s="7" t="b">
        <v>0</v>
      </c>
      <c r="L652" s="9">
        <v>1555.0</v>
      </c>
      <c r="M652" s="9">
        <v>0.6685</v>
      </c>
      <c r="N652" s="2" t="s">
        <v>4480</v>
      </c>
      <c r="O652" s="2" t="s">
        <v>4481</v>
      </c>
      <c r="P652" s="9">
        <v>69.11</v>
      </c>
      <c r="Q652" s="9">
        <v>66.0</v>
      </c>
      <c r="R652" s="9">
        <v>0.023256</v>
      </c>
      <c r="S652" s="9">
        <v>0.8555</v>
      </c>
      <c r="T652" s="9">
        <v>0.9903</v>
      </c>
      <c r="U652" s="2" t="s">
        <v>1016</v>
      </c>
      <c r="V652" s="9">
        <v>0.7722</v>
      </c>
      <c r="W652" s="2" t="s">
        <v>157</v>
      </c>
      <c r="X652" s="2" t="s">
        <v>84</v>
      </c>
      <c r="Y652" s="2" t="s">
        <v>2675</v>
      </c>
      <c r="Z652" s="9">
        <v>0.7014</v>
      </c>
      <c r="AA652" s="9">
        <v>0.8555</v>
      </c>
      <c r="AB652" s="9">
        <v>0.7722</v>
      </c>
      <c r="AC652" s="9">
        <v>0.7244</v>
      </c>
      <c r="AD652" s="9" t="str">
        <f t="shared" si="1"/>
        <v>#REF!</v>
      </c>
    </row>
    <row r="653" hidden="1">
      <c r="A653" s="2" t="s">
        <v>1837</v>
      </c>
      <c r="B653" s="2" t="s">
        <v>1027</v>
      </c>
      <c r="C653" s="2" t="s">
        <v>1439</v>
      </c>
      <c r="D653" s="2" t="s">
        <v>64</v>
      </c>
      <c r="E653" s="7" t="b">
        <v>1</v>
      </c>
      <c r="F653" s="9">
        <v>58.0</v>
      </c>
      <c r="G653" s="9">
        <v>13.4189391660841</v>
      </c>
      <c r="H653" s="9">
        <v>0.001089468275862</v>
      </c>
      <c r="I653" s="7" t="b">
        <v>1</v>
      </c>
      <c r="J653" s="9">
        <v>0.0</v>
      </c>
      <c r="K653" s="7" t="b">
        <v>0</v>
      </c>
      <c r="L653" s="9">
        <v>42.0</v>
      </c>
      <c r="M653" s="9">
        <v>0.7241</v>
      </c>
      <c r="N653" s="2" t="s">
        <v>2329</v>
      </c>
      <c r="O653" s="2" t="s">
        <v>2475</v>
      </c>
      <c r="P653" s="9">
        <v>42.6</v>
      </c>
      <c r="Q653" s="9">
        <v>36.5</v>
      </c>
      <c r="R653" s="9">
        <v>0.125</v>
      </c>
      <c r="S653" s="9">
        <v>0.2499</v>
      </c>
      <c r="T653" s="9">
        <v>0.4379</v>
      </c>
      <c r="U653" s="2" t="s">
        <v>964</v>
      </c>
      <c r="V653" s="9">
        <v>0.0</v>
      </c>
      <c r="W653" s="2" t="s">
        <v>82</v>
      </c>
      <c r="X653" s="2" t="s">
        <v>517</v>
      </c>
      <c r="Y653" s="2" t="s">
        <v>1338</v>
      </c>
      <c r="Z653" s="9">
        <v>0.2092</v>
      </c>
      <c r="AA653" s="9">
        <v>0.2499</v>
      </c>
      <c r="AB653" s="9">
        <v>0.0</v>
      </c>
      <c r="AC653" s="9">
        <v>0.0601</v>
      </c>
      <c r="AD653" s="9" t="str">
        <f t="shared" si="1"/>
        <v>#REF!</v>
      </c>
    </row>
    <row r="654" hidden="1">
      <c r="A654" s="2" t="s">
        <v>1480</v>
      </c>
      <c r="B654" s="2" t="s">
        <v>441</v>
      </c>
      <c r="C654" s="2" t="s">
        <v>1439</v>
      </c>
      <c r="D654" s="2" t="s">
        <v>64</v>
      </c>
      <c r="E654" s="7" t="b">
        <v>1</v>
      </c>
      <c r="F654" s="9">
        <v>924.0</v>
      </c>
      <c r="G654" s="9">
        <v>4.293241574799065</v>
      </c>
      <c r="H654" s="9">
        <v>0.0059285606060606</v>
      </c>
      <c r="I654" s="7" t="b">
        <v>1</v>
      </c>
      <c r="J654" s="9">
        <v>0.0</v>
      </c>
      <c r="K654" s="7" t="b">
        <v>0</v>
      </c>
      <c r="L654" s="9">
        <v>343.0</v>
      </c>
      <c r="M654" s="9">
        <v>0.3712</v>
      </c>
      <c r="N654" s="2" t="s">
        <v>3394</v>
      </c>
      <c r="O654" s="2" t="s">
        <v>2683</v>
      </c>
      <c r="P654" s="9">
        <v>48.69</v>
      </c>
      <c r="Q654" s="9">
        <v>43.0</v>
      </c>
      <c r="R654" s="9">
        <v>0.06</v>
      </c>
      <c r="S654" s="9">
        <v>0.5881</v>
      </c>
      <c r="T654" s="9">
        <v>0.7399</v>
      </c>
      <c r="U654" s="2" t="s">
        <v>1540</v>
      </c>
      <c r="V654" s="9">
        <v>0.4498</v>
      </c>
      <c r="W654" s="2" t="s">
        <v>1124</v>
      </c>
      <c r="X654" s="2" t="s">
        <v>1521</v>
      </c>
      <c r="Y654" s="2" t="s">
        <v>3037</v>
      </c>
      <c r="Z654" s="9">
        <v>0.5119</v>
      </c>
      <c r="AA654" s="9">
        <v>0.5881</v>
      </c>
      <c r="AB654" s="9">
        <v>0.4498</v>
      </c>
      <c r="AC654" s="9">
        <v>0.2158</v>
      </c>
      <c r="AD654" s="9" t="str">
        <f t="shared" si="1"/>
        <v>#REF!</v>
      </c>
    </row>
    <row r="655" hidden="1">
      <c r="A655" s="2" t="s">
        <v>1480</v>
      </c>
      <c r="B655" s="2" t="s">
        <v>474</v>
      </c>
      <c r="C655" s="2" t="s">
        <v>1439</v>
      </c>
      <c r="D655" s="2" t="s">
        <v>64</v>
      </c>
      <c r="E655" s="7" t="b">
        <v>1</v>
      </c>
      <c r="F655" s="9">
        <v>54.0</v>
      </c>
      <c r="G655" s="9">
        <v>4.395846158372172</v>
      </c>
      <c r="H655" s="9">
        <v>0.0014720333333333</v>
      </c>
      <c r="I655" s="7" t="b">
        <v>1</v>
      </c>
      <c r="J655" s="9">
        <v>0.0</v>
      </c>
      <c r="K655" s="7" t="b">
        <v>0</v>
      </c>
      <c r="L655" s="9">
        <v>360.0</v>
      </c>
      <c r="M655" s="9">
        <v>6.6667</v>
      </c>
      <c r="N655" s="2" t="s">
        <v>1433</v>
      </c>
      <c r="O655" s="2" t="s">
        <v>1373</v>
      </c>
      <c r="P655" s="9">
        <v>39.17</v>
      </c>
      <c r="Q655" s="9">
        <v>36.0</v>
      </c>
      <c r="R655" s="9">
        <v>0.039474</v>
      </c>
      <c r="S655" s="9">
        <v>0.5789</v>
      </c>
      <c r="T655" s="9">
        <v>0.7911</v>
      </c>
      <c r="U655" s="2" t="s">
        <v>3042</v>
      </c>
      <c r="V655" s="9">
        <v>0.8885</v>
      </c>
      <c r="W655" s="2" t="s">
        <v>134</v>
      </c>
      <c r="X655" s="2" t="s">
        <v>517</v>
      </c>
      <c r="Y655" s="2" t="s">
        <v>3567</v>
      </c>
      <c r="Z655" s="9">
        <v>0.4981</v>
      </c>
      <c r="AA655" s="9">
        <v>0.5789</v>
      </c>
      <c r="AB655" s="9">
        <v>0.8885</v>
      </c>
      <c r="AC655" s="9">
        <v>0.2103</v>
      </c>
      <c r="AD655" s="9" t="str">
        <f t="shared" si="1"/>
        <v>#REF!</v>
      </c>
    </row>
    <row r="656" hidden="1">
      <c r="A656" s="2" t="s">
        <v>1480</v>
      </c>
      <c r="B656" s="2" t="s">
        <v>534</v>
      </c>
      <c r="C656" s="2" t="s">
        <v>1439</v>
      </c>
      <c r="D656" s="2" t="s">
        <v>64</v>
      </c>
      <c r="E656" s="7" t="b">
        <v>1</v>
      </c>
      <c r="F656" s="9">
        <v>269.0</v>
      </c>
      <c r="G656" s="9">
        <v>10.82422260045461</v>
      </c>
      <c r="H656" s="9">
        <v>0.0021368713754646</v>
      </c>
      <c r="I656" s="7" t="b">
        <v>1</v>
      </c>
      <c r="J656" s="9">
        <v>0.0</v>
      </c>
      <c r="K656" s="7" t="b">
        <v>0</v>
      </c>
      <c r="L656" s="9">
        <v>69.0</v>
      </c>
      <c r="M656" s="9">
        <v>0.2565</v>
      </c>
      <c r="N656" s="2" t="s">
        <v>1460</v>
      </c>
      <c r="O656" s="2" t="s">
        <v>1539</v>
      </c>
      <c r="P656" s="9">
        <v>61.86</v>
      </c>
      <c r="Q656" s="9">
        <v>52.0</v>
      </c>
      <c r="R656" s="9">
        <v>0.0</v>
      </c>
      <c r="S656" s="9">
        <v>0.4926</v>
      </c>
      <c r="T656" s="9">
        <v>0.9299</v>
      </c>
      <c r="U656" s="2" t="s">
        <v>2048</v>
      </c>
      <c r="V656" s="9">
        <v>0.0</v>
      </c>
      <c r="W656" s="2" t="s">
        <v>1124</v>
      </c>
      <c r="X656" s="2" t="s">
        <v>1521</v>
      </c>
      <c r="Y656" s="2" t="s">
        <v>3170</v>
      </c>
      <c r="Z656" s="9">
        <v>0.3959</v>
      </c>
      <c r="AA656" s="9">
        <v>0.4926</v>
      </c>
      <c r="AB656" s="9">
        <v>0.0</v>
      </c>
      <c r="AC656" s="9">
        <v>0.2074</v>
      </c>
      <c r="AD656" s="9" t="str">
        <f t="shared" si="1"/>
        <v>#REF!</v>
      </c>
    </row>
    <row r="657" hidden="1">
      <c r="A657" s="2" t="s">
        <v>1480</v>
      </c>
      <c r="B657" s="2" t="s">
        <v>982</v>
      </c>
      <c r="C657" s="2" t="s">
        <v>1439</v>
      </c>
      <c r="D657" s="2" t="s">
        <v>64</v>
      </c>
      <c r="E657" s="7" t="b">
        <v>1</v>
      </c>
      <c r="F657" s="9">
        <v>181.0</v>
      </c>
      <c r="G657" s="9">
        <v>11.94237634366287</v>
      </c>
      <c r="H657" s="9">
        <v>0.0123355690607734</v>
      </c>
      <c r="I657" s="7" t="b">
        <v>1</v>
      </c>
      <c r="J657" s="9">
        <v>0.0</v>
      </c>
      <c r="K657" s="7" t="b">
        <v>0</v>
      </c>
      <c r="L657" s="9">
        <v>443.0</v>
      </c>
      <c r="M657" s="9">
        <v>2.4475</v>
      </c>
      <c r="N657" s="2" t="s">
        <v>4455</v>
      </c>
      <c r="O657" s="2" t="s">
        <v>3094</v>
      </c>
      <c r="P657" s="9">
        <v>60.43</v>
      </c>
      <c r="Q657" s="9">
        <v>54.0</v>
      </c>
      <c r="R657" s="9">
        <v>0.074627</v>
      </c>
      <c r="S657" s="9">
        <v>0.7765</v>
      </c>
      <c r="T657" s="9">
        <v>0.998</v>
      </c>
      <c r="U657" s="2" t="s">
        <v>2641</v>
      </c>
      <c r="V657" s="9">
        <v>0.8082</v>
      </c>
      <c r="W657" s="2" t="s">
        <v>1193</v>
      </c>
      <c r="X657" s="2" t="s">
        <v>237</v>
      </c>
      <c r="Y657" s="2" t="s">
        <v>1703</v>
      </c>
      <c r="Z657" s="9">
        <v>0.6147</v>
      </c>
      <c r="AA657" s="9">
        <v>0.7765</v>
      </c>
      <c r="AB657" s="9">
        <v>0.8082</v>
      </c>
      <c r="AC657" s="9">
        <v>0.6311</v>
      </c>
      <c r="AD657" s="9" t="str">
        <f t="shared" si="1"/>
        <v>#REF!</v>
      </c>
    </row>
    <row r="658" hidden="1">
      <c r="A658" s="2" t="s">
        <v>1480</v>
      </c>
      <c r="B658" s="2" t="s">
        <v>992</v>
      </c>
      <c r="C658" s="2" t="s">
        <v>1439</v>
      </c>
      <c r="D658" s="2" t="s">
        <v>64</v>
      </c>
      <c r="E658" s="7" t="b">
        <v>1</v>
      </c>
      <c r="F658" s="9">
        <v>230.0</v>
      </c>
      <c r="G658" s="9">
        <v>11.52346064034078</v>
      </c>
      <c r="H658" s="9">
        <v>0.0150481565217391</v>
      </c>
      <c r="I658" s="7" t="b">
        <v>1</v>
      </c>
      <c r="J658" s="9">
        <v>0.0</v>
      </c>
      <c r="K658" s="7" t="b">
        <v>0</v>
      </c>
      <c r="L658" s="9">
        <v>474.0</v>
      </c>
      <c r="M658" s="9">
        <v>2.0609</v>
      </c>
      <c r="N658" s="2" t="s">
        <v>4482</v>
      </c>
      <c r="O658" s="2" t="s">
        <v>4483</v>
      </c>
      <c r="P658" s="9">
        <v>53.0</v>
      </c>
      <c r="Q658" s="9">
        <v>48.0</v>
      </c>
      <c r="R658" s="9">
        <v>0.098592</v>
      </c>
      <c r="S658" s="9">
        <v>0.7775</v>
      </c>
      <c r="T658" s="9">
        <v>0.9975</v>
      </c>
      <c r="U658" s="2" t="s">
        <v>4400</v>
      </c>
      <c r="V658" s="9">
        <v>0.8515</v>
      </c>
      <c r="W658" s="2" t="s">
        <v>134</v>
      </c>
      <c r="X658" s="2" t="s">
        <v>237</v>
      </c>
      <c r="Y658" s="2" t="s">
        <v>1703</v>
      </c>
      <c r="Z658" s="9">
        <v>0.6131</v>
      </c>
      <c r="AA658" s="9">
        <v>0.7775</v>
      </c>
      <c r="AB658" s="9">
        <v>0.8515</v>
      </c>
      <c r="AC658" s="9">
        <v>0.8143</v>
      </c>
      <c r="AD658" s="9" t="str">
        <f t="shared" si="1"/>
        <v>#REF!</v>
      </c>
    </row>
    <row r="659" hidden="1">
      <c r="A659" s="2" t="s">
        <v>1480</v>
      </c>
      <c r="B659" s="2" t="s">
        <v>997</v>
      </c>
      <c r="C659" s="2" t="s">
        <v>1439</v>
      </c>
      <c r="D659" s="2" t="s">
        <v>64</v>
      </c>
      <c r="E659" s="7" t="b">
        <v>1</v>
      </c>
      <c r="F659" s="9">
        <v>157988.0</v>
      </c>
      <c r="G659" s="9">
        <v>32.06777117612348</v>
      </c>
      <c r="H659" s="9">
        <v>2.411912053447097</v>
      </c>
      <c r="I659" s="7" t="b">
        <v>1</v>
      </c>
      <c r="J659" s="9">
        <v>0.0</v>
      </c>
      <c r="K659" s="7" t="b">
        <v>0</v>
      </c>
      <c r="L659" s="9">
        <v>93544.0</v>
      </c>
      <c r="M659" s="9">
        <v>0.5921</v>
      </c>
      <c r="N659" s="2" t="s">
        <v>4484</v>
      </c>
      <c r="O659" s="2" t="s">
        <v>4485</v>
      </c>
      <c r="P659" s="9">
        <v>70.03</v>
      </c>
      <c r="Q659" s="9">
        <v>68.0</v>
      </c>
      <c r="R659" s="9">
        <v>0.05073</v>
      </c>
      <c r="S659" s="9">
        <v>0.9693</v>
      </c>
      <c r="T659" s="9">
        <v>0.7978</v>
      </c>
      <c r="U659" s="2" t="s">
        <v>3270</v>
      </c>
      <c r="V659" s="9">
        <v>0.7938</v>
      </c>
      <c r="W659" s="2" t="s">
        <v>82</v>
      </c>
      <c r="X659" s="2" t="s">
        <v>84</v>
      </c>
      <c r="Y659" s="2" t="s">
        <v>4486</v>
      </c>
      <c r="Z659" s="9">
        <v>0.9531</v>
      </c>
      <c r="AA659" s="9">
        <v>0.9693</v>
      </c>
      <c r="AB659" s="9">
        <v>0.7938</v>
      </c>
      <c r="AC659" s="9">
        <v>0.731</v>
      </c>
      <c r="AD659" s="9" t="str">
        <f t="shared" si="1"/>
        <v>#REF!</v>
      </c>
    </row>
    <row r="660" hidden="1">
      <c r="A660" s="2" t="s">
        <v>1480</v>
      </c>
      <c r="B660" s="2" t="s">
        <v>1004</v>
      </c>
      <c r="C660" s="2" t="s">
        <v>1439</v>
      </c>
      <c r="D660" s="2" t="s">
        <v>64</v>
      </c>
      <c r="E660" s="7" t="b">
        <v>1</v>
      </c>
      <c r="F660" s="9">
        <v>731.0</v>
      </c>
      <c r="G660" s="9">
        <v>5.139325214132207</v>
      </c>
      <c r="H660" s="9">
        <v>0.0016923116279069</v>
      </c>
      <c r="I660" s="7" t="b">
        <v>1</v>
      </c>
      <c r="J660" s="9">
        <v>0.0</v>
      </c>
      <c r="K660" s="7" t="b">
        <v>0</v>
      </c>
      <c r="L660" s="9">
        <v>186.0</v>
      </c>
      <c r="M660" s="9">
        <v>0.2544</v>
      </c>
      <c r="N660" s="2" t="s">
        <v>2282</v>
      </c>
      <c r="O660" s="2" t="s">
        <v>1539</v>
      </c>
      <c r="P660" s="9">
        <v>45.02</v>
      </c>
      <c r="Q660" s="9">
        <v>39.0</v>
      </c>
      <c r="R660" s="9">
        <v>0.0</v>
      </c>
      <c r="S660" s="9">
        <v>0.4975</v>
      </c>
      <c r="T660" s="9">
        <v>0.6892</v>
      </c>
      <c r="U660" s="2" t="s">
        <v>4473</v>
      </c>
      <c r="V660" s="9">
        <v>0.0</v>
      </c>
      <c r="W660" s="2" t="s">
        <v>82</v>
      </c>
      <c r="X660" s="2" t="s">
        <v>1521</v>
      </c>
      <c r="Y660" s="2" t="s">
        <v>1498</v>
      </c>
      <c r="Z660" s="9">
        <v>0.4249</v>
      </c>
      <c r="AA660" s="9">
        <v>0.4975</v>
      </c>
      <c r="AB660" s="9">
        <v>0.0</v>
      </c>
      <c r="AC660" s="9">
        <v>0.201</v>
      </c>
      <c r="AD660" s="9" t="str">
        <f t="shared" si="1"/>
        <v>#REF!</v>
      </c>
    </row>
    <row r="661" hidden="1">
      <c r="A661" s="2" t="s">
        <v>1480</v>
      </c>
      <c r="B661" s="2" t="s">
        <v>1009</v>
      </c>
      <c r="C661" s="2" t="s">
        <v>1439</v>
      </c>
      <c r="D661" s="2" t="s">
        <v>64</v>
      </c>
      <c r="E661" s="7" t="b">
        <v>1</v>
      </c>
      <c r="F661" s="9">
        <v>536.0</v>
      </c>
      <c r="G661" s="9">
        <v>4.391983726106517</v>
      </c>
      <c r="H661" s="9">
        <v>0.0028019501865671</v>
      </c>
      <c r="I661" s="7" t="b">
        <v>1</v>
      </c>
      <c r="J661" s="9">
        <v>0.0</v>
      </c>
      <c r="K661" s="7" t="b">
        <v>0</v>
      </c>
      <c r="L661" s="9">
        <v>181.0</v>
      </c>
      <c r="M661" s="9">
        <v>0.3377</v>
      </c>
      <c r="N661" s="2" t="s">
        <v>2782</v>
      </c>
      <c r="O661" s="2" t="s">
        <v>1373</v>
      </c>
      <c r="P661" s="9">
        <v>48.76</v>
      </c>
      <c r="Q661" s="9">
        <v>43.0</v>
      </c>
      <c r="R661" s="9">
        <v>0.0</v>
      </c>
      <c r="S661" s="9">
        <v>0.5191</v>
      </c>
      <c r="T661" s="9">
        <v>0.6961</v>
      </c>
      <c r="U661" s="2" t="s">
        <v>3103</v>
      </c>
      <c r="V661" s="9">
        <v>0.8786</v>
      </c>
      <c r="W661" s="2" t="s">
        <v>1780</v>
      </c>
      <c r="X661" s="2" t="s">
        <v>1521</v>
      </c>
      <c r="Y661" s="2" t="s">
        <v>3192</v>
      </c>
      <c r="Z661" s="9">
        <v>0.4351</v>
      </c>
      <c r="AA661" s="9">
        <v>0.5191</v>
      </c>
      <c r="AB661" s="9">
        <v>0.8786</v>
      </c>
      <c r="AC661" s="9">
        <v>0.2006</v>
      </c>
      <c r="AD661" s="9" t="str">
        <f t="shared" si="1"/>
        <v>#REF!</v>
      </c>
    </row>
    <row r="662" hidden="1">
      <c r="A662" s="2" t="s">
        <v>1480</v>
      </c>
      <c r="B662" s="2" t="s">
        <v>1015</v>
      </c>
      <c r="C662" s="2" t="s">
        <v>1439</v>
      </c>
      <c r="D662" s="2" t="s">
        <v>64</v>
      </c>
      <c r="E662" s="7" t="b">
        <v>1</v>
      </c>
      <c r="F662" s="9">
        <v>336.0</v>
      </c>
      <c r="G662" s="9">
        <v>8.088272604668308</v>
      </c>
      <c r="H662" s="9">
        <v>0.0054486375</v>
      </c>
      <c r="I662" s="7" t="b">
        <v>1</v>
      </c>
      <c r="J662" s="9">
        <v>0.0</v>
      </c>
      <c r="K662" s="7" t="b">
        <v>0</v>
      </c>
      <c r="L662" s="9">
        <v>139.0</v>
      </c>
      <c r="M662" s="9">
        <v>0.4137</v>
      </c>
      <c r="N662" s="2" t="s">
        <v>1475</v>
      </c>
      <c r="O662" s="2" t="s">
        <v>1890</v>
      </c>
      <c r="P662" s="9">
        <v>47.76</v>
      </c>
      <c r="Q662" s="9">
        <v>42.0</v>
      </c>
      <c r="R662" s="9">
        <v>0.047619</v>
      </c>
      <c r="S662" s="9">
        <v>0.4775</v>
      </c>
      <c r="T662" s="9">
        <v>0.7064</v>
      </c>
      <c r="U662" s="2" t="s">
        <v>1540</v>
      </c>
      <c r="V662" s="9">
        <v>0.8174</v>
      </c>
      <c r="W662" s="2" t="s">
        <v>1771</v>
      </c>
      <c r="X662" s="2" t="s">
        <v>1466</v>
      </c>
      <c r="Y662" s="2" t="s">
        <v>4310</v>
      </c>
      <c r="Z662" s="9">
        <v>0.4006</v>
      </c>
      <c r="AA662" s="9">
        <v>0.4775</v>
      </c>
      <c r="AB662" s="9">
        <v>0.8174</v>
      </c>
      <c r="AC662" s="9">
        <v>0.1412</v>
      </c>
      <c r="AD662" s="9" t="str">
        <f t="shared" si="1"/>
        <v>#REF!</v>
      </c>
    </row>
    <row r="663" hidden="1">
      <c r="A663" s="2" t="s">
        <v>1480</v>
      </c>
      <c r="B663" s="2" t="s">
        <v>1019</v>
      </c>
      <c r="C663" s="2" t="s">
        <v>1439</v>
      </c>
      <c r="D663" s="2" t="s">
        <v>64</v>
      </c>
      <c r="E663" s="7" t="b">
        <v>1</v>
      </c>
      <c r="F663" s="9">
        <v>887.0</v>
      </c>
      <c r="G663" s="9">
        <v>3.373219872262009</v>
      </c>
      <c r="H663" s="9">
        <v>0.0042950326944757</v>
      </c>
      <c r="I663" s="7" t="b">
        <v>1</v>
      </c>
      <c r="J663" s="9">
        <v>0.0</v>
      </c>
      <c r="K663" s="7" t="b">
        <v>0</v>
      </c>
      <c r="L663" s="9">
        <v>385.0</v>
      </c>
      <c r="M663" s="9">
        <v>0.434</v>
      </c>
      <c r="N663" s="2" t="s">
        <v>1525</v>
      </c>
      <c r="O663" s="2" t="s">
        <v>1545</v>
      </c>
      <c r="P663" s="9">
        <v>47.27</v>
      </c>
      <c r="Q663" s="9">
        <v>43.0</v>
      </c>
      <c r="R663" s="9">
        <v>0.070175</v>
      </c>
      <c r="S663" s="9">
        <v>0.5831</v>
      </c>
      <c r="T663" s="9">
        <v>0.6293</v>
      </c>
      <c r="U663" s="2" t="s">
        <v>1540</v>
      </c>
      <c r="V663" s="9">
        <v>0.8342</v>
      </c>
      <c r="W663" s="2" t="s">
        <v>1094</v>
      </c>
      <c r="X663" s="2" t="s">
        <v>1466</v>
      </c>
      <c r="Y663" s="2" t="s">
        <v>4310</v>
      </c>
      <c r="Z663" s="9">
        <v>0.4949</v>
      </c>
      <c r="AA663" s="9">
        <v>0.5831</v>
      </c>
      <c r="AB663" s="9">
        <v>0.8342</v>
      </c>
      <c r="AC663" s="9">
        <v>0.215</v>
      </c>
      <c r="AD663" s="9" t="str">
        <f t="shared" si="1"/>
        <v>#REF!</v>
      </c>
    </row>
    <row r="664" hidden="1">
      <c r="A664" s="2" t="s">
        <v>1480</v>
      </c>
      <c r="B664" s="2" t="s">
        <v>1027</v>
      </c>
      <c r="C664" s="2" t="s">
        <v>1439</v>
      </c>
      <c r="D664" s="2" t="s">
        <v>64</v>
      </c>
      <c r="E664" s="7" t="b">
        <v>1</v>
      </c>
      <c r="F664" s="9">
        <v>202.0</v>
      </c>
      <c r="G664" s="9">
        <v>15.71264628640806</v>
      </c>
      <c r="H664" s="9">
        <v>0.0051896297029702</v>
      </c>
      <c r="I664" s="7" t="b">
        <v>1</v>
      </c>
      <c r="J664" s="9">
        <v>0.0</v>
      </c>
      <c r="K664" s="7" t="b">
        <v>0</v>
      </c>
      <c r="L664" s="9">
        <v>72.0</v>
      </c>
      <c r="M664" s="9">
        <v>0.3564</v>
      </c>
      <c r="N664" s="2" t="s">
        <v>1551</v>
      </c>
      <c r="O664" s="2" t="s">
        <v>1985</v>
      </c>
      <c r="P664" s="9">
        <v>48.43</v>
      </c>
      <c r="Q664" s="9">
        <v>36.0</v>
      </c>
      <c r="R664" s="9">
        <v>0.083333</v>
      </c>
      <c r="S664" s="9">
        <v>0.4207</v>
      </c>
      <c r="T664" s="9">
        <v>0.7161</v>
      </c>
      <c r="U664" s="2" t="s">
        <v>2285</v>
      </c>
      <c r="V664" s="9">
        <v>0.0</v>
      </c>
      <c r="W664" s="2" t="s">
        <v>82</v>
      </c>
      <c r="X664" s="2" t="s">
        <v>1466</v>
      </c>
      <c r="Y664" s="2" t="s">
        <v>2393</v>
      </c>
      <c r="Z664" s="9">
        <v>0.331</v>
      </c>
      <c r="AA664" s="9">
        <v>0.4207</v>
      </c>
      <c r="AB664" s="9">
        <v>0.0</v>
      </c>
      <c r="AC664" s="9">
        <v>0.025</v>
      </c>
      <c r="AD664" s="9" t="str">
        <f t="shared" si="1"/>
        <v>#REF!</v>
      </c>
    </row>
    <row r="665" hidden="1">
      <c r="A665" s="2" t="s">
        <v>1530</v>
      </c>
      <c r="B665" s="2" t="s">
        <v>611</v>
      </c>
      <c r="C665" s="2" t="s">
        <v>119</v>
      </c>
      <c r="D665" s="2" t="s">
        <v>64</v>
      </c>
      <c r="E665" s="7" t="b">
        <v>1</v>
      </c>
      <c r="F665" s="9">
        <v>52.0</v>
      </c>
      <c r="G665" s="9">
        <v>16.21677830283786</v>
      </c>
      <c r="H665" s="9">
        <v>0.001109355576923</v>
      </c>
      <c r="I665" s="7" t="b">
        <v>1</v>
      </c>
      <c r="J665" s="9">
        <v>0.0</v>
      </c>
      <c r="K665" s="7" t="b">
        <v>0</v>
      </c>
      <c r="L665" s="9">
        <v>3.0</v>
      </c>
      <c r="M665" s="9">
        <v>0.0577</v>
      </c>
      <c r="N665" s="2" t="s">
        <v>175</v>
      </c>
      <c r="O665" s="2" t="s">
        <v>177</v>
      </c>
      <c r="P665" s="9">
        <v>32.0</v>
      </c>
      <c r="Q665" s="9">
        <v>31.0</v>
      </c>
      <c r="R665" s="9">
        <v>0.0</v>
      </c>
      <c r="S665" s="9">
        <v>0.1375</v>
      </c>
      <c r="T665" s="9">
        <v>1.0</v>
      </c>
      <c r="U665" s="2" t="s">
        <v>1630</v>
      </c>
      <c r="V665" s="15"/>
      <c r="W665" s="2" t="s">
        <v>82</v>
      </c>
      <c r="X665" s="2" t="s">
        <v>1455</v>
      </c>
      <c r="Y665" s="2" t="s">
        <v>1542</v>
      </c>
      <c r="Z665" s="9">
        <v>0.1068</v>
      </c>
      <c r="AA665" s="9">
        <v>0.1375</v>
      </c>
      <c r="AB665" s="15"/>
      <c r="AC665" s="9">
        <v>0.0</v>
      </c>
      <c r="AD665" s="9" t="str">
        <f t="shared" si="1"/>
        <v>#REF!</v>
      </c>
    </row>
    <row r="666" hidden="1">
      <c r="A666" s="2" t="s">
        <v>1530</v>
      </c>
      <c r="B666" s="2" t="s">
        <v>937</v>
      </c>
      <c r="C666" s="2" t="s">
        <v>119</v>
      </c>
      <c r="D666" s="2" t="s">
        <v>64</v>
      </c>
      <c r="E666" s="7" t="b">
        <v>1</v>
      </c>
      <c r="F666" s="9">
        <v>260.0</v>
      </c>
      <c r="G666" s="9">
        <v>1.200228182789367</v>
      </c>
      <c r="H666" s="9">
        <v>0.0016716153846153</v>
      </c>
      <c r="I666" s="7" t="b">
        <v>1</v>
      </c>
      <c r="J666" s="9">
        <v>0.0</v>
      </c>
      <c r="K666" s="7" t="b">
        <v>0</v>
      </c>
      <c r="L666" s="9">
        <v>59084.0</v>
      </c>
      <c r="M666" s="9">
        <v>227.2462</v>
      </c>
      <c r="N666" s="2" t="s">
        <v>4487</v>
      </c>
      <c r="O666" s="2" t="s">
        <v>4488</v>
      </c>
      <c r="P666" s="9">
        <v>50.63</v>
      </c>
      <c r="Q666" s="9">
        <v>43.0</v>
      </c>
      <c r="R666" s="9">
        <v>0.008383</v>
      </c>
      <c r="S666" s="9">
        <v>0.8553</v>
      </c>
      <c r="T666" s="9">
        <v>0.2296</v>
      </c>
      <c r="U666" s="2" t="s">
        <v>4263</v>
      </c>
      <c r="V666" s="9">
        <v>0.8643</v>
      </c>
      <c r="W666" s="2" t="s">
        <v>3600</v>
      </c>
      <c r="X666" s="2" t="s">
        <v>517</v>
      </c>
      <c r="Y666" s="2" t="s">
        <v>2125</v>
      </c>
      <c r="Z666" s="9">
        <v>0.8006</v>
      </c>
      <c r="AA666" s="9">
        <v>0.8553</v>
      </c>
      <c r="AB666" s="9">
        <v>0.8643</v>
      </c>
      <c r="AC666" s="9">
        <v>0.1787</v>
      </c>
      <c r="AD666" s="9" t="str">
        <f t="shared" si="1"/>
        <v>#REF!</v>
      </c>
    </row>
    <row r="667" hidden="1">
      <c r="A667" s="2" t="s">
        <v>2295</v>
      </c>
      <c r="B667" s="2" t="s">
        <v>963</v>
      </c>
      <c r="C667" s="2" t="s">
        <v>1316</v>
      </c>
      <c r="D667" s="2" t="s">
        <v>64</v>
      </c>
      <c r="E667" s="7" t="b">
        <v>1</v>
      </c>
      <c r="F667" s="9">
        <v>75.0</v>
      </c>
      <c r="G667" s="9">
        <v>14.23668454414618</v>
      </c>
      <c r="H667" s="9">
        <v>0.0049405546666666</v>
      </c>
      <c r="I667" s="7" t="b">
        <v>1</v>
      </c>
      <c r="J667" s="9">
        <v>0.0</v>
      </c>
      <c r="K667" s="7" t="b">
        <v>0</v>
      </c>
      <c r="L667" s="9">
        <v>122.0</v>
      </c>
      <c r="M667" s="9">
        <v>1.6267</v>
      </c>
      <c r="N667" s="2" t="s">
        <v>2277</v>
      </c>
      <c r="O667" s="2" t="s">
        <v>402</v>
      </c>
      <c r="P667" s="9">
        <v>45.18</v>
      </c>
      <c r="Q667" s="9">
        <v>39.0</v>
      </c>
      <c r="R667" s="9">
        <v>0.041667</v>
      </c>
      <c r="S667" s="9">
        <v>0.391</v>
      </c>
      <c r="T667" s="9">
        <v>0.5</v>
      </c>
      <c r="U667" s="2" t="s">
        <v>1589</v>
      </c>
      <c r="V667" s="9">
        <v>0.0</v>
      </c>
      <c r="W667" s="2" t="s">
        <v>82</v>
      </c>
      <c r="X667" s="2" t="s">
        <v>517</v>
      </c>
      <c r="Y667" s="2" t="s">
        <v>1338</v>
      </c>
      <c r="Z667" s="9">
        <v>0.3272</v>
      </c>
      <c r="AA667" s="9">
        <v>0.391</v>
      </c>
      <c r="AB667" s="9">
        <v>0.0</v>
      </c>
      <c r="AC667" s="9">
        <v>0.185</v>
      </c>
      <c r="AD667" s="9" t="str">
        <f t="shared" si="1"/>
        <v>#REF!</v>
      </c>
    </row>
    <row r="668" hidden="1">
      <c r="A668" s="2" t="s">
        <v>2295</v>
      </c>
      <c r="B668" s="2" t="s">
        <v>997</v>
      </c>
      <c r="C668" s="2" t="s">
        <v>1316</v>
      </c>
      <c r="D668" s="2" t="s">
        <v>64</v>
      </c>
      <c r="E668" s="7" t="b">
        <v>1</v>
      </c>
      <c r="F668" s="9">
        <v>7058.0</v>
      </c>
      <c r="G668" s="9">
        <v>19.72820590566391</v>
      </c>
      <c r="H668" s="9">
        <v>0.1705817453952961</v>
      </c>
      <c r="I668" s="7" t="b">
        <v>1</v>
      </c>
      <c r="J668" s="9">
        <v>0.0</v>
      </c>
      <c r="K668" s="7" t="b">
        <v>0</v>
      </c>
      <c r="L668" s="9">
        <v>2894.0</v>
      </c>
      <c r="M668" s="9">
        <v>0.41</v>
      </c>
      <c r="N668" s="2" t="s">
        <v>4489</v>
      </c>
      <c r="O668" s="2" t="s">
        <v>4490</v>
      </c>
      <c r="P668" s="9">
        <v>67.53</v>
      </c>
      <c r="Q668" s="9">
        <v>63.0</v>
      </c>
      <c r="R668" s="9">
        <v>0.011521</v>
      </c>
      <c r="S668" s="9">
        <v>0.8997</v>
      </c>
      <c r="T668" s="9">
        <v>0.9749</v>
      </c>
      <c r="U668" s="2" t="s">
        <v>2338</v>
      </c>
      <c r="V668" s="9">
        <v>0.7454</v>
      </c>
      <c r="W668" s="2" t="s">
        <v>82</v>
      </c>
      <c r="X668" s="2" t="s">
        <v>84</v>
      </c>
      <c r="Y668" s="2" t="s">
        <v>4179</v>
      </c>
      <c r="Z668" s="9">
        <v>0.7563</v>
      </c>
      <c r="AA668" s="9">
        <v>0.8997</v>
      </c>
      <c r="AB668" s="9">
        <v>0.7454</v>
      </c>
      <c r="AC668" s="9">
        <v>0.7271</v>
      </c>
      <c r="AD668" s="9" t="str">
        <f t="shared" si="1"/>
        <v>#REF!</v>
      </c>
    </row>
    <row r="669" hidden="1">
      <c r="A669" s="2" t="s">
        <v>1235</v>
      </c>
      <c r="B669" s="2" t="s">
        <v>534</v>
      </c>
      <c r="C669" s="2" t="s">
        <v>119</v>
      </c>
      <c r="D669" s="2" t="s">
        <v>64</v>
      </c>
      <c r="E669" s="7" t="b">
        <v>1</v>
      </c>
      <c r="F669" s="9">
        <v>2416.0</v>
      </c>
      <c r="G669" s="9">
        <v>42.23067837629798</v>
      </c>
      <c r="H669" s="9">
        <v>0.274687636589404</v>
      </c>
      <c r="I669" s="7" t="b">
        <v>1</v>
      </c>
      <c r="J669" s="9">
        <v>0.0</v>
      </c>
      <c r="K669" s="7" t="b">
        <v>0</v>
      </c>
      <c r="L669" s="9">
        <v>2214.0</v>
      </c>
      <c r="M669" s="9">
        <v>0.9164</v>
      </c>
      <c r="N669" s="2" t="s">
        <v>4491</v>
      </c>
      <c r="O669" s="2" t="s">
        <v>4492</v>
      </c>
      <c r="P669" s="9">
        <v>86.83</v>
      </c>
      <c r="Q669" s="9">
        <v>100.0</v>
      </c>
      <c r="R669" s="9">
        <v>0.016949</v>
      </c>
      <c r="S669" s="9">
        <v>0.9035</v>
      </c>
      <c r="T669" s="9">
        <v>0.9939</v>
      </c>
      <c r="U669" s="2" t="s">
        <v>109</v>
      </c>
      <c r="V669" s="9">
        <v>0.7476</v>
      </c>
      <c r="W669" s="2" t="s">
        <v>82</v>
      </c>
      <c r="X669" s="2" t="s">
        <v>99</v>
      </c>
      <c r="Y669" s="2" t="s">
        <v>4493</v>
      </c>
      <c r="Z669" s="9">
        <v>0.7453</v>
      </c>
      <c r="AA669" s="9">
        <v>0.9035</v>
      </c>
      <c r="AB669" s="9">
        <v>0.7476</v>
      </c>
      <c r="AC669" s="9">
        <v>0.8464</v>
      </c>
      <c r="AD669" s="9" t="str">
        <f t="shared" si="1"/>
        <v>#REF!</v>
      </c>
    </row>
    <row r="670" hidden="1">
      <c r="A670" s="2" t="s">
        <v>1235</v>
      </c>
      <c r="B670" s="2" t="s">
        <v>937</v>
      </c>
      <c r="C670" s="2" t="s">
        <v>119</v>
      </c>
      <c r="D670" s="2" t="s">
        <v>64</v>
      </c>
      <c r="E670" s="7" t="b">
        <v>1</v>
      </c>
      <c r="F670" s="9">
        <v>265.0</v>
      </c>
      <c r="G670" s="9">
        <v>1.345987440934293</v>
      </c>
      <c r="H670" s="9">
        <v>0.0021386943396226</v>
      </c>
      <c r="I670" s="7" t="b">
        <v>1</v>
      </c>
      <c r="J670" s="9">
        <v>0.0</v>
      </c>
      <c r="K670" s="7" t="b">
        <v>0</v>
      </c>
      <c r="L670" s="9">
        <v>198592.0</v>
      </c>
      <c r="M670" s="9">
        <v>749.4038</v>
      </c>
      <c r="N670" s="2" t="s">
        <v>4494</v>
      </c>
      <c r="O670" s="2" t="s">
        <v>4495</v>
      </c>
      <c r="P670" s="9">
        <v>61.15</v>
      </c>
      <c r="Q670" s="9">
        <v>56.0</v>
      </c>
      <c r="R670" s="9">
        <v>0.011198</v>
      </c>
      <c r="S670" s="9">
        <v>0.856</v>
      </c>
      <c r="T670" s="9">
        <v>0.1453</v>
      </c>
      <c r="U670" s="2" t="s">
        <v>4425</v>
      </c>
      <c r="V670" s="9">
        <v>0.7642</v>
      </c>
      <c r="W670" s="2" t="s">
        <v>2879</v>
      </c>
      <c r="X670" s="2" t="s">
        <v>495</v>
      </c>
      <c r="Y670" s="2" t="s">
        <v>2880</v>
      </c>
      <c r="Z670" s="9">
        <v>0.8069</v>
      </c>
      <c r="AA670" s="9">
        <v>0.856</v>
      </c>
      <c r="AB670" s="9">
        <v>0.7642</v>
      </c>
      <c r="AC670" s="9">
        <v>0.1444</v>
      </c>
      <c r="AD670" s="9" t="str">
        <f t="shared" si="1"/>
        <v>#REF!</v>
      </c>
    </row>
    <row r="671" hidden="1">
      <c r="A671" s="2" t="s">
        <v>1235</v>
      </c>
      <c r="B671" s="2" t="s">
        <v>997</v>
      </c>
      <c r="C671" s="2" t="s">
        <v>119</v>
      </c>
      <c r="D671" s="2" t="s">
        <v>64</v>
      </c>
      <c r="E671" s="7" t="b">
        <v>1</v>
      </c>
      <c r="F671" s="9">
        <v>154.0</v>
      </c>
      <c r="G671" s="9">
        <v>16.25974051031472</v>
      </c>
      <c r="H671" s="9">
        <v>0.0027489506493506</v>
      </c>
      <c r="I671" s="7" t="b">
        <v>1</v>
      </c>
      <c r="J671" s="9">
        <v>0.0</v>
      </c>
      <c r="K671" s="7" t="b">
        <v>0</v>
      </c>
      <c r="L671" s="9">
        <v>53.0</v>
      </c>
      <c r="M671" s="9">
        <v>0.3442</v>
      </c>
      <c r="N671" s="2" t="s">
        <v>400</v>
      </c>
      <c r="O671" s="2" t="s">
        <v>402</v>
      </c>
      <c r="P671" s="9">
        <v>75.0</v>
      </c>
      <c r="Q671" s="9">
        <v>80.0</v>
      </c>
      <c r="R671" s="9">
        <v>0.0</v>
      </c>
      <c r="S671" s="9">
        <v>0.4836</v>
      </c>
      <c r="T671" s="9">
        <v>0.994</v>
      </c>
      <c r="U671" s="2" t="s">
        <v>1693</v>
      </c>
      <c r="V671" s="9">
        <v>0.0</v>
      </c>
      <c r="W671" s="2" t="s">
        <v>157</v>
      </c>
      <c r="X671" s="2" t="s">
        <v>1466</v>
      </c>
      <c r="Y671" s="2" t="s">
        <v>2849</v>
      </c>
      <c r="Z671" s="9">
        <v>0.3816</v>
      </c>
      <c r="AA671" s="9">
        <v>0.4836</v>
      </c>
      <c r="AB671" s="9">
        <v>0.0</v>
      </c>
      <c r="AC671" s="9">
        <v>0.7898</v>
      </c>
      <c r="AD671" s="9" t="str">
        <f t="shared" si="1"/>
        <v>#REF!</v>
      </c>
    </row>
    <row r="672" hidden="1">
      <c r="A672" s="2" t="s">
        <v>1235</v>
      </c>
      <c r="B672" s="2" t="s">
        <v>1027</v>
      </c>
      <c r="C672" s="2" t="s">
        <v>119</v>
      </c>
      <c r="D672" s="2" t="s">
        <v>64</v>
      </c>
      <c r="E672" s="7" t="b">
        <v>1</v>
      </c>
      <c r="F672" s="9">
        <v>63.0</v>
      </c>
      <c r="G672" s="9">
        <v>27.00675601489574</v>
      </c>
      <c r="H672" s="9">
        <v>0.0047896825396825</v>
      </c>
      <c r="I672" s="7" t="b">
        <v>1</v>
      </c>
      <c r="J672" s="9">
        <v>0.0</v>
      </c>
      <c r="K672" s="7" t="b">
        <v>0</v>
      </c>
      <c r="L672" s="9">
        <v>38.0</v>
      </c>
      <c r="M672" s="9">
        <v>0.6032</v>
      </c>
      <c r="N672" s="2" t="s">
        <v>2329</v>
      </c>
      <c r="O672" s="2" t="s">
        <v>2475</v>
      </c>
      <c r="P672" s="9">
        <v>46.03</v>
      </c>
      <c r="Q672" s="9">
        <v>39.5</v>
      </c>
      <c r="R672" s="9">
        <v>0.0</v>
      </c>
      <c r="S672" s="9">
        <v>0.1832</v>
      </c>
      <c r="T672" s="9">
        <v>0.441</v>
      </c>
      <c r="U672" s="2" t="s">
        <v>3783</v>
      </c>
      <c r="V672" s="15"/>
      <c r="W672" s="2" t="s">
        <v>82</v>
      </c>
      <c r="X672" s="2" t="s">
        <v>1455</v>
      </c>
      <c r="Y672" s="2" t="s">
        <v>1564</v>
      </c>
      <c r="Z672" s="9">
        <v>0.141</v>
      </c>
      <c r="AA672" s="9">
        <v>0.1832</v>
      </c>
      <c r="AB672" s="15"/>
      <c r="AC672" s="9">
        <v>0.0583</v>
      </c>
      <c r="AD672" s="9" t="str">
        <f t="shared" si="1"/>
        <v>#REF!</v>
      </c>
    </row>
    <row r="673" hidden="1">
      <c r="A673" s="2" t="s">
        <v>1452</v>
      </c>
      <c r="B673" s="2" t="s">
        <v>1015</v>
      </c>
      <c r="C673" s="2" t="s">
        <v>1439</v>
      </c>
      <c r="D673" s="2" t="s">
        <v>64</v>
      </c>
      <c r="E673" s="7" t="b">
        <v>1</v>
      </c>
      <c r="F673" s="9">
        <v>9603.0</v>
      </c>
      <c r="G673" s="9">
        <v>63.95974530816054</v>
      </c>
      <c r="H673" s="9">
        <v>3.922723586379256</v>
      </c>
      <c r="I673" s="7" t="b">
        <v>1</v>
      </c>
      <c r="J673" s="9">
        <v>0.0</v>
      </c>
      <c r="K673" s="7" t="b">
        <v>0</v>
      </c>
      <c r="L673" s="9">
        <v>9277.0</v>
      </c>
      <c r="M673" s="9">
        <v>0.9661</v>
      </c>
      <c r="N673" s="2" t="s">
        <v>4496</v>
      </c>
      <c r="O673" s="2" t="s">
        <v>4497</v>
      </c>
      <c r="P673" s="9">
        <v>86.33</v>
      </c>
      <c r="Q673" s="9">
        <v>99.0</v>
      </c>
      <c r="R673" s="9">
        <v>0.008814</v>
      </c>
      <c r="S673" s="9">
        <v>0.9691</v>
      </c>
      <c r="T673" s="9">
        <v>0.982</v>
      </c>
      <c r="U673" s="2" t="s">
        <v>1177</v>
      </c>
      <c r="V673" s="9">
        <v>0.8278</v>
      </c>
      <c r="W673" s="2" t="s">
        <v>82</v>
      </c>
      <c r="X673" s="2" t="s">
        <v>84</v>
      </c>
      <c r="Y673" s="2" t="s">
        <v>1572</v>
      </c>
      <c r="Z673" s="9">
        <v>0.8665</v>
      </c>
      <c r="AA673" s="9">
        <v>0.9691</v>
      </c>
      <c r="AB673" s="9">
        <v>0.8278</v>
      </c>
      <c r="AC673" s="9">
        <v>0.8659</v>
      </c>
      <c r="AD673" s="9" t="str">
        <f t="shared" si="1"/>
        <v>#REF!</v>
      </c>
    </row>
    <row r="674" hidden="1">
      <c r="A674" s="2" t="s">
        <v>1452</v>
      </c>
      <c r="B674" s="2" t="s">
        <v>1024</v>
      </c>
      <c r="C674" s="2" t="s">
        <v>1439</v>
      </c>
      <c r="D674" s="2" t="s">
        <v>64</v>
      </c>
      <c r="E674" s="7" t="b">
        <v>1</v>
      </c>
      <c r="F674" s="9">
        <v>566.0</v>
      </c>
      <c r="G674" s="9">
        <v>17.02764041439661</v>
      </c>
      <c r="H674" s="9">
        <v>0.0054745689045936</v>
      </c>
      <c r="I674" s="7" t="b">
        <v>1</v>
      </c>
      <c r="J674" s="9">
        <v>0.0</v>
      </c>
      <c r="K674" s="7" t="b">
        <v>0</v>
      </c>
      <c r="L674" s="9">
        <v>332.0</v>
      </c>
      <c r="M674" s="9">
        <v>0.5866</v>
      </c>
      <c r="N674" s="2" t="s">
        <v>1597</v>
      </c>
      <c r="O674" s="2" t="s">
        <v>3057</v>
      </c>
      <c r="P674" s="9">
        <v>81.34</v>
      </c>
      <c r="Q674" s="9">
        <v>87.0</v>
      </c>
      <c r="R674" s="9">
        <v>0.023256</v>
      </c>
      <c r="S674" s="9">
        <v>0.686</v>
      </c>
      <c r="T674" s="9">
        <v>0.981</v>
      </c>
      <c r="U674" s="2" t="s">
        <v>3162</v>
      </c>
      <c r="V674" s="9">
        <v>0.0565</v>
      </c>
      <c r="W674" s="2" t="s">
        <v>157</v>
      </c>
      <c r="X674" s="2" t="s">
        <v>517</v>
      </c>
      <c r="Y674" s="2" t="s">
        <v>1399</v>
      </c>
      <c r="Z674" s="9">
        <v>0.5458</v>
      </c>
      <c r="AA674" s="9">
        <v>0.686</v>
      </c>
      <c r="AB674" s="9">
        <v>0.0565</v>
      </c>
      <c r="AC674" s="9">
        <v>0.1575</v>
      </c>
      <c r="AD674" s="9" t="str">
        <f t="shared" si="1"/>
        <v>#REF!</v>
      </c>
    </row>
    <row r="675" hidden="1">
      <c r="A675" s="2" t="s">
        <v>2209</v>
      </c>
      <c r="B675" s="2" t="s">
        <v>942</v>
      </c>
      <c r="C675" s="2" t="s">
        <v>1439</v>
      </c>
      <c r="D675" s="2" t="s">
        <v>64</v>
      </c>
      <c r="E675" s="7" t="b">
        <v>1</v>
      </c>
      <c r="F675" s="9">
        <v>1479.0</v>
      </c>
      <c r="G675" s="9">
        <v>3.623792649792062</v>
      </c>
      <c r="H675" s="9">
        <v>0.0013716835699797</v>
      </c>
      <c r="I675" s="7" t="b">
        <v>1</v>
      </c>
      <c r="J675" s="9">
        <v>0.0</v>
      </c>
      <c r="K675" s="7" t="b">
        <v>0</v>
      </c>
      <c r="L675" s="9">
        <v>5594.0</v>
      </c>
      <c r="M675" s="9">
        <v>3.7823</v>
      </c>
      <c r="N675" s="2" t="s">
        <v>4498</v>
      </c>
      <c r="O675" s="2" t="s">
        <v>4499</v>
      </c>
      <c r="P675" s="9">
        <v>60.02</v>
      </c>
      <c r="Q675" s="9">
        <v>53.0</v>
      </c>
      <c r="R675" s="9">
        <v>0.013357</v>
      </c>
      <c r="S675" s="9">
        <v>0.8</v>
      </c>
      <c r="T675" s="9">
        <v>0.5577</v>
      </c>
      <c r="U675" s="2" t="s">
        <v>2809</v>
      </c>
      <c r="V675" s="9">
        <v>0.7953</v>
      </c>
      <c r="W675" s="2" t="s">
        <v>1884</v>
      </c>
      <c r="X675" s="2" t="s">
        <v>495</v>
      </c>
      <c r="Y675" s="2" t="s">
        <v>2889</v>
      </c>
      <c r="Z675" s="9">
        <v>0.7172</v>
      </c>
      <c r="AA675" s="9">
        <v>0.8</v>
      </c>
      <c r="AB675" s="9">
        <v>0.7953</v>
      </c>
      <c r="AC675" s="9">
        <v>0.1605</v>
      </c>
      <c r="AD675" s="9" t="str">
        <f t="shared" si="1"/>
        <v>#REF!</v>
      </c>
    </row>
    <row r="676" hidden="1">
      <c r="A676" s="2" t="s">
        <v>520</v>
      </c>
      <c r="B676" s="2" t="s">
        <v>87</v>
      </c>
      <c r="C676" s="2" t="s">
        <v>119</v>
      </c>
      <c r="D676" s="2" t="s">
        <v>64</v>
      </c>
      <c r="E676" s="7" t="b">
        <v>1</v>
      </c>
      <c r="F676" s="9">
        <v>1.0</v>
      </c>
      <c r="G676" s="9">
        <v>19.01574491280212</v>
      </c>
      <c r="H676" s="9">
        <v>0.0033326</v>
      </c>
      <c r="I676" s="7" t="b">
        <v>1</v>
      </c>
      <c r="J676" s="9">
        <v>0.0</v>
      </c>
      <c r="K676" s="7" t="b">
        <v>0</v>
      </c>
      <c r="L676" s="9">
        <v>0.0</v>
      </c>
      <c r="M676" s="9">
        <v>0.0</v>
      </c>
      <c r="N676" s="15"/>
      <c r="O676" s="15"/>
      <c r="P676" s="15"/>
      <c r="Q676" s="15"/>
      <c r="R676" s="15"/>
      <c r="S676" s="9">
        <v>0.0</v>
      </c>
      <c r="T676" s="9">
        <v>0.0</v>
      </c>
      <c r="U676" s="15"/>
      <c r="V676" s="15"/>
      <c r="W676" s="2" t="s">
        <v>82</v>
      </c>
      <c r="X676" s="2" t="s">
        <v>1787</v>
      </c>
      <c r="Y676" s="2" t="s">
        <v>4500</v>
      </c>
      <c r="Z676" s="9">
        <v>0.0</v>
      </c>
      <c r="AA676" s="9">
        <v>0.0</v>
      </c>
      <c r="AB676" s="15"/>
      <c r="AC676" s="15"/>
      <c r="AD676" s="9" t="str">
        <f t="shared" si="1"/>
        <v>#REF!</v>
      </c>
    </row>
    <row r="677" hidden="1">
      <c r="A677" s="2" t="s">
        <v>520</v>
      </c>
      <c r="B677" s="2" t="s">
        <v>997</v>
      </c>
      <c r="C677" s="2" t="s">
        <v>119</v>
      </c>
      <c r="D677" s="2" t="s">
        <v>64</v>
      </c>
      <c r="E677" s="7" t="b">
        <v>1</v>
      </c>
      <c r="F677" s="9">
        <v>689.0</v>
      </c>
      <c r="G677" s="9">
        <v>19.2874275535729</v>
      </c>
      <c r="H677" s="9">
        <v>0.017185614513788</v>
      </c>
      <c r="I677" s="7" t="b">
        <v>1</v>
      </c>
      <c r="J677" s="9">
        <v>0.0</v>
      </c>
      <c r="K677" s="7" t="b">
        <v>0</v>
      </c>
      <c r="L677" s="9">
        <v>284.0</v>
      </c>
      <c r="M677" s="9">
        <v>0.4122</v>
      </c>
      <c r="N677" s="2" t="s">
        <v>1715</v>
      </c>
      <c r="O677" s="2" t="s">
        <v>1716</v>
      </c>
      <c r="P677" s="9">
        <v>67.21</v>
      </c>
      <c r="Q677" s="9">
        <v>61.0</v>
      </c>
      <c r="R677" s="9">
        <v>0.0</v>
      </c>
      <c r="S677" s="9">
        <v>0.6823</v>
      </c>
      <c r="T677" s="9">
        <v>0.9829</v>
      </c>
      <c r="U677" s="2" t="s">
        <v>1528</v>
      </c>
      <c r="V677" s="9">
        <v>0.0</v>
      </c>
      <c r="W677" s="2" t="s">
        <v>157</v>
      </c>
      <c r="X677" s="2" t="s">
        <v>1466</v>
      </c>
      <c r="Y677" s="2" t="s">
        <v>2849</v>
      </c>
      <c r="Z677" s="9">
        <v>0.5384</v>
      </c>
      <c r="AA677" s="9">
        <v>0.6823</v>
      </c>
      <c r="AB677" s="9">
        <v>0.0</v>
      </c>
      <c r="AC677" s="9">
        <v>0.733</v>
      </c>
      <c r="AD677" s="9" t="str">
        <f t="shared" si="1"/>
        <v>#REF!</v>
      </c>
    </row>
    <row r="678" hidden="1">
      <c r="A678" s="2" t="s">
        <v>415</v>
      </c>
      <c r="B678" s="2" t="s">
        <v>441</v>
      </c>
      <c r="C678" s="2" t="s">
        <v>119</v>
      </c>
      <c r="D678" s="2" t="s">
        <v>64</v>
      </c>
      <c r="E678" s="7" t="b">
        <v>1</v>
      </c>
      <c r="F678" s="9">
        <v>103.0</v>
      </c>
      <c r="G678" s="9">
        <v>13.22406763567478</v>
      </c>
      <c r="H678" s="9">
        <v>0.0063226485436893</v>
      </c>
      <c r="I678" s="7" t="b">
        <v>1</v>
      </c>
      <c r="J678" s="9">
        <v>0.0</v>
      </c>
      <c r="K678" s="7" t="b">
        <v>0</v>
      </c>
      <c r="L678" s="9">
        <v>44.0</v>
      </c>
      <c r="M678" s="9">
        <v>0.4272</v>
      </c>
      <c r="N678" s="2" t="s">
        <v>2024</v>
      </c>
      <c r="O678" s="2" t="s">
        <v>2330</v>
      </c>
      <c r="P678" s="9">
        <v>65.86</v>
      </c>
      <c r="Q678" s="9">
        <v>61.5</v>
      </c>
      <c r="R678" s="9">
        <v>0.0</v>
      </c>
      <c r="S678" s="9">
        <v>0.4537</v>
      </c>
      <c r="T678" s="9">
        <v>0.9959</v>
      </c>
      <c r="U678" s="2" t="s">
        <v>4501</v>
      </c>
      <c r="V678" s="15"/>
      <c r="W678" s="2" t="s">
        <v>198</v>
      </c>
      <c r="X678" s="2" t="s">
        <v>182</v>
      </c>
      <c r="Y678" s="2" t="s">
        <v>1491</v>
      </c>
      <c r="Z678" s="9">
        <v>0.3597</v>
      </c>
      <c r="AA678" s="9">
        <v>0.4537</v>
      </c>
      <c r="AB678" s="15"/>
      <c r="AC678" s="9">
        <v>0.7518</v>
      </c>
      <c r="AD678" s="9" t="str">
        <f t="shared" si="1"/>
        <v>#REF!</v>
      </c>
    </row>
    <row r="679" hidden="1">
      <c r="A679" s="2" t="s">
        <v>415</v>
      </c>
      <c r="B679" s="2" t="s">
        <v>534</v>
      </c>
      <c r="C679" s="2" t="s">
        <v>119</v>
      </c>
      <c r="D679" s="2" t="s">
        <v>64</v>
      </c>
      <c r="E679" s="7" t="b">
        <v>1</v>
      </c>
      <c r="F679" s="9">
        <v>1609.0</v>
      </c>
      <c r="G679" s="9">
        <v>4.684998295851877</v>
      </c>
      <c r="H679" s="9">
        <v>0.0023873312616532</v>
      </c>
      <c r="I679" s="7" t="b">
        <v>1</v>
      </c>
      <c r="J679" s="9">
        <v>0.0</v>
      </c>
      <c r="K679" s="7" t="b">
        <v>0</v>
      </c>
      <c r="L679" s="9">
        <v>179.0</v>
      </c>
      <c r="M679" s="9">
        <v>0.1112</v>
      </c>
      <c r="N679" s="2" t="s">
        <v>1879</v>
      </c>
      <c r="O679" s="2" t="s">
        <v>1880</v>
      </c>
      <c r="P679" s="9">
        <v>73.72</v>
      </c>
      <c r="Q679" s="9">
        <v>83.0</v>
      </c>
      <c r="R679" s="9">
        <v>0.0</v>
      </c>
      <c r="S679" s="9">
        <v>0.6319</v>
      </c>
      <c r="T679" s="9">
        <v>0.9909</v>
      </c>
      <c r="U679" s="2" t="s">
        <v>2656</v>
      </c>
      <c r="V679" s="9">
        <v>0.0</v>
      </c>
      <c r="W679" s="2" t="s">
        <v>1193</v>
      </c>
      <c r="X679" s="2" t="s">
        <v>1466</v>
      </c>
      <c r="Y679" s="2" t="s">
        <v>2836</v>
      </c>
      <c r="Z679" s="9">
        <v>0.5039</v>
      </c>
      <c r="AA679" s="9">
        <v>0.6319</v>
      </c>
      <c r="AB679" s="9">
        <v>0.0</v>
      </c>
      <c r="AC679" s="9">
        <v>0.7293</v>
      </c>
      <c r="AD679" s="9" t="str">
        <f t="shared" si="1"/>
        <v>#REF!</v>
      </c>
    </row>
    <row r="680" hidden="1">
      <c r="A680" s="2" t="s">
        <v>415</v>
      </c>
      <c r="B680" s="2" t="s">
        <v>542</v>
      </c>
      <c r="C680" s="2" t="s">
        <v>119</v>
      </c>
      <c r="D680" s="2" t="s">
        <v>64</v>
      </c>
      <c r="E680" s="7" t="b">
        <v>1</v>
      </c>
      <c r="F680" s="9">
        <v>1146.0</v>
      </c>
      <c r="G680" s="9">
        <v>12.60941972423641</v>
      </c>
      <c r="H680" s="9">
        <v>0.024350595113438</v>
      </c>
      <c r="I680" s="7" t="b">
        <v>1</v>
      </c>
      <c r="J680" s="9">
        <v>0.0</v>
      </c>
      <c r="K680" s="7" t="b">
        <v>0</v>
      </c>
      <c r="L680" s="9">
        <v>1663.0</v>
      </c>
      <c r="M680" s="9">
        <v>1.4511</v>
      </c>
      <c r="N680" s="2" t="s">
        <v>4502</v>
      </c>
      <c r="O680" s="2" t="s">
        <v>4503</v>
      </c>
      <c r="P680" s="9">
        <v>72.17</v>
      </c>
      <c r="Q680" s="9">
        <v>71.0</v>
      </c>
      <c r="R680" s="9">
        <v>0.011331</v>
      </c>
      <c r="S680" s="9">
        <v>0.8671</v>
      </c>
      <c r="T680" s="9">
        <v>0.9434</v>
      </c>
      <c r="U680" s="2" t="s">
        <v>3058</v>
      </c>
      <c r="V680" s="9">
        <v>0.3224</v>
      </c>
      <c r="W680" s="2" t="s">
        <v>157</v>
      </c>
      <c r="X680" s="2" t="s">
        <v>495</v>
      </c>
      <c r="Y680" s="2" t="s">
        <v>3732</v>
      </c>
      <c r="Z680" s="9">
        <v>0.7292</v>
      </c>
      <c r="AA680" s="9">
        <v>0.8671</v>
      </c>
      <c r="AB680" s="9">
        <v>0.3224</v>
      </c>
      <c r="AC680" s="9">
        <v>0.1523</v>
      </c>
      <c r="AD680" s="9" t="str">
        <f t="shared" si="1"/>
        <v>#REF!</v>
      </c>
    </row>
    <row r="681" hidden="1">
      <c r="A681" s="2" t="s">
        <v>415</v>
      </c>
      <c r="B681" s="2" t="s">
        <v>611</v>
      </c>
      <c r="C681" s="2" t="s">
        <v>119</v>
      </c>
      <c r="D681" s="2" t="s">
        <v>64</v>
      </c>
      <c r="E681" s="7" t="b">
        <v>1</v>
      </c>
      <c r="F681" s="9">
        <v>124.0</v>
      </c>
      <c r="G681" s="9">
        <v>10.29535842357901</v>
      </c>
      <c r="H681" s="9">
        <v>0.0010660774193548</v>
      </c>
      <c r="I681" s="7" t="b">
        <v>1</v>
      </c>
      <c r="J681" s="9">
        <v>0.0</v>
      </c>
      <c r="K681" s="7" t="b">
        <v>0</v>
      </c>
      <c r="L681" s="9">
        <v>31.0</v>
      </c>
      <c r="M681" s="9">
        <v>0.25</v>
      </c>
      <c r="N681" s="2" t="s">
        <v>2474</v>
      </c>
      <c r="O681" s="2" t="s">
        <v>1486</v>
      </c>
      <c r="P681" s="9">
        <v>34.74</v>
      </c>
      <c r="Q681" s="9">
        <v>33.0</v>
      </c>
      <c r="R681" s="9">
        <v>0.0</v>
      </c>
      <c r="S681" s="9">
        <v>0.2434</v>
      </c>
      <c r="T681" s="9">
        <v>0.5043</v>
      </c>
      <c r="U681" s="2" t="s">
        <v>515</v>
      </c>
      <c r="V681" s="9">
        <v>0.0</v>
      </c>
      <c r="W681" s="2" t="s">
        <v>82</v>
      </c>
      <c r="X681" s="2" t="s">
        <v>1521</v>
      </c>
      <c r="Y681" s="2" t="s">
        <v>1498</v>
      </c>
      <c r="Z681" s="9">
        <v>0.2082</v>
      </c>
      <c r="AA681" s="9">
        <v>0.2434</v>
      </c>
      <c r="AB681" s="9">
        <v>0.0</v>
      </c>
      <c r="AC681" s="9">
        <v>0.1155</v>
      </c>
      <c r="AD681" s="9" t="str">
        <f t="shared" si="1"/>
        <v>#REF!</v>
      </c>
    </row>
    <row r="682" hidden="1">
      <c r="A682" s="2" t="s">
        <v>415</v>
      </c>
      <c r="B682" s="2" t="s">
        <v>937</v>
      </c>
      <c r="C682" s="2" t="s">
        <v>119</v>
      </c>
      <c r="D682" s="2" t="s">
        <v>64</v>
      </c>
      <c r="E682" s="7" t="b">
        <v>1</v>
      </c>
      <c r="F682" s="9">
        <v>1439.0</v>
      </c>
      <c r="G682" s="9">
        <v>1.09411149424626</v>
      </c>
      <c r="H682" s="9">
        <v>0.0073001612230715</v>
      </c>
      <c r="I682" s="7" t="b">
        <v>1</v>
      </c>
      <c r="J682" s="9">
        <v>0.0</v>
      </c>
      <c r="K682" s="7" t="b">
        <v>0</v>
      </c>
      <c r="L682" s="9">
        <v>428302.0</v>
      </c>
      <c r="M682" s="9">
        <v>297.6386</v>
      </c>
      <c r="N682" s="2" t="s">
        <v>4504</v>
      </c>
      <c r="O682" s="2" t="s">
        <v>4505</v>
      </c>
      <c r="P682" s="9">
        <v>62.5</v>
      </c>
      <c r="Q682" s="9">
        <v>57.0</v>
      </c>
      <c r="R682" s="9">
        <v>0.013062</v>
      </c>
      <c r="S682" s="9">
        <v>0.8769</v>
      </c>
      <c r="T682" s="9">
        <v>0.1629</v>
      </c>
      <c r="U682" s="2" t="s">
        <v>4506</v>
      </c>
      <c r="V682" s="9">
        <v>0.7481</v>
      </c>
      <c r="W682" s="2" t="s">
        <v>2879</v>
      </c>
      <c r="X682" s="2" t="s">
        <v>495</v>
      </c>
      <c r="Y682" s="2" t="s">
        <v>2880</v>
      </c>
      <c r="Z682" s="9">
        <v>0.8327</v>
      </c>
      <c r="AA682" s="9">
        <v>0.8769</v>
      </c>
      <c r="AB682" s="9">
        <v>0.7481</v>
      </c>
      <c r="AC682" s="9">
        <v>0.129</v>
      </c>
      <c r="AD682" s="9" t="str">
        <f t="shared" si="1"/>
        <v>#REF!</v>
      </c>
    </row>
    <row r="683" hidden="1">
      <c r="A683" s="2" t="s">
        <v>415</v>
      </c>
      <c r="B683" s="2" t="s">
        <v>992</v>
      </c>
      <c r="C683" s="2" t="s">
        <v>119</v>
      </c>
      <c r="D683" s="2" t="s">
        <v>64</v>
      </c>
      <c r="E683" s="7" t="b">
        <v>1</v>
      </c>
      <c r="F683" s="9">
        <v>57.0</v>
      </c>
      <c r="G683" s="9">
        <v>12.42418583939596</v>
      </c>
      <c r="H683" s="9">
        <v>0.0043747175438596</v>
      </c>
      <c r="I683" s="7" t="b">
        <v>1</v>
      </c>
      <c r="J683" s="9">
        <v>0.0</v>
      </c>
      <c r="K683" s="7" t="b">
        <v>0</v>
      </c>
      <c r="L683" s="9">
        <v>302.0</v>
      </c>
      <c r="M683" s="9">
        <v>5.2982</v>
      </c>
      <c r="N683" s="2" t="s">
        <v>2334</v>
      </c>
      <c r="O683" s="2" t="s">
        <v>2799</v>
      </c>
      <c r="P683" s="9">
        <v>62.65</v>
      </c>
      <c r="Q683" s="9">
        <v>56.0</v>
      </c>
      <c r="R683" s="9">
        <v>0.0</v>
      </c>
      <c r="S683" s="9">
        <v>0.6392</v>
      </c>
      <c r="T683" s="9">
        <v>0.8963</v>
      </c>
      <c r="U683" s="2" t="s">
        <v>4333</v>
      </c>
      <c r="V683" s="9">
        <v>0.55</v>
      </c>
      <c r="W683" s="2" t="s">
        <v>3996</v>
      </c>
      <c r="X683" s="2" t="s">
        <v>495</v>
      </c>
      <c r="Y683" s="2" t="s">
        <v>1718</v>
      </c>
      <c r="Z683" s="9">
        <v>0.5513</v>
      </c>
      <c r="AA683" s="9">
        <v>0.6392</v>
      </c>
      <c r="AB683" s="9">
        <v>0.55</v>
      </c>
      <c r="AC683" s="9">
        <v>0.8489</v>
      </c>
      <c r="AD683" s="9" t="str">
        <f t="shared" si="1"/>
        <v>#REF!</v>
      </c>
    </row>
    <row r="684" hidden="1">
      <c r="A684" s="2" t="s">
        <v>415</v>
      </c>
      <c r="B684" s="2" t="s">
        <v>997</v>
      </c>
      <c r="C684" s="2" t="s">
        <v>119</v>
      </c>
      <c r="D684" s="2" t="s">
        <v>64</v>
      </c>
      <c r="E684" s="7" t="b">
        <v>1</v>
      </c>
      <c r="F684" s="9">
        <v>3002.0</v>
      </c>
      <c r="G684" s="9">
        <v>31.6460422525535</v>
      </c>
      <c r="H684" s="9">
        <v>0.1916475109926715</v>
      </c>
      <c r="I684" s="7" t="b">
        <v>1</v>
      </c>
      <c r="J684" s="9">
        <v>0.0</v>
      </c>
      <c r="K684" s="7" t="b">
        <v>0</v>
      </c>
      <c r="L684" s="9">
        <v>1508.0</v>
      </c>
      <c r="M684" s="9">
        <v>0.5023</v>
      </c>
      <c r="N684" s="2" t="s">
        <v>4507</v>
      </c>
      <c r="O684" s="2" t="s">
        <v>4508</v>
      </c>
      <c r="P684" s="9">
        <v>84.19</v>
      </c>
      <c r="Q684" s="9">
        <v>99.0</v>
      </c>
      <c r="R684" s="9">
        <v>0.02</v>
      </c>
      <c r="S684" s="9">
        <v>0.849</v>
      </c>
      <c r="T684" s="9">
        <v>0.9894</v>
      </c>
      <c r="U684" s="2" t="s">
        <v>1367</v>
      </c>
      <c r="V684" s="9">
        <v>0.6822</v>
      </c>
      <c r="W684" s="2" t="s">
        <v>157</v>
      </c>
      <c r="X684" s="2" t="s">
        <v>84</v>
      </c>
      <c r="Y684" s="2" t="s">
        <v>2675</v>
      </c>
      <c r="Z684" s="9">
        <v>0.6966</v>
      </c>
      <c r="AA684" s="9">
        <v>0.849</v>
      </c>
      <c r="AB684" s="9">
        <v>0.6822</v>
      </c>
      <c r="AC684" s="9">
        <v>0.7018</v>
      </c>
      <c r="AD684" s="9" t="str">
        <f t="shared" si="1"/>
        <v>#REF!</v>
      </c>
    </row>
    <row r="685" hidden="1">
      <c r="A685" s="2" t="s">
        <v>415</v>
      </c>
      <c r="B685" s="2" t="s">
        <v>1015</v>
      </c>
      <c r="C685" s="2" t="s">
        <v>119</v>
      </c>
      <c r="D685" s="2" t="s">
        <v>64</v>
      </c>
      <c r="E685" s="7" t="b">
        <v>1</v>
      </c>
      <c r="F685" s="9">
        <v>58.0</v>
      </c>
      <c r="G685" s="9">
        <v>13.47791059837963</v>
      </c>
      <c r="H685" s="9">
        <v>0.0026230827586206</v>
      </c>
      <c r="I685" s="7" t="b">
        <v>1</v>
      </c>
      <c r="J685" s="9">
        <v>0.0</v>
      </c>
      <c r="K685" s="7" t="b">
        <v>0</v>
      </c>
      <c r="L685" s="9">
        <v>28.0</v>
      </c>
      <c r="M685" s="9">
        <v>0.4828</v>
      </c>
      <c r="N685" s="2" t="s">
        <v>2474</v>
      </c>
      <c r="O685" s="2" t="s">
        <v>2552</v>
      </c>
      <c r="P685" s="9">
        <v>45.32</v>
      </c>
      <c r="Q685" s="9">
        <v>33.0</v>
      </c>
      <c r="R685" s="9">
        <v>0.0</v>
      </c>
      <c r="S685" s="9">
        <v>0.3098</v>
      </c>
      <c r="T685" s="9">
        <v>0.7795</v>
      </c>
      <c r="U685" s="2" t="s">
        <v>2483</v>
      </c>
      <c r="V685" s="9">
        <v>0.0</v>
      </c>
      <c r="W685" s="2" t="s">
        <v>1771</v>
      </c>
      <c r="X685" s="2" t="s">
        <v>4183</v>
      </c>
      <c r="Y685" s="2" t="s">
        <v>1788</v>
      </c>
      <c r="Z685" s="9">
        <v>0.2559</v>
      </c>
      <c r="AA685" s="9">
        <v>0.3098</v>
      </c>
      <c r="AB685" s="9">
        <v>0.0</v>
      </c>
      <c r="AC685" s="9">
        <v>0.076</v>
      </c>
      <c r="AD685" s="9" t="str">
        <f t="shared" si="1"/>
        <v>#REF!</v>
      </c>
    </row>
    <row r="686" hidden="1">
      <c r="A686" s="2" t="s">
        <v>415</v>
      </c>
      <c r="B686" s="2" t="s">
        <v>1027</v>
      </c>
      <c r="C686" s="2" t="s">
        <v>119</v>
      </c>
      <c r="D686" s="2" t="s">
        <v>64</v>
      </c>
      <c r="E686" s="7" t="b">
        <v>1</v>
      </c>
      <c r="F686" s="9">
        <v>714.0</v>
      </c>
      <c r="G686" s="9">
        <v>18.70316585687541</v>
      </c>
      <c r="H686" s="9">
        <v>0.0257350070028011</v>
      </c>
      <c r="I686" s="7" t="b">
        <v>1</v>
      </c>
      <c r="J686" s="9">
        <v>0.0</v>
      </c>
      <c r="K686" s="7" t="b">
        <v>0</v>
      </c>
      <c r="L686" s="9">
        <v>201.0</v>
      </c>
      <c r="M686" s="9">
        <v>0.2815</v>
      </c>
      <c r="N686" s="2" t="s">
        <v>4368</v>
      </c>
      <c r="O686" s="2" t="s">
        <v>3605</v>
      </c>
      <c r="P686" s="9">
        <v>67.23</v>
      </c>
      <c r="Q686" s="9">
        <v>59.0</v>
      </c>
      <c r="R686" s="9">
        <v>0.0</v>
      </c>
      <c r="S686" s="9">
        <v>0.539</v>
      </c>
      <c r="T686" s="9">
        <v>0.8149</v>
      </c>
      <c r="U686" s="2" t="s">
        <v>4425</v>
      </c>
      <c r="V686" s="9">
        <v>0.0432</v>
      </c>
      <c r="W686" s="2" t="s">
        <v>82</v>
      </c>
      <c r="X686" s="2" t="s">
        <v>1466</v>
      </c>
      <c r="Y686" s="2" t="s">
        <v>1542</v>
      </c>
      <c r="Z686" s="9">
        <v>0.42</v>
      </c>
      <c r="AA686" s="9">
        <v>0.539</v>
      </c>
      <c r="AB686" s="9">
        <v>0.0432</v>
      </c>
      <c r="AC686" s="9">
        <v>0.0948</v>
      </c>
      <c r="AD686" s="9" t="str">
        <f t="shared" si="1"/>
        <v>#REF!</v>
      </c>
    </row>
    <row r="687" hidden="1">
      <c r="A687" s="2" t="s">
        <v>415</v>
      </c>
      <c r="B687" s="2" t="s">
        <v>1040</v>
      </c>
      <c r="C687" s="2" t="s">
        <v>119</v>
      </c>
      <c r="D687" s="2" t="s">
        <v>64</v>
      </c>
      <c r="E687" s="7" t="b">
        <v>1</v>
      </c>
      <c r="F687" s="9">
        <v>1367.0</v>
      </c>
      <c r="G687" s="9">
        <v>1.814206862083037</v>
      </c>
      <c r="H687" s="9">
        <v>0.0010859852962692</v>
      </c>
      <c r="I687" s="7" t="b">
        <v>1</v>
      </c>
      <c r="J687" s="9">
        <v>0.0</v>
      </c>
      <c r="K687" s="7" t="b">
        <v>0</v>
      </c>
      <c r="L687" s="9">
        <v>15906.0</v>
      </c>
      <c r="M687" s="9">
        <v>11.6357</v>
      </c>
      <c r="N687" s="2" t="s">
        <v>4509</v>
      </c>
      <c r="O687" s="2" t="s">
        <v>2670</v>
      </c>
      <c r="P687" s="9">
        <v>40.75</v>
      </c>
      <c r="Q687" s="9">
        <v>36.0</v>
      </c>
      <c r="R687" s="9">
        <v>0.009923</v>
      </c>
      <c r="S687" s="9">
        <v>0.7358</v>
      </c>
      <c r="T687" s="9">
        <v>0.2017</v>
      </c>
      <c r="U687" s="2" t="s">
        <v>4510</v>
      </c>
      <c r="V687" s="9">
        <v>0.8708</v>
      </c>
      <c r="W687" s="2" t="s">
        <v>1780</v>
      </c>
      <c r="X687" s="2" t="s">
        <v>1466</v>
      </c>
      <c r="Y687" s="2" t="s">
        <v>2821</v>
      </c>
      <c r="Z687" s="9">
        <v>0.6571</v>
      </c>
      <c r="AA687" s="9">
        <v>0.7358</v>
      </c>
      <c r="AB687" s="9">
        <v>0.8708</v>
      </c>
      <c r="AC687" s="9">
        <v>0.1338</v>
      </c>
      <c r="AD687" s="9" t="str">
        <f t="shared" si="1"/>
        <v>#REF!</v>
      </c>
    </row>
    <row r="688" hidden="1">
      <c r="A688" s="2" t="s">
        <v>415</v>
      </c>
      <c r="B688" s="2" t="s">
        <v>1047</v>
      </c>
      <c r="C688" s="2" t="s">
        <v>119</v>
      </c>
      <c r="D688" s="2" t="s">
        <v>64</v>
      </c>
      <c r="E688" s="7" t="b">
        <v>1</v>
      </c>
      <c r="F688" s="9">
        <v>145.0</v>
      </c>
      <c r="G688" s="9">
        <v>2.823543636625713</v>
      </c>
      <c r="H688" s="9">
        <v>0.0020611034482758</v>
      </c>
      <c r="I688" s="7" t="b">
        <v>1</v>
      </c>
      <c r="J688" s="9">
        <v>0.0</v>
      </c>
      <c r="K688" s="7" t="b">
        <v>0</v>
      </c>
      <c r="L688" s="9">
        <v>15010.0</v>
      </c>
      <c r="M688" s="9">
        <v>103.5172</v>
      </c>
      <c r="N688" s="2" t="s">
        <v>4511</v>
      </c>
      <c r="O688" s="2" t="s">
        <v>3914</v>
      </c>
      <c r="P688" s="9">
        <v>40.82</v>
      </c>
      <c r="Q688" s="9">
        <v>36.0</v>
      </c>
      <c r="R688" s="9">
        <v>0.009545</v>
      </c>
      <c r="S688" s="9">
        <v>0.7413</v>
      </c>
      <c r="T688" s="9">
        <v>0.1956</v>
      </c>
      <c r="U688" s="2" t="s">
        <v>4512</v>
      </c>
      <c r="V688" s="9">
        <v>0.865</v>
      </c>
      <c r="W688" s="2" t="s">
        <v>1771</v>
      </c>
      <c r="X688" s="2" t="s">
        <v>1466</v>
      </c>
      <c r="Y688" s="2" t="s">
        <v>2821</v>
      </c>
      <c r="Z688" s="9">
        <v>0.66</v>
      </c>
      <c r="AA688" s="9">
        <v>0.7413</v>
      </c>
      <c r="AB688" s="9">
        <v>0.865</v>
      </c>
      <c r="AC688" s="9">
        <v>0.1361</v>
      </c>
      <c r="AD688" s="9" t="str">
        <f t="shared" si="1"/>
        <v>#REF!</v>
      </c>
    </row>
    <row r="689" hidden="1">
      <c r="A689" s="2" t="s">
        <v>415</v>
      </c>
      <c r="B689" s="2" t="s">
        <v>1053</v>
      </c>
      <c r="C689" s="2" t="s">
        <v>119</v>
      </c>
      <c r="D689" s="2" t="s">
        <v>64</v>
      </c>
      <c r="E689" s="7" t="b">
        <v>1</v>
      </c>
      <c r="F689" s="9">
        <v>113.0</v>
      </c>
      <c r="G689" s="9">
        <v>3.381786907424668</v>
      </c>
      <c r="H689" s="9">
        <v>0.0021366345132743</v>
      </c>
      <c r="I689" s="7" t="b">
        <v>1</v>
      </c>
      <c r="J689" s="9">
        <v>0.0</v>
      </c>
      <c r="K689" s="7" t="b">
        <v>0</v>
      </c>
      <c r="L689" s="9">
        <v>15825.0</v>
      </c>
      <c r="M689" s="9">
        <v>140.0442</v>
      </c>
      <c r="N689" s="2" t="s">
        <v>4513</v>
      </c>
      <c r="O689" s="2" t="s">
        <v>4514</v>
      </c>
      <c r="P689" s="9">
        <v>40.76</v>
      </c>
      <c r="Q689" s="9">
        <v>36.0</v>
      </c>
      <c r="R689" s="9">
        <v>0.009957</v>
      </c>
      <c r="S689" s="9">
        <v>0.7404</v>
      </c>
      <c r="T689" s="9">
        <v>0.2</v>
      </c>
      <c r="U689" s="2" t="s">
        <v>4515</v>
      </c>
      <c r="V689" s="9">
        <v>0.8705</v>
      </c>
      <c r="W689" s="2" t="s">
        <v>1600</v>
      </c>
      <c r="X689" s="2" t="s">
        <v>1466</v>
      </c>
      <c r="Y689" s="2" t="s">
        <v>2821</v>
      </c>
      <c r="Z689" s="9">
        <v>0.6599</v>
      </c>
      <c r="AA689" s="9">
        <v>0.7404</v>
      </c>
      <c r="AB689" s="9">
        <v>0.8705</v>
      </c>
      <c r="AC689" s="9">
        <v>0.1329</v>
      </c>
      <c r="AD689" s="9" t="str">
        <f t="shared" si="1"/>
        <v>#REF!</v>
      </c>
    </row>
    <row r="690" hidden="1">
      <c r="A690" s="2" t="s">
        <v>1429</v>
      </c>
      <c r="B690" s="2" t="s">
        <v>942</v>
      </c>
      <c r="C690" s="2" t="s">
        <v>119</v>
      </c>
      <c r="D690" s="2" t="s">
        <v>64</v>
      </c>
      <c r="E690" s="7" t="b">
        <v>1</v>
      </c>
      <c r="F690" s="9">
        <v>527.0</v>
      </c>
      <c r="G690" s="9">
        <v>5.365601851664714</v>
      </c>
      <c r="H690" s="9">
        <v>0.0010731783681214</v>
      </c>
      <c r="I690" s="7" t="b">
        <v>1</v>
      </c>
      <c r="J690" s="9">
        <v>0.0</v>
      </c>
      <c r="K690" s="7" t="b">
        <v>0</v>
      </c>
      <c r="L690" s="9">
        <v>3562.0</v>
      </c>
      <c r="M690" s="9">
        <v>6.759</v>
      </c>
      <c r="N690" s="2" t="s">
        <v>4516</v>
      </c>
      <c r="O690" s="2" t="s">
        <v>3720</v>
      </c>
      <c r="P690" s="9">
        <v>47.04</v>
      </c>
      <c r="Q690" s="9">
        <v>41.0</v>
      </c>
      <c r="R690" s="9">
        <v>0.024583</v>
      </c>
      <c r="S690" s="9">
        <v>0.7989</v>
      </c>
      <c r="T690" s="9">
        <v>0.725</v>
      </c>
      <c r="U690" s="2" t="s">
        <v>4269</v>
      </c>
      <c r="V690" s="9">
        <v>0.8717</v>
      </c>
      <c r="W690" s="2" t="s">
        <v>2760</v>
      </c>
      <c r="X690" s="2" t="s">
        <v>517</v>
      </c>
      <c r="Y690" s="2" t="s">
        <v>2719</v>
      </c>
      <c r="Z690" s="9">
        <v>0.7013</v>
      </c>
      <c r="AA690" s="9">
        <v>0.7989</v>
      </c>
      <c r="AB690" s="9">
        <v>0.8717</v>
      </c>
      <c r="AC690" s="9">
        <v>0.1756</v>
      </c>
      <c r="AD690" s="9" t="str">
        <f t="shared" si="1"/>
        <v>#REF!</v>
      </c>
    </row>
    <row r="691" hidden="1">
      <c r="A691" s="2" t="s">
        <v>652</v>
      </c>
      <c r="B691" s="2" t="s">
        <v>997</v>
      </c>
      <c r="C691" s="2" t="s">
        <v>119</v>
      </c>
      <c r="D691" s="2" t="s">
        <v>64</v>
      </c>
      <c r="E691" s="7" t="b">
        <v>1</v>
      </c>
      <c r="F691" s="9">
        <v>252.0</v>
      </c>
      <c r="G691" s="9">
        <v>48.75364540712999</v>
      </c>
      <c r="H691" s="9">
        <v>0.0401862896825396</v>
      </c>
      <c r="I691" s="7" t="b">
        <v>1</v>
      </c>
      <c r="J691" s="9">
        <v>0.0</v>
      </c>
      <c r="K691" s="7" t="b">
        <v>0</v>
      </c>
      <c r="L691" s="9">
        <v>168.0</v>
      </c>
      <c r="M691" s="9">
        <v>0.6667</v>
      </c>
      <c r="N691" s="2" t="s">
        <v>1879</v>
      </c>
      <c r="O691" s="2" t="s">
        <v>1880</v>
      </c>
      <c r="P691" s="9">
        <v>93.21</v>
      </c>
      <c r="Q691" s="9">
        <v>100.0</v>
      </c>
      <c r="R691" s="9">
        <v>0.035714</v>
      </c>
      <c r="S691" s="9">
        <v>0.6253</v>
      </c>
      <c r="T691" s="9">
        <v>0.9943</v>
      </c>
      <c r="U691" s="2" t="s">
        <v>1496</v>
      </c>
      <c r="V691" s="9">
        <v>0.0315</v>
      </c>
      <c r="W691" s="2" t="s">
        <v>157</v>
      </c>
      <c r="X691" s="2" t="s">
        <v>495</v>
      </c>
      <c r="Y691" s="2" t="s">
        <v>1418</v>
      </c>
      <c r="Z691" s="9">
        <v>0.4909</v>
      </c>
      <c r="AA691" s="9">
        <v>0.6253</v>
      </c>
      <c r="AB691" s="9">
        <v>0.0315</v>
      </c>
      <c r="AC691" s="9">
        <v>0.7408</v>
      </c>
      <c r="AD691" s="9" t="str">
        <f t="shared" si="1"/>
        <v>#REF!</v>
      </c>
    </row>
    <row r="692" hidden="1">
      <c r="A692" s="2" t="s">
        <v>634</v>
      </c>
      <c r="B692" s="2" t="s">
        <v>997</v>
      </c>
      <c r="C692" s="2" t="s">
        <v>119</v>
      </c>
      <c r="D692" s="2" t="s">
        <v>64</v>
      </c>
      <c r="E692" s="7" t="b">
        <v>1</v>
      </c>
      <c r="F692" s="9">
        <v>87.0</v>
      </c>
      <c r="G692" s="9">
        <v>41.32321763522752</v>
      </c>
      <c r="H692" s="9">
        <v>0.0100217793103448</v>
      </c>
      <c r="I692" s="7" t="b">
        <v>1</v>
      </c>
      <c r="J692" s="9">
        <v>0.0</v>
      </c>
      <c r="K692" s="7" t="b">
        <v>0</v>
      </c>
      <c r="L692" s="9">
        <v>56.0</v>
      </c>
      <c r="M692" s="9">
        <v>0.6437</v>
      </c>
      <c r="N692" s="2" t="s">
        <v>1394</v>
      </c>
      <c r="O692" s="2" t="s">
        <v>1539</v>
      </c>
      <c r="P692" s="9">
        <v>83.73</v>
      </c>
      <c r="Q692" s="9">
        <v>96.0</v>
      </c>
      <c r="R692" s="9">
        <v>0.0</v>
      </c>
      <c r="S692" s="9">
        <v>0.4892</v>
      </c>
      <c r="T692" s="9">
        <v>1.0007</v>
      </c>
      <c r="U692" s="2" t="s">
        <v>1416</v>
      </c>
      <c r="V692" s="9">
        <v>0.3</v>
      </c>
      <c r="W692" s="2" t="s">
        <v>157</v>
      </c>
      <c r="X692" s="2" t="s">
        <v>1466</v>
      </c>
      <c r="Y692" s="2" t="s">
        <v>1456</v>
      </c>
      <c r="Z692" s="9">
        <v>0.3834</v>
      </c>
      <c r="AA692" s="9">
        <v>0.4892</v>
      </c>
      <c r="AB692" s="9">
        <v>0.3</v>
      </c>
      <c r="AC692" s="9">
        <v>0.212</v>
      </c>
      <c r="AD692" s="9" t="str">
        <f t="shared" si="1"/>
        <v>#REF!</v>
      </c>
    </row>
    <row r="693" hidden="1">
      <c r="A693" s="2" t="s">
        <v>2026</v>
      </c>
      <c r="B693" s="2" t="s">
        <v>997</v>
      </c>
      <c r="C693" s="2" t="s">
        <v>1439</v>
      </c>
      <c r="D693" s="2" t="s">
        <v>64</v>
      </c>
      <c r="E693" s="7" t="b">
        <v>1</v>
      </c>
      <c r="F693" s="9">
        <v>71.0</v>
      </c>
      <c r="G693" s="9">
        <v>45.20118514126052</v>
      </c>
      <c r="H693" s="9">
        <v>0.0097895887323943</v>
      </c>
      <c r="I693" s="7" t="b">
        <v>1</v>
      </c>
      <c r="J693" s="9">
        <v>0.0</v>
      </c>
      <c r="K693" s="7" t="b">
        <v>0</v>
      </c>
      <c r="L693" s="9">
        <v>47.0</v>
      </c>
      <c r="M693" s="9">
        <v>0.662</v>
      </c>
      <c r="N693" s="2" t="s">
        <v>400</v>
      </c>
      <c r="O693" s="2" t="s">
        <v>402</v>
      </c>
      <c r="P693" s="9">
        <v>88.57</v>
      </c>
      <c r="Q693" s="9">
        <v>100.0</v>
      </c>
      <c r="R693" s="9">
        <v>0.0</v>
      </c>
      <c r="S693" s="9">
        <v>0.4716</v>
      </c>
      <c r="T693" s="9">
        <v>1.0006</v>
      </c>
      <c r="U693" s="2" t="s">
        <v>1693</v>
      </c>
      <c r="V693" s="9">
        <v>0.525</v>
      </c>
      <c r="W693" s="2" t="s">
        <v>157</v>
      </c>
      <c r="X693" s="2" t="s">
        <v>495</v>
      </c>
      <c r="Y693" s="2" t="s">
        <v>1718</v>
      </c>
      <c r="Z693" s="9">
        <v>0.37</v>
      </c>
      <c r="AA693" s="9">
        <v>0.4716</v>
      </c>
      <c r="AB693" s="9">
        <v>0.525</v>
      </c>
      <c r="AC693" s="9">
        <v>0.7022</v>
      </c>
      <c r="AD693" s="9" t="str">
        <f t="shared" si="1"/>
        <v>#REF!</v>
      </c>
    </row>
    <row r="694" hidden="1">
      <c r="A694" s="2" t="s">
        <v>2175</v>
      </c>
      <c r="B694" s="2" t="s">
        <v>942</v>
      </c>
      <c r="C694" s="2" t="s">
        <v>1439</v>
      </c>
      <c r="D694" s="2" t="s">
        <v>64</v>
      </c>
      <c r="E694" s="7" t="b">
        <v>1</v>
      </c>
      <c r="F694" s="9">
        <v>1162.0</v>
      </c>
      <c r="G694" s="9">
        <v>4.200477782412629</v>
      </c>
      <c r="H694" s="9">
        <v>0.0014484803786574</v>
      </c>
      <c r="I694" s="7" t="b">
        <v>1</v>
      </c>
      <c r="J694" s="9">
        <v>0.0</v>
      </c>
      <c r="K694" s="7" t="b">
        <v>0</v>
      </c>
      <c r="L694" s="9">
        <v>2933.0</v>
      </c>
      <c r="M694" s="9">
        <v>2.5241</v>
      </c>
      <c r="N694" s="2" t="s">
        <v>4130</v>
      </c>
      <c r="O694" s="2" t="s">
        <v>4257</v>
      </c>
      <c r="P694" s="9">
        <v>60.9</v>
      </c>
      <c r="Q694" s="9">
        <v>53.0</v>
      </c>
      <c r="R694" s="9">
        <v>0.010823</v>
      </c>
      <c r="S694" s="9">
        <v>0.773</v>
      </c>
      <c r="T694" s="9">
        <v>0.6668</v>
      </c>
      <c r="U694" s="2" t="s">
        <v>2809</v>
      </c>
      <c r="V694" s="9">
        <v>0.3023</v>
      </c>
      <c r="W694" s="2" t="s">
        <v>181</v>
      </c>
      <c r="X694" s="2" t="s">
        <v>1466</v>
      </c>
      <c r="Y694" s="2" t="s">
        <v>4109</v>
      </c>
      <c r="Z694" s="9">
        <v>0.6815</v>
      </c>
      <c r="AA694" s="9">
        <v>0.773</v>
      </c>
      <c r="AB694" s="9">
        <v>0.3023</v>
      </c>
      <c r="AC694" s="9">
        <v>0.1452</v>
      </c>
      <c r="AD694" s="9" t="str">
        <f t="shared" si="1"/>
        <v>#REF!</v>
      </c>
    </row>
    <row r="695" hidden="1">
      <c r="A695" s="2" t="s">
        <v>2175</v>
      </c>
      <c r="B695" s="2" t="s">
        <v>997</v>
      </c>
      <c r="C695" s="2" t="s">
        <v>1439</v>
      </c>
      <c r="D695" s="2" t="s">
        <v>64</v>
      </c>
      <c r="E695" s="7" t="b">
        <v>1</v>
      </c>
      <c r="F695" s="9">
        <v>66.0</v>
      </c>
      <c r="G695" s="9">
        <v>27.54628631737929</v>
      </c>
      <c r="H695" s="9">
        <v>0.0033834742424242</v>
      </c>
      <c r="I695" s="7" t="b">
        <v>1</v>
      </c>
      <c r="J695" s="9">
        <v>0.0</v>
      </c>
      <c r="K695" s="7" t="b">
        <v>0</v>
      </c>
      <c r="L695" s="9">
        <v>25.0</v>
      </c>
      <c r="M695" s="9">
        <v>0.3788</v>
      </c>
      <c r="N695" s="2" t="s">
        <v>2619</v>
      </c>
      <c r="O695" s="2" t="s">
        <v>1552</v>
      </c>
      <c r="P695" s="9">
        <v>77.08</v>
      </c>
      <c r="Q695" s="9">
        <v>76.0</v>
      </c>
      <c r="R695" s="9">
        <v>0.0</v>
      </c>
      <c r="S695" s="9">
        <v>0.3973</v>
      </c>
      <c r="T695" s="9">
        <v>1.0003</v>
      </c>
      <c r="U695" s="2" t="s">
        <v>4517</v>
      </c>
      <c r="V695" s="15"/>
      <c r="W695" s="2" t="s">
        <v>134</v>
      </c>
      <c r="X695" s="2" t="s">
        <v>182</v>
      </c>
      <c r="Y695" s="2" t="s">
        <v>1491</v>
      </c>
      <c r="Z695" s="9">
        <v>0.3094</v>
      </c>
      <c r="AA695" s="9">
        <v>0.3973</v>
      </c>
      <c r="AB695" s="15"/>
      <c r="AC695" s="9">
        <v>0.8204</v>
      </c>
      <c r="AD695" s="9" t="str">
        <f t="shared" si="1"/>
        <v>#REF!</v>
      </c>
    </row>
    <row r="696" hidden="1">
      <c r="A696" s="2" t="s">
        <v>1674</v>
      </c>
      <c r="B696" s="2" t="s">
        <v>542</v>
      </c>
      <c r="C696" s="2" t="s">
        <v>1439</v>
      </c>
      <c r="D696" s="2" t="s">
        <v>64</v>
      </c>
      <c r="E696" s="7" t="b">
        <v>1</v>
      </c>
      <c r="F696" s="9">
        <v>200.0</v>
      </c>
      <c r="G696" s="9">
        <v>13.76430253052147</v>
      </c>
      <c r="H696" s="9">
        <v>0.0051415079999999</v>
      </c>
      <c r="I696" s="7" t="b">
        <v>1</v>
      </c>
      <c r="J696" s="9">
        <v>0.0</v>
      </c>
      <c r="K696" s="7" t="b">
        <v>0</v>
      </c>
      <c r="L696" s="9">
        <v>304.0</v>
      </c>
      <c r="M696" s="9">
        <v>1.52</v>
      </c>
      <c r="N696" s="2" t="s">
        <v>4282</v>
      </c>
      <c r="O696" s="2" t="s">
        <v>4518</v>
      </c>
      <c r="P696" s="9">
        <v>75.13</v>
      </c>
      <c r="Q696" s="9">
        <v>80.5</v>
      </c>
      <c r="R696" s="9">
        <v>0.014085</v>
      </c>
      <c r="S696" s="9">
        <v>0.7002</v>
      </c>
      <c r="T696" s="9">
        <v>0.9704</v>
      </c>
      <c r="U696" s="2" t="s">
        <v>3035</v>
      </c>
      <c r="V696" s="9">
        <v>0.0803</v>
      </c>
      <c r="W696" s="2" t="s">
        <v>2753</v>
      </c>
      <c r="X696" s="2" t="s">
        <v>517</v>
      </c>
      <c r="Y696" s="2" t="s">
        <v>1399</v>
      </c>
      <c r="Z696" s="9">
        <v>0.5666</v>
      </c>
      <c r="AA696" s="9">
        <v>0.7002</v>
      </c>
      <c r="AB696" s="9">
        <v>0.0803</v>
      </c>
      <c r="AC696" s="9">
        <v>0.1572</v>
      </c>
      <c r="AD696" s="9" t="str">
        <f t="shared" si="1"/>
        <v>#REF!</v>
      </c>
    </row>
    <row r="697" hidden="1">
      <c r="A697" s="2" t="s">
        <v>1674</v>
      </c>
      <c r="B697" s="2" t="s">
        <v>982</v>
      </c>
      <c r="C697" s="2" t="s">
        <v>1439</v>
      </c>
      <c r="D697" s="2" t="s">
        <v>64</v>
      </c>
      <c r="E697" s="7" t="b">
        <v>1</v>
      </c>
      <c r="F697" s="9">
        <v>88.0</v>
      </c>
      <c r="G697" s="9">
        <v>16.95511325812768</v>
      </c>
      <c r="H697" s="9">
        <v>0.0121308784090909</v>
      </c>
      <c r="I697" s="7" t="b">
        <v>1</v>
      </c>
      <c r="J697" s="9">
        <v>0.0</v>
      </c>
      <c r="K697" s="7" t="b">
        <v>0</v>
      </c>
      <c r="L697" s="9">
        <v>19.0</v>
      </c>
      <c r="M697" s="9">
        <v>0.2159</v>
      </c>
      <c r="N697" s="2" t="s">
        <v>1628</v>
      </c>
      <c r="O697" s="2" t="s">
        <v>1629</v>
      </c>
      <c r="P697" s="9">
        <v>67.89</v>
      </c>
      <c r="Q697" s="9">
        <v>66.0</v>
      </c>
      <c r="R697" s="9">
        <v>0.0</v>
      </c>
      <c r="S697" s="9">
        <v>0.3699</v>
      </c>
      <c r="T697" s="9">
        <v>1.0003</v>
      </c>
      <c r="U697" s="2" t="s">
        <v>2973</v>
      </c>
      <c r="V697" s="9">
        <v>0.55</v>
      </c>
      <c r="W697" s="2" t="s">
        <v>1591</v>
      </c>
      <c r="X697" s="2" t="s">
        <v>517</v>
      </c>
      <c r="Y697" s="2" t="s">
        <v>3252</v>
      </c>
      <c r="Z697" s="9">
        <v>0.2984</v>
      </c>
      <c r="AA697" s="9">
        <v>0.3699</v>
      </c>
      <c r="AB697" s="9">
        <v>0.55</v>
      </c>
      <c r="AC697" s="9">
        <v>0.6463</v>
      </c>
      <c r="AD697" s="9" t="str">
        <f t="shared" si="1"/>
        <v>#REF!</v>
      </c>
    </row>
    <row r="698" hidden="1">
      <c r="A698" s="2" t="s">
        <v>1674</v>
      </c>
      <c r="B698" s="2" t="s">
        <v>997</v>
      </c>
      <c r="C698" s="2" t="s">
        <v>1439</v>
      </c>
      <c r="D698" s="2" t="s">
        <v>64</v>
      </c>
      <c r="E698" s="7" t="b">
        <v>1</v>
      </c>
      <c r="F698" s="9">
        <v>256.0</v>
      </c>
      <c r="G698" s="9">
        <v>30.34059933055969</v>
      </c>
      <c r="H698" s="9">
        <v>0.0158561609375</v>
      </c>
      <c r="I698" s="7" t="b">
        <v>1</v>
      </c>
      <c r="J698" s="9">
        <v>0.0</v>
      </c>
      <c r="K698" s="7" t="b">
        <v>0</v>
      </c>
      <c r="L698" s="9">
        <v>137.0</v>
      </c>
      <c r="M698" s="9">
        <v>0.5352</v>
      </c>
      <c r="N698" s="2" t="s">
        <v>1934</v>
      </c>
      <c r="O698" s="2" t="s">
        <v>1943</v>
      </c>
      <c r="P698" s="9">
        <v>75.11</v>
      </c>
      <c r="Q698" s="9">
        <v>76.0</v>
      </c>
      <c r="R698" s="9">
        <v>0.0</v>
      </c>
      <c r="S698" s="9">
        <v>0.6001</v>
      </c>
      <c r="T698" s="9">
        <v>0.9904</v>
      </c>
      <c r="U698" s="2" t="s">
        <v>740</v>
      </c>
      <c r="V698" s="9">
        <v>0.3519</v>
      </c>
      <c r="W698" s="2" t="s">
        <v>157</v>
      </c>
      <c r="X698" s="2" t="s">
        <v>1466</v>
      </c>
      <c r="Y698" s="2" t="s">
        <v>1456</v>
      </c>
      <c r="Z698" s="9">
        <v>0.4702</v>
      </c>
      <c r="AA698" s="9">
        <v>0.6001</v>
      </c>
      <c r="AB698" s="9">
        <v>0.3519</v>
      </c>
      <c r="AC698" s="9">
        <v>0.5734</v>
      </c>
      <c r="AD698" s="9" t="str">
        <f t="shared" si="1"/>
        <v>#REF!</v>
      </c>
    </row>
    <row r="699" hidden="1">
      <c r="A699" s="2" t="s">
        <v>1674</v>
      </c>
      <c r="B699" s="2" t="s">
        <v>1027</v>
      </c>
      <c r="C699" s="2" t="s">
        <v>1439</v>
      </c>
      <c r="D699" s="2" t="s">
        <v>64</v>
      </c>
      <c r="E699" s="7" t="b">
        <v>1</v>
      </c>
      <c r="F699" s="9">
        <v>94.0</v>
      </c>
      <c r="G699" s="9">
        <v>29.56169302429152</v>
      </c>
      <c r="H699" s="9">
        <v>0.0085523138297872</v>
      </c>
      <c r="I699" s="7" t="b">
        <v>1</v>
      </c>
      <c r="J699" s="9">
        <v>0.0</v>
      </c>
      <c r="K699" s="7" t="b">
        <v>0</v>
      </c>
      <c r="L699" s="9">
        <v>32.0</v>
      </c>
      <c r="M699" s="9">
        <v>0.3404</v>
      </c>
      <c r="N699" s="2" t="s">
        <v>1628</v>
      </c>
      <c r="O699" s="2" t="s">
        <v>1462</v>
      </c>
      <c r="P699" s="9">
        <v>49.31</v>
      </c>
      <c r="Q699" s="9">
        <v>39.5</v>
      </c>
      <c r="R699" s="9">
        <v>0.0</v>
      </c>
      <c r="S699" s="9">
        <v>0.2632</v>
      </c>
      <c r="T699" s="9">
        <v>0.6301</v>
      </c>
      <c r="U699" s="2" t="s">
        <v>2809</v>
      </c>
      <c r="V699" s="15"/>
      <c r="W699" s="2" t="s">
        <v>82</v>
      </c>
      <c r="X699" s="2" t="s">
        <v>182</v>
      </c>
      <c r="Y699" s="2" t="s">
        <v>1498</v>
      </c>
      <c r="Z699" s="9">
        <v>0.2025</v>
      </c>
      <c r="AA699" s="9">
        <v>0.2632</v>
      </c>
      <c r="AB699" s="15"/>
      <c r="AC699" s="9">
        <v>0.0707</v>
      </c>
      <c r="AD699" s="9" t="str">
        <f t="shared" si="1"/>
        <v>#REF!</v>
      </c>
    </row>
    <row r="700" hidden="1">
      <c r="A700" s="2" t="s">
        <v>2263</v>
      </c>
      <c r="B700" s="2" t="s">
        <v>70</v>
      </c>
      <c r="C700" s="2" t="s">
        <v>1439</v>
      </c>
      <c r="D700" s="2" t="s">
        <v>64</v>
      </c>
      <c r="E700" s="7" t="b">
        <v>1</v>
      </c>
      <c r="F700" s="9">
        <v>526.0</v>
      </c>
      <c r="G700" s="9">
        <v>19.55396888414725</v>
      </c>
      <c r="H700" s="9">
        <v>0.0565248365019011</v>
      </c>
      <c r="I700" s="7" t="b">
        <v>1</v>
      </c>
      <c r="J700" s="9">
        <v>0.0</v>
      </c>
      <c r="K700" s="7" t="b">
        <v>0</v>
      </c>
      <c r="L700" s="9">
        <v>1244.0</v>
      </c>
      <c r="M700" s="9">
        <v>2.365</v>
      </c>
      <c r="N700" s="2" t="s">
        <v>4519</v>
      </c>
      <c r="O700" s="2" t="s">
        <v>4520</v>
      </c>
      <c r="P700" s="9">
        <v>83.45</v>
      </c>
      <c r="Q700" s="9">
        <v>73.0</v>
      </c>
      <c r="R700" s="9">
        <v>0.015291</v>
      </c>
      <c r="S700" s="9">
        <v>0.6703</v>
      </c>
      <c r="T700" s="9">
        <v>0.6506</v>
      </c>
      <c r="U700" s="2" t="s">
        <v>1398</v>
      </c>
      <c r="V700" s="9">
        <v>0.7763</v>
      </c>
      <c r="W700" s="2" t="s">
        <v>1657</v>
      </c>
      <c r="X700" s="2" t="s">
        <v>517</v>
      </c>
      <c r="Y700" s="2" t="s">
        <v>1593</v>
      </c>
      <c r="Z700" s="9">
        <v>0.6091</v>
      </c>
      <c r="AA700" s="9">
        <v>0.6703</v>
      </c>
      <c r="AB700" s="9">
        <v>0.7763</v>
      </c>
      <c r="AC700" s="9">
        <v>0.206</v>
      </c>
      <c r="AD700" s="9" t="str">
        <f t="shared" si="1"/>
        <v>#REF!</v>
      </c>
    </row>
    <row r="701" hidden="1">
      <c r="A701" s="2" t="s">
        <v>2263</v>
      </c>
      <c r="B701" s="2" t="s">
        <v>186</v>
      </c>
      <c r="C701" s="2" t="s">
        <v>1439</v>
      </c>
      <c r="D701" s="2" t="s">
        <v>64</v>
      </c>
      <c r="E701" s="7" t="b">
        <v>1</v>
      </c>
      <c r="F701" s="9">
        <v>23.0</v>
      </c>
      <c r="G701" s="9">
        <v>4.099707233839207</v>
      </c>
      <c r="H701" s="9">
        <v>0.0026957565217391</v>
      </c>
      <c r="I701" s="7" t="b">
        <v>1</v>
      </c>
      <c r="J701" s="9">
        <v>0.0</v>
      </c>
      <c r="K701" s="7" t="b">
        <v>0</v>
      </c>
      <c r="L701" s="9">
        <v>532.0</v>
      </c>
      <c r="M701" s="9">
        <v>23.1304</v>
      </c>
      <c r="N701" s="2" t="s">
        <v>230</v>
      </c>
      <c r="O701" s="2" t="s">
        <v>2827</v>
      </c>
      <c r="P701" s="9">
        <v>40.61</v>
      </c>
      <c r="Q701" s="9">
        <v>37.0</v>
      </c>
      <c r="R701" s="9">
        <v>0.0</v>
      </c>
      <c r="S701" s="9">
        <v>0.6083</v>
      </c>
      <c r="T701" s="9">
        <v>0.5595</v>
      </c>
      <c r="U701" s="2" t="s">
        <v>2081</v>
      </c>
      <c r="V701" s="9">
        <v>0.0</v>
      </c>
      <c r="W701" s="2" t="s">
        <v>2760</v>
      </c>
      <c r="X701" s="2" t="s">
        <v>1521</v>
      </c>
      <c r="Y701" s="2" t="s">
        <v>4521</v>
      </c>
      <c r="Z701" s="9">
        <v>0.5045</v>
      </c>
      <c r="AA701" s="9">
        <v>0.6083</v>
      </c>
      <c r="AB701" s="9">
        <v>0.0</v>
      </c>
      <c r="AC701" s="9">
        <v>0.1304</v>
      </c>
      <c r="AD701" s="9" t="str">
        <f t="shared" si="1"/>
        <v>#REF!</v>
      </c>
    </row>
    <row r="702" hidden="1">
      <c r="A702" s="2" t="s">
        <v>2263</v>
      </c>
      <c r="B702" s="2" t="s">
        <v>503</v>
      </c>
      <c r="C702" s="2" t="s">
        <v>1439</v>
      </c>
      <c r="D702" s="2" t="s">
        <v>64</v>
      </c>
      <c r="E702" s="7" t="b">
        <v>1</v>
      </c>
      <c r="F702" s="9">
        <v>983.0</v>
      </c>
      <c r="G702" s="9">
        <v>8.798853237427368</v>
      </c>
      <c r="H702" s="9">
        <v>0.0067243194303153</v>
      </c>
      <c r="I702" s="7" t="b">
        <v>1</v>
      </c>
      <c r="J702" s="9">
        <v>0.0</v>
      </c>
      <c r="K702" s="7" t="b">
        <v>0</v>
      </c>
      <c r="L702" s="9">
        <v>2230.0</v>
      </c>
      <c r="M702" s="9">
        <v>2.2686</v>
      </c>
      <c r="N702" s="2" t="s">
        <v>4522</v>
      </c>
      <c r="O702" s="2" t="s">
        <v>4523</v>
      </c>
      <c r="P702" s="9">
        <v>84.25</v>
      </c>
      <c r="Q702" s="9">
        <v>73.0</v>
      </c>
      <c r="R702" s="9">
        <v>0.013223</v>
      </c>
      <c r="S702" s="9">
        <v>0.7366</v>
      </c>
      <c r="T702" s="9">
        <v>0.6543</v>
      </c>
      <c r="U702" s="2" t="s">
        <v>2069</v>
      </c>
      <c r="V702" s="9">
        <v>0.6646</v>
      </c>
      <c r="W702" s="2" t="s">
        <v>157</v>
      </c>
      <c r="X702" s="2" t="s">
        <v>517</v>
      </c>
      <c r="Y702" s="2" t="s">
        <v>1593</v>
      </c>
      <c r="Z702" s="9">
        <v>0.6642</v>
      </c>
      <c r="AA702" s="9">
        <v>0.7366</v>
      </c>
      <c r="AB702" s="9">
        <v>0.6646</v>
      </c>
      <c r="AC702" s="9">
        <v>0.2203</v>
      </c>
      <c r="AD702" s="9" t="str">
        <f t="shared" si="1"/>
        <v>#REF!</v>
      </c>
    </row>
    <row r="703" hidden="1">
      <c r="A703" s="2" t="s">
        <v>2263</v>
      </c>
      <c r="B703" s="2" t="s">
        <v>611</v>
      </c>
      <c r="C703" s="2" t="s">
        <v>1439</v>
      </c>
      <c r="D703" s="2" t="s">
        <v>64</v>
      </c>
      <c r="E703" s="7" t="b">
        <v>1</v>
      </c>
      <c r="F703" s="9">
        <v>430.0</v>
      </c>
      <c r="G703" s="9">
        <v>7.765735296267349</v>
      </c>
      <c r="H703" s="9">
        <v>0.0020994988372093</v>
      </c>
      <c r="I703" s="7" t="b">
        <v>1</v>
      </c>
      <c r="J703" s="9">
        <v>0.0</v>
      </c>
      <c r="K703" s="7" t="b">
        <v>0</v>
      </c>
      <c r="L703" s="9">
        <v>17.0</v>
      </c>
      <c r="M703" s="9">
        <v>0.0395</v>
      </c>
      <c r="N703" s="2" t="s">
        <v>1485</v>
      </c>
      <c r="O703" s="2" t="s">
        <v>1665</v>
      </c>
      <c r="P703" s="9">
        <v>40.88</v>
      </c>
      <c r="Q703" s="9">
        <v>38.0</v>
      </c>
      <c r="R703" s="9">
        <v>0.0</v>
      </c>
      <c r="S703" s="9">
        <v>0.2143</v>
      </c>
      <c r="T703" s="9">
        <v>0.6029</v>
      </c>
      <c r="U703" s="2" t="s">
        <v>1520</v>
      </c>
      <c r="V703" s="15"/>
      <c r="W703" s="2" t="s">
        <v>82</v>
      </c>
      <c r="X703" s="2" t="s">
        <v>182</v>
      </c>
      <c r="Y703" s="2" t="s">
        <v>1498</v>
      </c>
      <c r="Z703" s="9">
        <v>0.198</v>
      </c>
      <c r="AA703" s="9">
        <v>0.2143</v>
      </c>
      <c r="AB703" s="15"/>
      <c r="AC703" s="9">
        <v>0.0694</v>
      </c>
      <c r="AD703" s="9" t="str">
        <f t="shared" si="1"/>
        <v>#REF!</v>
      </c>
    </row>
    <row r="704" hidden="1">
      <c r="A704" s="2" t="s">
        <v>2263</v>
      </c>
      <c r="B704" s="2" t="s">
        <v>856</v>
      </c>
      <c r="C704" s="2" t="s">
        <v>1439</v>
      </c>
      <c r="D704" s="2" t="s">
        <v>64</v>
      </c>
      <c r="E704" s="7" t="b">
        <v>1</v>
      </c>
      <c r="F704" s="9">
        <v>1229.0</v>
      </c>
      <c r="G704" s="9">
        <v>5.061839671560902</v>
      </c>
      <c r="H704" s="9">
        <v>0.0024095685109845</v>
      </c>
      <c r="I704" s="7" t="b">
        <v>1</v>
      </c>
      <c r="J704" s="9">
        <v>0.0</v>
      </c>
      <c r="K704" s="7" t="b">
        <v>0</v>
      </c>
      <c r="L704" s="9">
        <v>2.0</v>
      </c>
      <c r="M704" s="9">
        <v>0.0016</v>
      </c>
      <c r="N704" s="2" t="s">
        <v>175</v>
      </c>
      <c r="O704" s="2" t="s">
        <v>177</v>
      </c>
      <c r="P704" s="9">
        <v>58.0</v>
      </c>
      <c r="Q704" s="9">
        <v>58.0</v>
      </c>
      <c r="R704" s="9">
        <v>0.0</v>
      </c>
      <c r="S704" s="9">
        <v>0.0</v>
      </c>
      <c r="T704" s="9">
        <v>0.6121</v>
      </c>
      <c r="U704" s="2" t="s">
        <v>4524</v>
      </c>
      <c r="V704" s="15"/>
      <c r="W704" s="2" t="s">
        <v>82</v>
      </c>
      <c r="X704" s="2" t="s">
        <v>182</v>
      </c>
      <c r="Y704" s="2" t="s">
        <v>1498</v>
      </c>
      <c r="Z704" s="9">
        <v>0.0</v>
      </c>
      <c r="AA704" s="9">
        <v>0.0</v>
      </c>
      <c r="AB704" s="15"/>
      <c r="AC704" s="9">
        <v>0.675</v>
      </c>
      <c r="AD704" s="9" t="str">
        <f t="shared" si="1"/>
        <v>#REF!</v>
      </c>
    </row>
    <row r="705" hidden="1">
      <c r="A705" s="2" t="s">
        <v>2263</v>
      </c>
      <c r="B705" s="2" t="s">
        <v>982</v>
      </c>
      <c r="C705" s="2" t="s">
        <v>1439</v>
      </c>
      <c r="D705" s="2" t="s">
        <v>64</v>
      </c>
      <c r="E705" s="7" t="b">
        <v>1</v>
      </c>
      <c r="F705" s="9">
        <v>100.0</v>
      </c>
      <c r="G705" s="9">
        <v>18.05385451126366</v>
      </c>
      <c r="H705" s="9">
        <v>0.01560664</v>
      </c>
      <c r="I705" s="7" t="b">
        <v>1</v>
      </c>
      <c r="J705" s="9">
        <v>0.0</v>
      </c>
      <c r="K705" s="7" t="b">
        <v>0</v>
      </c>
      <c r="L705" s="9">
        <v>64.0</v>
      </c>
      <c r="M705" s="9">
        <v>0.64</v>
      </c>
      <c r="N705" s="2" t="s">
        <v>1724</v>
      </c>
      <c r="O705" s="2" t="s">
        <v>1725</v>
      </c>
      <c r="P705" s="9">
        <v>98.61</v>
      </c>
      <c r="Q705" s="9">
        <v>94.0</v>
      </c>
      <c r="R705" s="9">
        <v>0.0</v>
      </c>
      <c r="S705" s="9">
        <v>0.5382</v>
      </c>
      <c r="T705" s="9">
        <v>0.9913</v>
      </c>
      <c r="U705" s="2" t="s">
        <v>234</v>
      </c>
      <c r="V705" s="9">
        <v>0.0</v>
      </c>
      <c r="W705" s="2" t="s">
        <v>134</v>
      </c>
      <c r="X705" s="2" t="s">
        <v>1466</v>
      </c>
      <c r="Y705" s="2" t="s">
        <v>1456</v>
      </c>
      <c r="Z705" s="9">
        <v>0.4215</v>
      </c>
      <c r="AA705" s="9">
        <v>0.5382</v>
      </c>
      <c r="AB705" s="9">
        <v>0.0</v>
      </c>
      <c r="AC705" s="9">
        <v>0.3222</v>
      </c>
      <c r="AD705" s="9" t="str">
        <f t="shared" si="1"/>
        <v>#REF!</v>
      </c>
    </row>
    <row r="706" hidden="1">
      <c r="A706" s="2" t="s">
        <v>2263</v>
      </c>
      <c r="B706" s="2" t="s">
        <v>997</v>
      </c>
      <c r="C706" s="2" t="s">
        <v>1439</v>
      </c>
      <c r="D706" s="2" t="s">
        <v>64</v>
      </c>
      <c r="E706" s="7" t="b">
        <v>1</v>
      </c>
      <c r="F706" s="9">
        <v>572.0</v>
      </c>
      <c r="G706" s="9">
        <v>15.95187239168364</v>
      </c>
      <c r="H706" s="9">
        <v>0.0097851216783216</v>
      </c>
      <c r="I706" s="7" t="b">
        <v>1</v>
      </c>
      <c r="J706" s="9">
        <v>0.0</v>
      </c>
      <c r="K706" s="7" t="b">
        <v>0</v>
      </c>
      <c r="L706" s="9">
        <v>97.0</v>
      </c>
      <c r="M706" s="9">
        <v>0.1696</v>
      </c>
      <c r="N706" s="2" t="s">
        <v>2379</v>
      </c>
      <c r="O706" s="2" t="s">
        <v>1383</v>
      </c>
      <c r="P706" s="9">
        <v>94.71</v>
      </c>
      <c r="Q706" s="9">
        <v>83.0</v>
      </c>
      <c r="R706" s="9">
        <v>0.0</v>
      </c>
      <c r="S706" s="9">
        <v>0.5646</v>
      </c>
      <c r="T706" s="9">
        <v>1.0014</v>
      </c>
      <c r="U706" s="2" t="s">
        <v>1528</v>
      </c>
      <c r="V706" s="9">
        <v>0.0</v>
      </c>
      <c r="W706" s="2" t="s">
        <v>157</v>
      </c>
      <c r="X706" s="2" t="s">
        <v>1466</v>
      </c>
      <c r="Y706" s="2" t="s">
        <v>2849</v>
      </c>
      <c r="Z706" s="9">
        <v>0.4397</v>
      </c>
      <c r="AA706" s="9">
        <v>0.5646</v>
      </c>
      <c r="AB706" s="9">
        <v>0.0</v>
      </c>
      <c r="AC706" s="9">
        <v>0.7518</v>
      </c>
      <c r="AD706" s="9" t="str">
        <f t="shared" si="1"/>
        <v>#REF!</v>
      </c>
    </row>
    <row r="707" hidden="1">
      <c r="A707" s="2" t="s">
        <v>2263</v>
      </c>
      <c r="B707" s="2" t="s">
        <v>1015</v>
      </c>
      <c r="C707" s="2" t="s">
        <v>1439</v>
      </c>
      <c r="D707" s="2" t="s">
        <v>64</v>
      </c>
      <c r="E707" s="7" t="b">
        <v>1</v>
      </c>
      <c r="F707" s="9">
        <v>271.0</v>
      </c>
      <c r="G707" s="9">
        <v>4.482415762257831</v>
      </c>
      <c r="H707" s="9">
        <v>0.0013544420664206</v>
      </c>
      <c r="I707" s="7" t="b">
        <v>1</v>
      </c>
      <c r="J707" s="9">
        <v>0.0</v>
      </c>
      <c r="K707" s="7" t="b">
        <v>0</v>
      </c>
      <c r="L707" s="9">
        <v>8.0</v>
      </c>
      <c r="M707" s="9">
        <v>0.0295</v>
      </c>
      <c r="N707" s="2" t="s">
        <v>1664</v>
      </c>
      <c r="O707" s="2" t="s">
        <v>1665</v>
      </c>
      <c r="P707" s="9">
        <v>41.0</v>
      </c>
      <c r="Q707" s="9">
        <v>40.0</v>
      </c>
      <c r="R707" s="9">
        <v>0.0</v>
      </c>
      <c r="S707" s="9">
        <v>0.2401</v>
      </c>
      <c r="T707" s="9">
        <v>1.0001</v>
      </c>
      <c r="U707" s="2" t="s">
        <v>4525</v>
      </c>
      <c r="V707" s="15"/>
      <c r="W707" s="2" t="s">
        <v>198</v>
      </c>
      <c r="X707" s="2" t="s">
        <v>182</v>
      </c>
      <c r="Y707" s="2" t="s">
        <v>1491</v>
      </c>
      <c r="Z707" s="9">
        <v>0.2031</v>
      </c>
      <c r="AA707" s="9">
        <v>0.2401</v>
      </c>
      <c r="AB707" s="15"/>
      <c r="AC707" s="9">
        <v>0.0</v>
      </c>
      <c r="AD707" s="9" t="str">
        <f t="shared" si="1"/>
        <v>#REF!</v>
      </c>
    </row>
    <row r="708" hidden="1">
      <c r="A708" s="2" t="s">
        <v>2263</v>
      </c>
      <c r="B708" s="2" t="s">
        <v>1040</v>
      </c>
      <c r="C708" s="2" t="s">
        <v>1439</v>
      </c>
      <c r="D708" s="2" t="s">
        <v>64</v>
      </c>
      <c r="E708" s="7" t="b">
        <v>1</v>
      </c>
      <c r="F708" s="9">
        <v>2758.0</v>
      </c>
      <c r="G708" s="9">
        <v>1.545570828247623</v>
      </c>
      <c r="H708" s="9">
        <v>0.0015842131979695</v>
      </c>
      <c r="I708" s="7" t="b">
        <v>1</v>
      </c>
      <c r="J708" s="9">
        <v>0.0</v>
      </c>
      <c r="K708" s="7" t="b">
        <v>0</v>
      </c>
      <c r="L708" s="9">
        <v>3668.0</v>
      </c>
      <c r="M708" s="9">
        <v>1.3299</v>
      </c>
      <c r="N708" s="2" t="s">
        <v>4526</v>
      </c>
      <c r="O708" s="2" t="s">
        <v>4527</v>
      </c>
      <c r="P708" s="9">
        <v>44.4</v>
      </c>
      <c r="Q708" s="9">
        <v>38.0</v>
      </c>
      <c r="R708" s="9">
        <v>0.004739</v>
      </c>
      <c r="S708" s="9">
        <v>0.7051</v>
      </c>
      <c r="T708" s="9">
        <v>0.4256</v>
      </c>
      <c r="U708" s="2" t="s">
        <v>3005</v>
      </c>
      <c r="V708" s="9">
        <v>0.8628</v>
      </c>
      <c r="W708" s="2" t="s">
        <v>1780</v>
      </c>
      <c r="X708" s="2" t="s">
        <v>1466</v>
      </c>
      <c r="Y708" s="2" t="s">
        <v>2821</v>
      </c>
      <c r="Z708" s="9">
        <v>0.6208</v>
      </c>
      <c r="AA708" s="9">
        <v>0.7051</v>
      </c>
      <c r="AB708" s="9">
        <v>0.8628</v>
      </c>
      <c r="AC708" s="9">
        <v>0.1758</v>
      </c>
      <c r="AD708" s="9" t="str">
        <f t="shared" si="1"/>
        <v>#REF!</v>
      </c>
    </row>
    <row r="709" hidden="1">
      <c r="A709" s="2" t="s">
        <v>2263</v>
      </c>
      <c r="B709" s="2" t="s">
        <v>1047</v>
      </c>
      <c r="C709" s="2" t="s">
        <v>1439</v>
      </c>
      <c r="D709" s="2" t="s">
        <v>64</v>
      </c>
      <c r="E709" s="7" t="b">
        <v>1</v>
      </c>
      <c r="F709" s="9">
        <v>248.0</v>
      </c>
      <c r="G709" s="9">
        <v>1.699589536701898</v>
      </c>
      <c r="H709" s="9">
        <v>0.0012769354838709</v>
      </c>
      <c r="I709" s="7" t="b">
        <v>1</v>
      </c>
      <c r="J709" s="9">
        <v>0.0</v>
      </c>
      <c r="K709" s="7" t="b">
        <v>0</v>
      </c>
      <c r="L709" s="9">
        <v>3451.0</v>
      </c>
      <c r="M709" s="9">
        <v>13.9153</v>
      </c>
      <c r="N709" s="2" t="s">
        <v>4528</v>
      </c>
      <c r="O709" s="2" t="s">
        <v>2813</v>
      </c>
      <c r="P709" s="9">
        <v>44.64</v>
      </c>
      <c r="Q709" s="9">
        <v>39.0</v>
      </c>
      <c r="R709" s="9">
        <v>0.005093</v>
      </c>
      <c r="S709" s="9">
        <v>0.704</v>
      </c>
      <c r="T709" s="9">
        <v>0.4144</v>
      </c>
      <c r="U709" s="2" t="s">
        <v>3005</v>
      </c>
      <c r="V709" s="9">
        <v>0.8609</v>
      </c>
      <c r="W709" s="2" t="s">
        <v>1600</v>
      </c>
      <c r="X709" s="2" t="s">
        <v>1466</v>
      </c>
      <c r="Y709" s="2" t="s">
        <v>2821</v>
      </c>
      <c r="Z709" s="9">
        <v>0.6231</v>
      </c>
      <c r="AA709" s="9">
        <v>0.704</v>
      </c>
      <c r="AB709" s="9">
        <v>0.8609</v>
      </c>
      <c r="AC709" s="9">
        <v>0.1747</v>
      </c>
      <c r="AD709" s="9" t="str">
        <f t="shared" si="1"/>
        <v>#REF!</v>
      </c>
    </row>
    <row r="710" hidden="1">
      <c r="A710" s="2" t="s">
        <v>2263</v>
      </c>
      <c r="B710" s="2" t="s">
        <v>1053</v>
      </c>
      <c r="C710" s="2" t="s">
        <v>1439</v>
      </c>
      <c r="D710" s="2" t="s">
        <v>64</v>
      </c>
      <c r="E710" s="7" t="b">
        <v>1</v>
      </c>
      <c r="F710" s="9">
        <v>432.0</v>
      </c>
      <c r="G710" s="9">
        <v>1.400121664951193</v>
      </c>
      <c r="H710" s="9">
        <v>0.001394912037037</v>
      </c>
      <c r="I710" s="7" t="b">
        <v>1</v>
      </c>
      <c r="J710" s="9">
        <v>0.0</v>
      </c>
      <c r="K710" s="7" t="b">
        <v>0</v>
      </c>
      <c r="L710" s="9">
        <v>3579.0</v>
      </c>
      <c r="M710" s="9">
        <v>8.2847</v>
      </c>
      <c r="N710" s="2" t="s">
        <v>4529</v>
      </c>
      <c r="O710" s="2" t="s">
        <v>4530</v>
      </c>
      <c r="P710" s="9">
        <v>44.52</v>
      </c>
      <c r="Q710" s="9">
        <v>39.0</v>
      </c>
      <c r="R710" s="9">
        <v>0.00487</v>
      </c>
      <c r="S710" s="9">
        <v>0.704</v>
      </c>
      <c r="T710" s="9">
        <v>0.4248</v>
      </c>
      <c r="U710" s="2" t="s">
        <v>2193</v>
      </c>
      <c r="V710" s="9">
        <v>0.8611</v>
      </c>
      <c r="W710" s="2" t="s">
        <v>1771</v>
      </c>
      <c r="X710" s="2" t="s">
        <v>1466</v>
      </c>
      <c r="Y710" s="2" t="s">
        <v>2821</v>
      </c>
      <c r="Z710" s="9">
        <v>0.622</v>
      </c>
      <c r="AA710" s="9">
        <v>0.704</v>
      </c>
      <c r="AB710" s="9">
        <v>0.8611</v>
      </c>
      <c r="AC710" s="9">
        <v>0.1755</v>
      </c>
      <c r="AD710" s="9" t="str">
        <f t="shared" si="1"/>
        <v>#REF!</v>
      </c>
    </row>
    <row r="711" hidden="1">
      <c r="A711" s="2" t="s">
        <v>1436</v>
      </c>
      <c r="B711" s="2" t="s">
        <v>534</v>
      </c>
      <c r="C711" s="2" t="s">
        <v>1439</v>
      </c>
      <c r="D711" s="2" t="s">
        <v>64</v>
      </c>
      <c r="E711" s="7" t="b">
        <v>1</v>
      </c>
      <c r="F711" s="9">
        <v>524.0</v>
      </c>
      <c r="G711" s="9">
        <v>12.87318503735601</v>
      </c>
      <c r="H711" s="9">
        <v>0.0058729259541984</v>
      </c>
      <c r="I711" s="7" t="b">
        <v>1</v>
      </c>
      <c r="J711" s="9">
        <v>0.0</v>
      </c>
      <c r="K711" s="7" t="b">
        <v>0</v>
      </c>
      <c r="L711" s="9">
        <v>388.0</v>
      </c>
      <c r="M711" s="9">
        <v>0.7405</v>
      </c>
      <c r="N711" s="2" t="s">
        <v>4375</v>
      </c>
      <c r="O711" s="2" t="s">
        <v>4531</v>
      </c>
      <c r="P711" s="9">
        <v>55.24</v>
      </c>
      <c r="Q711" s="9">
        <v>49.0</v>
      </c>
      <c r="R711" s="9">
        <v>0.0</v>
      </c>
      <c r="S711" s="9">
        <v>0.7289</v>
      </c>
      <c r="T711" s="9">
        <v>0.9815</v>
      </c>
      <c r="U711" s="2" t="s">
        <v>888</v>
      </c>
      <c r="V711" s="9">
        <v>0.0</v>
      </c>
      <c r="W711" s="2" t="s">
        <v>1657</v>
      </c>
      <c r="X711" s="2" t="s">
        <v>517</v>
      </c>
      <c r="Y711" s="2" t="s">
        <v>1744</v>
      </c>
      <c r="Z711" s="9">
        <v>0.5769</v>
      </c>
      <c r="AA711" s="9">
        <v>0.7289</v>
      </c>
      <c r="AB711" s="9">
        <v>0.0</v>
      </c>
      <c r="AC711" s="9">
        <v>0.8565</v>
      </c>
      <c r="AD711" s="9" t="str">
        <f t="shared" si="1"/>
        <v>#REF!</v>
      </c>
    </row>
    <row r="712" hidden="1">
      <c r="A712" s="2" t="s">
        <v>1436</v>
      </c>
      <c r="B712" s="2" t="s">
        <v>856</v>
      </c>
      <c r="C712" s="2" t="s">
        <v>1439</v>
      </c>
      <c r="D712" s="2" t="s">
        <v>64</v>
      </c>
      <c r="E712" s="7" t="b">
        <v>1</v>
      </c>
      <c r="F712" s="9">
        <v>3058.0</v>
      </c>
      <c r="G712" s="9">
        <v>2.541474668385956</v>
      </c>
      <c r="H712" s="9">
        <v>0.0015094506213211</v>
      </c>
      <c r="I712" s="7" t="b">
        <v>1</v>
      </c>
      <c r="J712" s="9">
        <v>0.0</v>
      </c>
      <c r="K712" s="7" t="b">
        <v>0</v>
      </c>
      <c r="L712" s="9">
        <v>22.0</v>
      </c>
      <c r="M712" s="9">
        <v>0.0072</v>
      </c>
      <c r="N712" s="2" t="s">
        <v>175</v>
      </c>
      <c r="O712" s="2" t="s">
        <v>177</v>
      </c>
      <c r="P712" s="9">
        <v>49.55</v>
      </c>
      <c r="Q712" s="9">
        <v>41.5</v>
      </c>
      <c r="R712" s="9">
        <v>0.0</v>
      </c>
      <c r="S712" s="9">
        <v>0.0558</v>
      </c>
      <c r="T712" s="9">
        <v>0.6927</v>
      </c>
      <c r="U712" s="2" t="s">
        <v>1553</v>
      </c>
      <c r="V712" s="15"/>
      <c r="W712" s="2" t="s">
        <v>82</v>
      </c>
      <c r="X712" s="2" t="s">
        <v>182</v>
      </c>
      <c r="Y712" s="2" t="s">
        <v>1498</v>
      </c>
      <c r="Z712" s="9">
        <v>0.0464</v>
      </c>
      <c r="AA712" s="9">
        <v>0.0558</v>
      </c>
      <c r="AB712" s="15"/>
      <c r="AC712" s="9">
        <v>0.2678</v>
      </c>
      <c r="AD712" s="9" t="str">
        <f t="shared" si="1"/>
        <v>#REF!</v>
      </c>
    </row>
    <row r="713">
      <c r="A713" s="2" t="s">
        <v>1436</v>
      </c>
      <c r="B713" s="2" t="s">
        <v>306</v>
      </c>
      <c r="C713" s="2" t="s">
        <v>1439</v>
      </c>
      <c r="D713" s="2" t="s">
        <v>64</v>
      </c>
      <c r="E713" s="7" t="b">
        <v>1</v>
      </c>
      <c r="F713" s="9">
        <v>5913.0</v>
      </c>
      <c r="G713" s="9">
        <v>36.50125477970435</v>
      </c>
      <c r="H713" s="9">
        <v>1.657349573820396</v>
      </c>
      <c r="I713" s="7" t="b">
        <v>1</v>
      </c>
      <c r="J713" s="9">
        <v>0.0</v>
      </c>
      <c r="K713" s="7" t="b">
        <v>0</v>
      </c>
      <c r="L713" s="9">
        <v>5211.0</v>
      </c>
      <c r="M713" s="9">
        <v>0.8813</v>
      </c>
      <c r="N713" s="2" t="s">
        <v>4532</v>
      </c>
      <c r="O713" s="2" t="s">
        <v>4533</v>
      </c>
      <c r="P713" s="9">
        <v>71.0</v>
      </c>
      <c r="Q713" s="9">
        <v>60.0</v>
      </c>
      <c r="R713" s="9">
        <v>0.004324</v>
      </c>
      <c r="S713" s="9">
        <v>0.9597</v>
      </c>
      <c r="T713" s="9">
        <v>0.9794</v>
      </c>
      <c r="U713" s="2" t="s">
        <v>96</v>
      </c>
      <c r="V713" s="9">
        <v>0.844</v>
      </c>
      <c r="W713" s="2" t="s">
        <v>82</v>
      </c>
      <c r="X713" s="2" t="s">
        <v>84</v>
      </c>
      <c r="Y713" s="2" t="s">
        <v>1572</v>
      </c>
      <c r="Z713" s="9">
        <v>0.8518</v>
      </c>
      <c r="AA713" s="9">
        <v>0.9597</v>
      </c>
      <c r="AB713" s="9">
        <v>0.844</v>
      </c>
      <c r="AC713" s="9">
        <v>0.7952</v>
      </c>
      <c r="AD713" s="9" t="str">
        <f t="shared" si="1"/>
        <v>#REF!</v>
      </c>
    </row>
    <row r="714" hidden="1">
      <c r="A714" s="2" t="s">
        <v>1436</v>
      </c>
      <c r="B714" s="2" t="s">
        <v>1047</v>
      </c>
      <c r="C714" s="2" t="s">
        <v>1439</v>
      </c>
      <c r="D714" s="2" t="s">
        <v>64</v>
      </c>
      <c r="E714" s="7" t="b">
        <v>1</v>
      </c>
      <c r="F714" s="9">
        <v>72.0</v>
      </c>
      <c r="G714" s="9">
        <v>3.39590759590965</v>
      </c>
      <c r="H714" s="9">
        <v>0.0014846722222222</v>
      </c>
      <c r="I714" s="7" t="b">
        <v>1</v>
      </c>
      <c r="J714" s="9">
        <v>0.0</v>
      </c>
      <c r="K714" s="7" t="b">
        <v>0</v>
      </c>
      <c r="L714" s="9">
        <v>2716.0</v>
      </c>
      <c r="M714" s="9">
        <v>37.7222</v>
      </c>
      <c r="N714" s="2" t="s">
        <v>4534</v>
      </c>
      <c r="O714" s="2" t="s">
        <v>4535</v>
      </c>
      <c r="P714" s="9">
        <v>38.82</v>
      </c>
      <c r="Q714" s="9">
        <v>36.0</v>
      </c>
      <c r="R714" s="9">
        <v>0.011325</v>
      </c>
      <c r="S714" s="9">
        <v>0.6697</v>
      </c>
      <c r="T714" s="9">
        <v>0.3785</v>
      </c>
      <c r="U714" s="2" t="s">
        <v>1520</v>
      </c>
      <c r="V714" s="9">
        <v>0.8831</v>
      </c>
      <c r="W714" s="2" t="s">
        <v>1600</v>
      </c>
      <c r="X714" s="2" t="s">
        <v>517</v>
      </c>
      <c r="Y714" s="2" t="s">
        <v>1593</v>
      </c>
      <c r="Z714" s="9">
        <v>0.583</v>
      </c>
      <c r="AA714" s="9">
        <v>0.6697</v>
      </c>
      <c r="AB714" s="9">
        <v>0.8831</v>
      </c>
      <c r="AC714" s="9">
        <v>0.1514</v>
      </c>
      <c r="AD714" s="9" t="str">
        <f t="shared" si="1"/>
        <v>#REF!</v>
      </c>
    </row>
    <row r="715" hidden="1">
      <c r="A715" s="2" t="s">
        <v>1436</v>
      </c>
      <c r="B715" s="2" t="s">
        <v>1093</v>
      </c>
      <c r="C715" s="2" t="s">
        <v>1439</v>
      </c>
      <c r="D715" s="2" t="s">
        <v>64</v>
      </c>
      <c r="E715" s="7" t="b">
        <v>1</v>
      </c>
      <c r="F715" s="9">
        <v>198.0</v>
      </c>
      <c r="G715" s="9">
        <v>2.288879998857746</v>
      </c>
      <c r="H715" s="9">
        <v>0.0012797535353535</v>
      </c>
      <c r="I715" s="7" t="b">
        <v>1</v>
      </c>
      <c r="J715" s="9">
        <v>0.0</v>
      </c>
      <c r="K715" s="7" t="b">
        <v>0</v>
      </c>
      <c r="L715" s="9">
        <v>1116.0</v>
      </c>
      <c r="M715" s="9">
        <v>5.6364</v>
      </c>
      <c r="N715" s="2" t="s">
        <v>2714</v>
      </c>
      <c r="O715" s="2" t="s">
        <v>1383</v>
      </c>
      <c r="P715" s="9">
        <v>49.03</v>
      </c>
      <c r="Q715" s="9">
        <v>44.0</v>
      </c>
      <c r="R715" s="9">
        <v>0.0</v>
      </c>
      <c r="S715" s="9">
        <v>0.2529</v>
      </c>
      <c r="T715" s="9">
        <v>0.0794</v>
      </c>
      <c r="U715" s="2" t="s">
        <v>4263</v>
      </c>
      <c r="V715" s="9">
        <v>0.8667</v>
      </c>
      <c r="W715" s="2" t="s">
        <v>157</v>
      </c>
      <c r="X715" s="2" t="s">
        <v>1466</v>
      </c>
      <c r="Y715" s="2" t="s">
        <v>2821</v>
      </c>
      <c r="Z715" s="9">
        <v>0.1624</v>
      </c>
      <c r="AA715" s="9">
        <v>0.2529</v>
      </c>
      <c r="AB715" s="9">
        <v>0.8667</v>
      </c>
      <c r="AC715" s="9">
        <v>0.1525</v>
      </c>
      <c r="AD715" s="9" t="str">
        <f t="shared" si="1"/>
        <v>#REF!</v>
      </c>
    </row>
    <row r="716" hidden="1">
      <c r="A716" s="2" t="s">
        <v>1618</v>
      </c>
      <c r="B716" s="2" t="s">
        <v>1015</v>
      </c>
      <c r="C716" s="2" t="s">
        <v>119</v>
      </c>
      <c r="D716" s="2" t="s">
        <v>64</v>
      </c>
      <c r="E716" s="7" t="b">
        <v>1</v>
      </c>
      <c r="F716" s="9">
        <v>223.0</v>
      </c>
      <c r="G716" s="9">
        <v>11.6453331026139</v>
      </c>
      <c r="H716" s="9">
        <v>0.0074988121076233</v>
      </c>
      <c r="I716" s="7" t="b">
        <v>1</v>
      </c>
      <c r="J716" s="9">
        <v>0.0</v>
      </c>
      <c r="K716" s="7" t="b">
        <v>0</v>
      </c>
      <c r="L716" s="9">
        <v>28.0</v>
      </c>
      <c r="M716" s="9">
        <v>0.1256</v>
      </c>
      <c r="N716" s="2" t="s">
        <v>2024</v>
      </c>
      <c r="O716" s="2" t="s">
        <v>2025</v>
      </c>
      <c r="P716" s="9">
        <v>91.36</v>
      </c>
      <c r="Q716" s="9">
        <v>100.0</v>
      </c>
      <c r="R716" s="9">
        <v>0.0</v>
      </c>
      <c r="S716" s="9">
        <v>0.4198</v>
      </c>
      <c r="T716" s="9">
        <v>1.0004</v>
      </c>
      <c r="U716" s="2" t="s">
        <v>3306</v>
      </c>
      <c r="V716" s="9">
        <v>0.55</v>
      </c>
      <c r="W716" s="2" t="s">
        <v>157</v>
      </c>
      <c r="X716" s="2" t="s">
        <v>1466</v>
      </c>
      <c r="Y716" s="2" t="s">
        <v>3164</v>
      </c>
      <c r="Z716" s="9">
        <v>0.3254</v>
      </c>
      <c r="AA716" s="9">
        <v>0.4198</v>
      </c>
      <c r="AB716" s="9">
        <v>0.55</v>
      </c>
      <c r="AC716" s="9">
        <v>0.0</v>
      </c>
      <c r="AD716" s="9" t="str">
        <f t="shared" si="1"/>
        <v>#REF!</v>
      </c>
    </row>
    <row r="717" hidden="1">
      <c r="A717" s="2" t="s">
        <v>1473</v>
      </c>
      <c r="B717" s="2" t="s">
        <v>856</v>
      </c>
      <c r="C717" s="2" t="s">
        <v>119</v>
      </c>
      <c r="D717" s="2" t="s">
        <v>64</v>
      </c>
      <c r="E717" s="7" t="b">
        <v>1</v>
      </c>
      <c r="F717" s="9">
        <v>314.0</v>
      </c>
      <c r="G717" s="9">
        <v>8.93902902607409</v>
      </c>
      <c r="H717" s="9">
        <v>0.0019244012738853</v>
      </c>
      <c r="I717" s="7" t="b">
        <v>1</v>
      </c>
      <c r="J717" s="9">
        <v>0.0</v>
      </c>
      <c r="K717" s="7" t="b">
        <v>0</v>
      </c>
      <c r="L717" s="9">
        <v>1.0</v>
      </c>
      <c r="M717" s="9">
        <v>0.0032</v>
      </c>
      <c r="N717" s="2" t="s">
        <v>175</v>
      </c>
      <c r="O717" s="2" t="s">
        <v>177</v>
      </c>
      <c r="P717" s="9">
        <v>33.0</v>
      </c>
      <c r="Q717" s="9">
        <v>33.0</v>
      </c>
      <c r="R717" s="9">
        <v>0.0</v>
      </c>
      <c r="S717" s="9">
        <v>0.0</v>
      </c>
      <c r="T717" s="9">
        <v>1.0</v>
      </c>
      <c r="U717" s="2" t="s">
        <v>2345</v>
      </c>
      <c r="V717" s="15"/>
      <c r="W717" s="2" t="s">
        <v>82</v>
      </c>
      <c r="X717" s="2" t="s">
        <v>1455</v>
      </c>
      <c r="Y717" s="2" t="s">
        <v>1542</v>
      </c>
      <c r="Z717" s="9">
        <v>0.0</v>
      </c>
      <c r="AA717" s="9">
        <v>0.0</v>
      </c>
      <c r="AB717" s="15"/>
      <c r="AC717" s="9">
        <v>0.3</v>
      </c>
      <c r="AD717" s="9" t="str">
        <f t="shared" si="1"/>
        <v>#REF!</v>
      </c>
    </row>
    <row r="718" hidden="1">
      <c r="A718" s="2" t="s">
        <v>1473</v>
      </c>
      <c r="B718" s="2" t="s">
        <v>997</v>
      </c>
      <c r="C718" s="2" t="s">
        <v>119</v>
      </c>
      <c r="D718" s="2" t="s">
        <v>64</v>
      </c>
      <c r="E718" s="7" t="b">
        <v>1</v>
      </c>
      <c r="F718" s="9">
        <v>67.0</v>
      </c>
      <c r="G718" s="9">
        <v>15.91586462960704</v>
      </c>
      <c r="H718" s="9">
        <v>0.0011468250746268</v>
      </c>
      <c r="I718" s="7" t="b">
        <v>1</v>
      </c>
      <c r="J718" s="9">
        <v>0.0</v>
      </c>
      <c r="K718" s="7" t="b">
        <v>0</v>
      </c>
      <c r="L718" s="9">
        <v>23.0</v>
      </c>
      <c r="M718" s="9">
        <v>0.3433</v>
      </c>
      <c r="N718" s="2" t="s">
        <v>2016</v>
      </c>
      <c r="O718" s="2" t="s">
        <v>1462</v>
      </c>
      <c r="P718" s="9">
        <v>68.26</v>
      </c>
      <c r="Q718" s="9">
        <v>60.0</v>
      </c>
      <c r="R718" s="9">
        <v>0.0</v>
      </c>
      <c r="S718" s="9">
        <v>0.387</v>
      </c>
      <c r="T718" s="9">
        <v>1.0002</v>
      </c>
      <c r="U718" s="2" t="s">
        <v>1151</v>
      </c>
      <c r="V718" s="15"/>
      <c r="W718" s="2" t="s">
        <v>1657</v>
      </c>
      <c r="X718" s="2" t="s">
        <v>182</v>
      </c>
      <c r="Y718" s="2" t="s">
        <v>1491</v>
      </c>
      <c r="Z718" s="9">
        <v>0.3014</v>
      </c>
      <c r="AA718" s="9">
        <v>0.387</v>
      </c>
      <c r="AB718" s="15"/>
      <c r="AC718" s="9">
        <v>0.1592</v>
      </c>
      <c r="AD718" s="9" t="str">
        <f t="shared" si="1"/>
        <v>#REF!</v>
      </c>
    </row>
    <row r="719" hidden="1">
      <c r="A719" s="2" t="s">
        <v>1481</v>
      </c>
      <c r="B719" s="2" t="s">
        <v>441</v>
      </c>
      <c r="C719" s="2" t="s">
        <v>119</v>
      </c>
      <c r="D719" s="2" t="s">
        <v>64</v>
      </c>
      <c r="E719" s="7" t="b">
        <v>1</v>
      </c>
      <c r="F719" s="9">
        <v>200.0</v>
      </c>
      <c r="G719" s="9">
        <v>4.245991297552388</v>
      </c>
      <c r="H719" s="9">
        <v>0.00126776</v>
      </c>
      <c r="I719" s="7" t="b">
        <v>1</v>
      </c>
      <c r="J719" s="9">
        <v>0.0</v>
      </c>
      <c r="K719" s="7" t="b">
        <v>0</v>
      </c>
      <c r="L719" s="9">
        <v>62.0</v>
      </c>
      <c r="M719" s="9">
        <v>0.31</v>
      </c>
      <c r="N719" s="2" t="s">
        <v>2024</v>
      </c>
      <c r="O719" s="2" t="s">
        <v>1552</v>
      </c>
      <c r="P719" s="9">
        <v>47.44</v>
      </c>
      <c r="Q719" s="9">
        <v>44.0</v>
      </c>
      <c r="R719" s="9">
        <v>0.0</v>
      </c>
      <c r="S719" s="9">
        <v>0.4298</v>
      </c>
      <c r="T719" s="9">
        <v>0.7341</v>
      </c>
      <c r="U719" s="2" t="s">
        <v>3095</v>
      </c>
      <c r="V719" s="9">
        <v>0.3</v>
      </c>
      <c r="W719" s="2" t="s">
        <v>198</v>
      </c>
      <c r="X719" s="2" t="s">
        <v>4183</v>
      </c>
      <c r="Y719" s="2" t="s">
        <v>1788</v>
      </c>
      <c r="Z719" s="9">
        <v>0.3516</v>
      </c>
      <c r="AA719" s="9">
        <v>0.4298</v>
      </c>
      <c r="AB719" s="9">
        <v>0.3</v>
      </c>
      <c r="AC719" s="9">
        <v>0.137</v>
      </c>
      <c r="AD719" s="9" t="str">
        <f t="shared" si="1"/>
        <v>#REF!</v>
      </c>
    </row>
    <row r="720" hidden="1">
      <c r="A720" s="2" t="s">
        <v>1481</v>
      </c>
      <c r="B720" s="2" t="s">
        <v>997</v>
      </c>
      <c r="C720" s="2" t="s">
        <v>119</v>
      </c>
      <c r="D720" s="2" t="s">
        <v>64</v>
      </c>
      <c r="E720" s="7" t="b">
        <v>1</v>
      </c>
      <c r="F720" s="9">
        <v>14625.0</v>
      </c>
      <c r="G720" s="9">
        <v>36.68373849157428</v>
      </c>
      <c r="H720" s="9">
        <v>0.990156806153846</v>
      </c>
      <c r="I720" s="7" t="b">
        <v>1</v>
      </c>
      <c r="J720" s="9">
        <v>0.0</v>
      </c>
      <c r="K720" s="7" t="b">
        <v>0</v>
      </c>
      <c r="L720" s="9">
        <v>8400.0</v>
      </c>
      <c r="M720" s="9">
        <v>0.5744</v>
      </c>
      <c r="N720" s="2" t="s">
        <v>4536</v>
      </c>
      <c r="O720" s="2" t="s">
        <v>4537</v>
      </c>
      <c r="P720" s="9">
        <v>82.64</v>
      </c>
      <c r="Q720" s="9">
        <v>74.5</v>
      </c>
      <c r="R720" s="9">
        <v>0.030588</v>
      </c>
      <c r="S720" s="9">
        <v>0.9365</v>
      </c>
      <c r="T720" s="9">
        <v>0.921</v>
      </c>
      <c r="U720" s="2" t="s">
        <v>553</v>
      </c>
      <c r="V720" s="9">
        <v>0.7014</v>
      </c>
      <c r="W720" s="2" t="s">
        <v>82</v>
      </c>
      <c r="X720" s="2" t="s">
        <v>99</v>
      </c>
      <c r="Y720" s="2" t="s">
        <v>1515</v>
      </c>
      <c r="Z720" s="9">
        <v>0.8383</v>
      </c>
      <c r="AA720" s="9">
        <v>0.9365</v>
      </c>
      <c r="AB720" s="9">
        <v>0.7014</v>
      </c>
      <c r="AC720" s="9">
        <v>0.6968</v>
      </c>
      <c r="AD720" s="9" t="str">
        <f t="shared" si="1"/>
        <v>#REF!</v>
      </c>
    </row>
    <row r="721" hidden="1">
      <c r="A721" s="2" t="s">
        <v>2052</v>
      </c>
      <c r="B721" s="2" t="s">
        <v>997</v>
      </c>
      <c r="C721" s="2" t="s">
        <v>1439</v>
      </c>
      <c r="D721" s="2" t="s">
        <v>64</v>
      </c>
      <c r="E721" s="7" t="b">
        <v>1</v>
      </c>
      <c r="F721" s="9">
        <v>251.0</v>
      </c>
      <c r="G721" s="9">
        <v>34.84191589844185</v>
      </c>
      <c r="H721" s="9">
        <v>0.0204891382470119</v>
      </c>
      <c r="I721" s="7" t="b">
        <v>1</v>
      </c>
      <c r="J721" s="9">
        <v>0.0</v>
      </c>
      <c r="K721" s="7" t="b">
        <v>0</v>
      </c>
      <c r="L721" s="9">
        <v>152.0</v>
      </c>
      <c r="M721" s="9">
        <v>0.6056</v>
      </c>
      <c r="N721" s="2" t="s">
        <v>3626</v>
      </c>
      <c r="O721" s="2" t="s">
        <v>2827</v>
      </c>
      <c r="P721" s="9">
        <v>82.31</v>
      </c>
      <c r="Q721" s="9">
        <v>94.0</v>
      </c>
      <c r="R721" s="9">
        <v>0.0</v>
      </c>
      <c r="S721" s="9">
        <v>0.614</v>
      </c>
      <c r="T721" s="9">
        <v>1.0019</v>
      </c>
      <c r="U721" s="2" t="s">
        <v>1553</v>
      </c>
      <c r="V721" s="9">
        <v>0.4193</v>
      </c>
      <c r="W721" s="2" t="s">
        <v>157</v>
      </c>
      <c r="X721" s="2" t="s">
        <v>517</v>
      </c>
      <c r="Y721" s="2" t="s">
        <v>1375</v>
      </c>
      <c r="Z721" s="9">
        <v>0.482</v>
      </c>
      <c r="AA721" s="9">
        <v>0.614</v>
      </c>
      <c r="AB721" s="9">
        <v>0.4193</v>
      </c>
      <c r="AC721" s="9">
        <v>0.6701</v>
      </c>
      <c r="AD721" s="9" t="str">
        <f t="shared" si="1"/>
        <v>#REF!</v>
      </c>
    </row>
    <row r="722" hidden="1">
      <c r="A722" s="2" t="s">
        <v>2195</v>
      </c>
      <c r="B722" s="2" t="s">
        <v>70</v>
      </c>
      <c r="C722" s="2" t="s">
        <v>1439</v>
      </c>
      <c r="D722" s="2" t="s">
        <v>64</v>
      </c>
      <c r="E722" s="7" t="b">
        <v>1</v>
      </c>
      <c r="F722" s="9">
        <v>75.0</v>
      </c>
      <c r="G722" s="9">
        <v>8.300374403600562</v>
      </c>
      <c r="H722" s="9">
        <v>0.001490312</v>
      </c>
      <c r="I722" s="7" t="b">
        <v>1</v>
      </c>
      <c r="J722" s="9">
        <v>0.0</v>
      </c>
      <c r="K722" s="7" t="b">
        <v>0</v>
      </c>
      <c r="L722" s="9">
        <v>177.0</v>
      </c>
      <c r="M722" s="9">
        <v>2.36</v>
      </c>
      <c r="N722" s="2" t="s">
        <v>1475</v>
      </c>
      <c r="O722" s="2" t="s">
        <v>2284</v>
      </c>
      <c r="P722" s="9">
        <v>60.86</v>
      </c>
      <c r="Q722" s="9">
        <v>52.0</v>
      </c>
      <c r="R722" s="9">
        <v>0.066667</v>
      </c>
      <c r="S722" s="9">
        <v>0.5182</v>
      </c>
      <c r="T722" s="9">
        <v>0.8611</v>
      </c>
      <c r="U722" s="2" t="s">
        <v>2801</v>
      </c>
      <c r="V722" s="9">
        <v>0.8538</v>
      </c>
      <c r="W722" s="2" t="s">
        <v>198</v>
      </c>
      <c r="X722" s="2" t="s">
        <v>495</v>
      </c>
      <c r="Y722" s="2" t="s">
        <v>1980</v>
      </c>
      <c r="Z722" s="9">
        <v>0.4302</v>
      </c>
      <c r="AA722" s="9">
        <v>0.5182</v>
      </c>
      <c r="AB722" s="9">
        <v>0.8538</v>
      </c>
      <c r="AC722" s="9">
        <v>0.1689</v>
      </c>
      <c r="AD722" s="9" t="str">
        <f t="shared" si="1"/>
        <v>#REF!</v>
      </c>
    </row>
    <row r="723" hidden="1">
      <c r="A723" s="2" t="s">
        <v>2195</v>
      </c>
      <c r="B723" s="2" t="s">
        <v>503</v>
      </c>
      <c r="C723" s="2" t="s">
        <v>1439</v>
      </c>
      <c r="D723" s="2" t="s">
        <v>64</v>
      </c>
      <c r="E723" s="7" t="b">
        <v>1</v>
      </c>
      <c r="F723" s="9">
        <v>373.0</v>
      </c>
      <c r="G723" s="9">
        <v>9.588105851308056</v>
      </c>
      <c r="H723" s="9">
        <v>0.0030425302949061</v>
      </c>
      <c r="I723" s="7" t="b">
        <v>1</v>
      </c>
      <c r="J723" s="9">
        <v>0.0</v>
      </c>
      <c r="K723" s="7" t="b">
        <v>0</v>
      </c>
      <c r="L723" s="9">
        <v>273.0</v>
      </c>
      <c r="M723" s="9">
        <v>0.7319</v>
      </c>
      <c r="N723" s="2" t="s">
        <v>3626</v>
      </c>
      <c r="O723" s="2" t="s">
        <v>231</v>
      </c>
      <c r="P723" s="9">
        <v>62.87</v>
      </c>
      <c r="Q723" s="9">
        <v>57.0</v>
      </c>
      <c r="R723" s="9">
        <v>0.053571</v>
      </c>
      <c r="S723" s="9">
        <v>0.5828</v>
      </c>
      <c r="T723" s="9">
        <v>0.8828</v>
      </c>
      <c r="U723" s="2" t="s">
        <v>3190</v>
      </c>
      <c r="V723" s="9">
        <v>0.8208</v>
      </c>
      <c r="W723" s="2" t="s">
        <v>134</v>
      </c>
      <c r="X723" s="2" t="s">
        <v>495</v>
      </c>
      <c r="Y723" s="2" t="s">
        <v>1980</v>
      </c>
      <c r="Z723" s="9">
        <v>0.4814</v>
      </c>
      <c r="AA723" s="9">
        <v>0.5828</v>
      </c>
      <c r="AB723" s="9">
        <v>0.8208</v>
      </c>
      <c r="AC723" s="9">
        <v>0.212</v>
      </c>
      <c r="AD723" s="9" t="str">
        <f t="shared" si="1"/>
        <v>#REF!</v>
      </c>
    </row>
    <row r="724" hidden="1">
      <c r="A724" s="2" t="s">
        <v>2195</v>
      </c>
      <c r="B724" s="2" t="s">
        <v>1093</v>
      </c>
      <c r="C724" s="2" t="s">
        <v>1439</v>
      </c>
      <c r="D724" s="2" t="s">
        <v>64</v>
      </c>
      <c r="E724" s="7" t="b">
        <v>1</v>
      </c>
      <c r="F724" s="9">
        <v>76.0</v>
      </c>
      <c r="G724" s="9">
        <v>10.76173522552362</v>
      </c>
      <c r="H724" s="9">
        <v>0.0108176315789473</v>
      </c>
      <c r="I724" s="7" t="b">
        <v>1</v>
      </c>
      <c r="J724" s="9">
        <v>0.0</v>
      </c>
      <c r="K724" s="7" t="b">
        <v>0</v>
      </c>
      <c r="L724" s="9">
        <v>560.0</v>
      </c>
      <c r="M724" s="9">
        <v>7.3684</v>
      </c>
      <c r="N724" s="2" t="s">
        <v>4538</v>
      </c>
      <c r="O724" s="2" t="s">
        <v>532</v>
      </c>
      <c r="P724" s="9">
        <v>55.52</v>
      </c>
      <c r="Q724" s="9">
        <v>50.0</v>
      </c>
      <c r="R724" s="9">
        <v>0.02</v>
      </c>
      <c r="S724" s="9">
        <v>0.2154</v>
      </c>
      <c r="T724" s="9">
        <v>0.1579</v>
      </c>
      <c r="U724" s="2" t="s">
        <v>4447</v>
      </c>
      <c r="V724" s="9">
        <v>0.8239</v>
      </c>
      <c r="W724" s="2" t="s">
        <v>82</v>
      </c>
      <c r="X724" s="2" t="s">
        <v>495</v>
      </c>
      <c r="Y724" s="2" t="s">
        <v>1479</v>
      </c>
      <c r="Z724" s="9">
        <v>0.1384</v>
      </c>
      <c r="AA724" s="9">
        <v>0.2154</v>
      </c>
      <c r="AB724" s="9">
        <v>0.8239</v>
      </c>
      <c r="AC724" s="9">
        <v>0.1659</v>
      </c>
      <c r="AD724" s="9" t="str">
        <f t="shared" si="1"/>
        <v>#REF!</v>
      </c>
    </row>
    <row r="725" hidden="1">
      <c r="A725" s="2" t="s">
        <v>2192</v>
      </c>
      <c r="B725" s="2" t="s">
        <v>503</v>
      </c>
      <c r="C725" s="2" t="s">
        <v>1439</v>
      </c>
      <c r="D725" s="2" t="s">
        <v>64</v>
      </c>
      <c r="E725" s="7" t="b">
        <v>1</v>
      </c>
      <c r="F725" s="9">
        <v>303.0</v>
      </c>
      <c r="G725" s="9">
        <v>10.03259575749802</v>
      </c>
      <c r="H725" s="9">
        <v>0.0027073504950495</v>
      </c>
      <c r="I725" s="7" t="b">
        <v>1</v>
      </c>
      <c r="J725" s="9">
        <v>0.0</v>
      </c>
      <c r="K725" s="7" t="b">
        <v>0</v>
      </c>
      <c r="L725" s="9">
        <v>289.0</v>
      </c>
      <c r="M725" s="9">
        <v>0.9538</v>
      </c>
      <c r="N725" s="2" t="s">
        <v>2782</v>
      </c>
      <c r="O725" s="2" t="s">
        <v>310</v>
      </c>
      <c r="P725" s="9">
        <v>55.31</v>
      </c>
      <c r="Q725" s="9">
        <v>45.0</v>
      </c>
      <c r="R725" s="9">
        <v>0.037736</v>
      </c>
      <c r="S725" s="9">
        <v>0.5546</v>
      </c>
      <c r="T725" s="9">
        <v>0.8038</v>
      </c>
      <c r="U725" s="2" t="s">
        <v>4539</v>
      </c>
      <c r="V725" s="9">
        <v>0.8538</v>
      </c>
      <c r="W725" s="2" t="s">
        <v>157</v>
      </c>
      <c r="X725" s="2" t="s">
        <v>495</v>
      </c>
      <c r="Y725" s="2" t="s">
        <v>1980</v>
      </c>
      <c r="Z725" s="9">
        <v>0.4575</v>
      </c>
      <c r="AA725" s="9">
        <v>0.5546</v>
      </c>
      <c r="AB725" s="9">
        <v>0.8538</v>
      </c>
      <c r="AC725" s="9">
        <v>0.1827</v>
      </c>
      <c r="AD725" s="9" t="str">
        <f t="shared" si="1"/>
        <v>#REF!</v>
      </c>
    </row>
    <row r="726" hidden="1">
      <c r="A726" s="2" t="s">
        <v>2192</v>
      </c>
      <c r="B726" s="2" t="s">
        <v>534</v>
      </c>
      <c r="C726" s="2" t="s">
        <v>1439</v>
      </c>
      <c r="D726" s="2" t="s">
        <v>64</v>
      </c>
      <c r="E726" s="7" t="b">
        <v>1</v>
      </c>
      <c r="F726" s="9">
        <v>223.0</v>
      </c>
      <c r="G726" s="9">
        <v>26.89464264329431</v>
      </c>
      <c r="H726" s="9">
        <v>0.0109143838565022</v>
      </c>
      <c r="I726" s="7" t="b">
        <v>1</v>
      </c>
      <c r="J726" s="9">
        <v>0.0</v>
      </c>
      <c r="K726" s="7" t="b">
        <v>0</v>
      </c>
      <c r="L726" s="9">
        <v>124.0</v>
      </c>
      <c r="M726" s="9">
        <v>0.5561</v>
      </c>
      <c r="N726" s="2" t="s">
        <v>2782</v>
      </c>
      <c r="O726" s="2" t="s">
        <v>2655</v>
      </c>
      <c r="P726" s="9">
        <v>80.23</v>
      </c>
      <c r="Q726" s="9">
        <v>92.5</v>
      </c>
      <c r="R726" s="9">
        <v>0.0</v>
      </c>
      <c r="S726" s="9">
        <v>0.6039</v>
      </c>
      <c r="T726" s="9">
        <v>1.0018</v>
      </c>
      <c r="U726" s="2" t="s">
        <v>1693</v>
      </c>
      <c r="V726" s="9">
        <v>0.0</v>
      </c>
      <c r="W726" s="2" t="s">
        <v>134</v>
      </c>
      <c r="X726" s="2" t="s">
        <v>517</v>
      </c>
      <c r="Y726" s="2" t="s">
        <v>1744</v>
      </c>
      <c r="Z726" s="9">
        <v>0.4704</v>
      </c>
      <c r="AA726" s="9">
        <v>0.6039</v>
      </c>
      <c r="AB726" s="9">
        <v>0.0</v>
      </c>
      <c r="AC726" s="9">
        <v>0.671</v>
      </c>
      <c r="AD726" s="9" t="str">
        <f t="shared" si="1"/>
        <v>#REF!</v>
      </c>
    </row>
    <row r="727" hidden="1">
      <c r="A727" s="2" t="s">
        <v>2192</v>
      </c>
      <c r="B727" s="2" t="s">
        <v>1093</v>
      </c>
      <c r="C727" s="2" t="s">
        <v>1439</v>
      </c>
      <c r="D727" s="2" t="s">
        <v>64</v>
      </c>
      <c r="E727" s="7" t="b">
        <v>1</v>
      </c>
      <c r="F727" s="9">
        <v>65.0</v>
      </c>
      <c r="G727" s="9">
        <v>8.194678885486233</v>
      </c>
      <c r="H727" s="9">
        <v>0.0053802553846153</v>
      </c>
      <c r="I727" s="7" t="b">
        <v>1</v>
      </c>
      <c r="J727" s="9">
        <v>0.0</v>
      </c>
      <c r="K727" s="7" t="b">
        <v>0</v>
      </c>
      <c r="L727" s="9">
        <v>772.0</v>
      </c>
      <c r="M727" s="9">
        <v>11.8769</v>
      </c>
      <c r="N727" s="2" t="s">
        <v>4540</v>
      </c>
      <c r="O727" s="2" t="s">
        <v>1690</v>
      </c>
      <c r="P727" s="9">
        <v>53.92</v>
      </c>
      <c r="Q727" s="9">
        <v>47.0</v>
      </c>
      <c r="R727" s="9">
        <v>0.00495</v>
      </c>
      <c r="S727" s="9">
        <v>0.3372</v>
      </c>
      <c r="T727" s="9">
        <v>0.1456</v>
      </c>
      <c r="U727" s="2" t="s">
        <v>2193</v>
      </c>
      <c r="V727" s="9">
        <v>0.7427</v>
      </c>
      <c r="W727" s="2" t="s">
        <v>82</v>
      </c>
      <c r="X727" s="2" t="s">
        <v>517</v>
      </c>
      <c r="Y727" s="2" t="s">
        <v>3198</v>
      </c>
      <c r="Z727" s="9">
        <v>0.2166</v>
      </c>
      <c r="AA727" s="9">
        <v>0.3372</v>
      </c>
      <c r="AB727" s="9">
        <v>0.7427</v>
      </c>
      <c r="AC727" s="9">
        <v>0.182</v>
      </c>
      <c r="AD727" s="9" t="str">
        <f t="shared" si="1"/>
        <v>#REF!</v>
      </c>
    </row>
    <row r="728" hidden="1">
      <c r="A728" s="2" t="s">
        <v>2281</v>
      </c>
      <c r="B728" s="2" t="s">
        <v>87</v>
      </c>
      <c r="C728" s="2" t="s">
        <v>1316</v>
      </c>
      <c r="D728" s="2" t="s">
        <v>64</v>
      </c>
      <c r="E728" s="7" t="b">
        <v>1</v>
      </c>
      <c r="F728" s="9">
        <v>2.0</v>
      </c>
      <c r="G728" s="9">
        <v>15.01963506332607</v>
      </c>
      <c r="H728" s="9">
        <v>0.004155</v>
      </c>
      <c r="I728" s="7" t="b">
        <v>1</v>
      </c>
      <c r="J728" s="9">
        <v>0.0</v>
      </c>
      <c r="K728" s="7" t="b">
        <v>0</v>
      </c>
      <c r="L728" s="9">
        <v>1.0</v>
      </c>
      <c r="M728" s="9">
        <v>0.5</v>
      </c>
      <c r="N728" s="2" t="s">
        <v>2619</v>
      </c>
      <c r="O728" s="2" t="s">
        <v>1552</v>
      </c>
      <c r="P728" s="9">
        <v>108.0</v>
      </c>
      <c r="Q728" s="9">
        <v>108.0</v>
      </c>
      <c r="R728" s="9">
        <v>0.0</v>
      </c>
      <c r="S728" s="9">
        <v>0.0</v>
      </c>
      <c r="T728" s="9">
        <v>1.0003</v>
      </c>
      <c r="U728" s="2" t="s">
        <v>4541</v>
      </c>
      <c r="V728" s="15"/>
      <c r="W728" s="2" t="s">
        <v>82</v>
      </c>
      <c r="X728" s="2" t="s">
        <v>1621</v>
      </c>
      <c r="Y728" s="2" t="s">
        <v>1622</v>
      </c>
      <c r="Z728" s="9">
        <v>0.0</v>
      </c>
      <c r="AA728" s="9">
        <v>0.0</v>
      </c>
      <c r="AB728" s="15"/>
      <c r="AC728" s="9">
        <v>0.55</v>
      </c>
      <c r="AD728" s="9" t="str">
        <f t="shared" si="1"/>
        <v>#REF!</v>
      </c>
    </row>
    <row r="729" hidden="1">
      <c r="A729" s="2" t="s">
        <v>2188</v>
      </c>
      <c r="B729" s="2" t="s">
        <v>70</v>
      </c>
      <c r="C729" s="2" t="s">
        <v>1439</v>
      </c>
      <c r="D729" s="2" t="s">
        <v>64</v>
      </c>
      <c r="E729" s="7" t="b">
        <v>1</v>
      </c>
      <c r="F729" s="9">
        <v>99.0</v>
      </c>
      <c r="G729" s="9">
        <v>7.947913448701197</v>
      </c>
      <c r="H729" s="9">
        <v>0.0018030363636363</v>
      </c>
      <c r="I729" s="7" t="b">
        <v>1</v>
      </c>
      <c r="J729" s="9">
        <v>0.0</v>
      </c>
      <c r="K729" s="7" t="b">
        <v>0</v>
      </c>
      <c r="L729" s="9">
        <v>118.0</v>
      </c>
      <c r="M729" s="9">
        <v>1.1919</v>
      </c>
      <c r="N729" s="2" t="s">
        <v>2958</v>
      </c>
      <c r="O729" s="2" t="s">
        <v>2172</v>
      </c>
      <c r="P729" s="9">
        <v>73.42</v>
      </c>
      <c r="Q729" s="9">
        <v>73.0</v>
      </c>
      <c r="R729" s="9">
        <v>0.0</v>
      </c>
      <c r="S729" s="9">
        <v>0.485</v>
      </c>
      <c r="T729" s="9">
        <v>0.8873</v>
      </c>
      <c r="U729" s="2" t="s">
        <v>4149</v>
      </c>
      <c r="V729" s="9">
        <v>0.4193</v>
      </c>
      <c r="W729" s="2" t="s">
        <v>1124</v>
      </c>
      <c r="X729" s="2" t="s">
        <v>1466</v>
      </c>
      <c r="Y729" s="2" t="s">
        <v>1456</v>
      </c>
      <c r="Z729" s="9">
        <v>0.4078</v>
      </c>
      <c r="AA729" s="9">
        <v>0.485</v>
      </c>
      <c r="AB729" s="9">
        <v>0.4193</v>
      </c>
      <c r="AC729" s="9">
        <v>0.1353</v>
      </c>
      <c r="AD729" s="9" t="str">
        <f t="shared" si="1"/>
        <v>#REF!</v>
      </c>
    </row>
    <row r="730" hidden="1">
      <c r="A730" s="2" t="s">
        <v>2188</v>
      </c>
      <c r="B730" s="2" t="s">
        <v>474</v>
      </c>
      <c r="C730" s="2" t="s">
        <v>1439</v>
      </c>
      <c r="D730" s="2" t="s">
        <v>64</v>
      </c>
      <c r="E730" s="7" t="b">
        <v>1</v>
      </c>
      <c r="F730" s="9">
        <v>26.0</v>
      </c>
      <c r="G730" s="9">
        <v>5.543794635940817</v>
      </c>
      <c r="H730" s="9">
        <v>0.0011287384615384</v>
      </c>
      <c r="I730" s="7" t="b">
        <v>1</v>
      </c>
      <c r="J730" s="9">
        <v>0.0</v>
      </c>
      <c r="K730" s="7" t="b">
        <v>0</v>
      </c>
      <c r="L730" s="9">
        <v>114.0</v>
      </c>
      <c r="M730" s="9">
        <v>4.3846</v>
      </c>
      <c r="N730" s="2" t="s">
        <v>1450</v>
      </c>
      <c r="O730" s="2" t="s">
        <v>1890</v>
      </c>
      <c r="P730" s="9">
        <v>73.19</v>
      </c>
      <c r="Q730" s="9">
        <v>71.5</v>
      </c>
      <c r="R730" s="9">
        <v>0.0</v>
      </c>
      <c r="S730" s="9">
        <v>0.4817</v>
      </c>
      <c r="T730" s="9">
        <v>0.8829</v>
      </c>
      <c r="U730" s="2" t="s">
        <v>4429</v>
      </c>
      <c r="V730" s="9">
        <v>0.4193</v>
      </c>
      <c r="W730" s="2" t="s">
        <v>1821</v>
      </c>
      <c r="X730" s="2" t="s">
        <v>1466</v>
      </c>
      <c r="Y730" s="2" t="s">
        <v>4542</v>
      </c>
      <c r="Z730" s="9">
        <v>0.4038</v>
      </c>
      <c r="AA730" s="9">
        <v>0.4817</v>
      </c>
      <c r="AB730" s="9">
        <v>0.4193</v>
      </c>
      <c r="AC730" s="9">
        <v>0.1367</v>
      </c>
      <c r="AD730" s="9" t="str">
        <f t="shared" si="1"/>
        <v>#REF!</v>
      </c>
    </row>
    <row r="731" hidden="1">
      <c r="A731" s="2" t="s">
        <v>2188</v>
      </c>
      <c r="B731" s="2" t="s">
        <v>503</v>
      </c>
      <c r="C731" s="2" t="s">
        <v>1439</v>
      </c>
      <c r="D731" s="2" t="s">
        <v>64</v>
      </c>
      <c r="E731" s="7" t="b">
        <v>1</v>
      </c>
      <c r="F731" s="9">
        <v>354.0</v>
      </c>
      <c r="G731" s="9">
        <v>10.85364321433043</v>
      </c>
      <c r="H731" s="9">
        <v>0.0036994644067796</v>
      </c>
      <c r="I731" s="7" t="b">
        <v>1</v>
      </c>
      <c r="J731" s="9">
        <v>0.0</v>
      </c>
      <c r="K731" s="7" t="b">
        <v>0</v>
      </c>
      <c r="L731" s="9">
        <v>216.0</v>
      </c>
      <c r="M731" s="9">
        <v>0.6102</v>
      </c>
      <c r="N731" s="2" t="s">
        <v>2782</v>
      </c>
      <c r="O731" s="2" t="s">
        <v>1725</v>
      </c>
      <c r="P731" s="9">
        <v>74.51</v>
      </c>
      <c r="Q731" s="9">
        <v>77.5</v>
      </c>
      <c r="R731" s="9">
        <v>0.0</v>
      </c>
      <c r="S731" s="9">
        <v>0.5705</v>
      </c>
      <c r="T731" s="9">
        <v>0.9209</v>
      </c>
      <c r="U731" s="2" t="s">
        <v>2398</v>
      </c>
      <c r="V731" s="9">
        <v>0.45</v>
      </c>
      <c r="W731" s="2" t="s">
        <v>134</v>
      </c>
      <c r="X731" s="2" t="s">
        <v>1466</v>
      </c>
      <c r="Y731" s="2" t="s">
        <v>1456</v>
      </c>
      <c r="Z731" s="9">
        <v>0.4734</v>
      </c>
      <c r="AA731" s="9">
        <v>0.5705</v>
      </c>
      <c r="AB731" s="9">
        <v>0.45</v>
      </c>
      <c r="AC731" s="9">
        <v>0.1183</v>
      </c>
      <c r="AD731" s="9" t="str">
        <f t="shared" si="1"/>
        <v>#REF!</v>
      </c>
    </row>
    <row r="732" hidden="1">
      <c r="A732" s="2" t="s">
        <v>2188</v>
      </c>
      <c r="B732" s="2" t="s">
        <v>534</v>
      </c>
      <c r="C732" s="2" t="s">
        <v>1439</v>
      </c>
      <c r="D732" s="2" t="s">
        <v>64</v>
      </c>
      <c r="E732" s="7" t="b">
        <v>1</v>
      </c>
      <c r="F732" s="9">
        <v>281.0</v>
      </c>
      <c r="G732" s="9">
        <v>22.8083086323366</v>
      </c>
      <c r="H732" s="9">
        <v>0.0098876241992882</v>
      </c>
      <c r="I732" s="7" t="b">
        <v>1</v>
      </c>
      <c r="J732" s="9">
        <v>0.0</v>
      </c>
      <c r="K732" s="7" t="b">
        <v>0</v>
      </c>
      <c r="L732" s="9">
        <v>115.0</v>
      </c>
      <c r="M732" s="9">
        <v>0.4093</v>
      </c>
      <c r="N732" s="2" t="s">
        <v>1724</v>
      </c>
      <c r="O732" s="2" t="s">
        <v>231</v>
      </c>
      <c r="P732" s="9">
        <v>81.27</v>
      </c>
      <c r="Q732" s="9">
        <v>88.0</v>
      </c>
      <c r="R732" s="9">
        <v>0.052632</v>
      </c>
      <c r="S732" s="9">
        <v>0.589</v>
      </c>
      <c r="T732" s="9">
        <v>0.991</v>
      </c>
      <c r="U732" s="2" t="s">
        <v>3808</v>
      </c>
      <c r="V732" s="9">
        <v>0.7847</v>
      </c>
      <c r="W732" s="2" t="s">
        <v>1193</v>
      </c>
      <c r="X732" s="2" t="s">
        <v>495</v>
      </c>
      <c r="Y732" s="2" t="s">
        <v>4462</v>
      </c>
      <c r="Z732" s="9">
        <v>0.4591</v>
      </c>
      <c r="AA732" s="9">
        <v>0.589</v>
      </c>
      <c r="AB732" s="9">
        <v>0.7847</v>
      </c>
      <c r="AC732" s="9">
        <v>0.7919</v>
      </c>
      <c r="AD732" s="9" t="str">
        <f t="shared" si="1"/>
        <v>#REF!</v>
      </c>
    </row>
    <row r="733" hidden="1">
      <c r="A733" s="2" t="s">
        <v>2188</v>
      </c>
      <c r="B733" s="2" t="s">
        <v>1047</v>
      </c>
      <c r="C733" s="2" t="s">
        <v>1439</v>
      </c>
      <c r="D733" s="2" t="s">
        <v>64</v>
      </c>
      <c r="E733" s="7" t="b">
        <v>1</v>
      </c>
      <c r="F733" s="9">
        <v>74.0</v>
      </c>
      <c r="G733" s="9">
        <v>3.290556836431664</v>
      </c>
      <c r="H733" s="9">
        <v>0.0014327148648648</v>
      </c>
      <c r="I733" s="7" t="b">
        <v>1</v>
      </c>
      <c r="J733" s="9">
        <v>0.0</v>
      </c>
      <c r="K733" s="7" t="b">
        <v>0</v>
      </c>
      <c r="L733" s="9">
        <v>1100.0</v>
      </c>
      <c r="M733" s="9">
        <v>14.8649</v>
      </c>
      <c r="N733" s="2" t="s">
        <v>4543</v>
      </c>
      <c r="O733" s="2" t="s">
        <v>4544</v>
      </c>
      <c r="P733" s="9">
        <v>48.59</v>
      </c>
      <c r="Q733" s="9">
        <v>43.0</v>
      </c>
      <c r="R733" s="9">
        <v>0.022581</v>
      </c>
      <c r="S733" s="9">
        <v>0.6524</v>
      </c>
      <c r="T733" s="9">
        <v>0.5172</v>
      </c>
      <c r="U733" s="2" t="s">
        <v>4425</v>
      </c>
      <c r="V733" s="9">
        <v>0.7625</v>
      </c>
      <c r="W733" s="2" t="s">
        <v>1771</v>
      </c>
      <c r="X733" s="2" t="s">
        <v>517</v>
      </c>
      <c r="Y733" s="2" t="s">
        <v>1593</v>
      </c>
      <c r="Z733" s="9">
        <v>0.5606</v>
      </c>
      <c r="AA733" s="9">
        <v>0.6524</v>
      </c>
      <c r="AB733" s="9">
        <v>0.7625</v>
      </c>
      <c r="AC733" s="9">
        <v>0.1534</v>
      </c>
      <c r="AD733" s="9" t="str">
        <f t="shared" si="1"/>
        <v>#REF!</v>
      </c>
    </row>
    <row r="734" hidden="1">
      <c r="A734" s="2" t="s">
        <v>2188</v>
      </c>
      <c r="B734" s="2" t="s">
        <v>1053</v>
      </c>
      <c r="C734" s="2" t="s">
        <v>1439</v>
      </c>
      <c r="D734" s="2" t="s">
        <v>64</v>
      </c>
      <c r="E734" s="7" t="b">
        <v>1</v>
      </c>
      <c r="F734" s="9">
        <v>61.0</v>
      </c>
      <c r="G734" s="9">
        <v>3.662146692905868</v>
      </c>
      <c r="H734" s="9">
        <v>0.001355913114754</v>
      </c>
      <c r="I734" s="7" t="b">
        <v>1</v>
      </c>
      <c r="J734" s="9">
        <v>0.0</v>
      </c>
      <c r="K734" s="7" t="b">
        <v>0</v>
      </c>
      <c r="L734" s="9">
        <v>1099.0</v>
      </c>
      <c r="M734" s="9">
        <v>18.0164</v>
      </c>
      <c r="N734" s="2" t="s">
        <v>4482</v>
      </c>
      <c r="O734" s="2" t="s">
        <v>2034</v>
      </c>
      <c r="P734" s="9">
        <v>48.17</v>
      </c>
      <c r="Q734" s="9">
        <v>43.0</v>
      </c>
      <c r="R734" s="9">
        <v>0.024768</v>
      </c>
      <c r="S734" s="9">
        <v>0.6563</v>
      </c>
      <c r="T734" s="9">
        <v>0.5458</v>
      </c>
      <c r="U734" s="2" t="s">
        <v>4425</v>
      </c>
      <c r="V734" s="9">
        <v>0.8541</v>
      </c>
      <c r="W734" s="2" t="s">
        <v>1600</v>
      </c>
      <c r="X734" s="2" t="s">
        <v>517</v>
      </c>
      <c r="Y734" s="2" t="s">
        <v>1593</v>
      </c>
      <c r="Z734" s="9">
        <v>0.5649</v>
      </c>
      <c r="AA734" s="9">
        <v>0.6563</v>
      </c>
      <c r="AB734" s="9">
        <v>0.8541</v>
      </c>
      <c r="AC734" s="9">
        <v>0.1468</v>
      </c>
      <c r="AD734" s="9" t="str">
        <f t="shared" si="1"/>
        <v>#REF!</v>
      </c>
    </row>
    <row r="735" hidden="1">
      <c r="A735" s="2" t="s">
        <v>2188</v>
      </c>
      <c r="B735" s="2" t="s">
        <v>1093</v>
      </c>
      <c r="C735" s="2" t="s">
        <v>1439</v>
      </c>
      <c r="D735" s="2" t="s">
        <v>64</v>
      </c>
      <c r="E735" s="7" t="b">
        <v>1</v>
      </c>
      <c r="F735" s="9">
        <v>78.0</v>
      </c>
      <c r="G735" s="9">
        <v>8.016378904145654</v>
      </c>
      <c r="H735" s="9">
        <v>0.0061716935897435</v>
      </c>
      <c r="I735" s="7" t="b">
        <v>1</v>
      </c>
      <c r="J735" s="9">
        <v>0.0</v>
      </c>
      <c r="K735" s="7" t="b">
        <v>0</v>
      </c>
      <c r="L735" s="9">
        <v>501.0</v>
      </c>
      <c r="M735" s="9">
        <v>6.4231</v>
      </c>
      <c r="N735" s="2" t="s">
        <v>4078</v>
      </c>
      <c r="O735" s="2" t="s">
        <v>2683</v>
      </c>
      <c r="P735" s="9">
        <v>62.68</v>
      </c>
      <c r="Q735" s="9">
        <v>59.0</v>
      </c>
      <c r="R735" s="9">
        <v>0.021277</v>
      </c>
      <c r="S735" s="9">
        <v>0.2672</v>
      </c>
      <c r="T735" s="9">
        <v>0.1815</v>
      </c>
      <c r="U735" s="2" t="s">
        <v>2809</v>
      </c>
      <c r="V735" s="9">
        <v>0.2923</v>
      </c>
      <c r="W735" s="2" t="s">
        <v>82</v>
      </c>
      <c r="X735" s="2" t="s">
        <v>517</v>
      </c>
      <c r="Y735" s="2" t="s">
        <v>1338</v>
      </c>
      <c r="Z735" s="9">
        <v>0.1717</v>
      </c>
      <c r="AA735" s="9">
        <v>0.2672</v>
      </c>
      <c r="AB735" s="9">
        <v>0.2923</v>
      </c>
      <c r="AC735" s="9">
        <v>0.1275</v>
      </c>
      <c r="AD735" s="9" t="str">
        <f t="shared" si="1"/>
        <v>#REF!</v>
      </c>
    </row>
    <row r="736" hidden="1">
      <c r="A736" s="2" t="s">
        <v>2287</v>
      </c>
      <c r="B736" s="2" t="s">
        <v>87</v>
      </c>
      <c r="C736" s="2" t="s">
        <v>1316</v>
      </c>
      <c r="D736" s="2" t="s">
        <v>64</v>
      </c>
      <c r="E736" s="7" t="b">
        <v>1</v>
      </c>
      <c r="F736" s="9">
        <v>4.0</v>
      </c>
      <c r="G736" s="9">
        <v>16.04471887357926</v>
      </c>
      <c r="H736" s="9">
        <v>0.009456</v>
      </c>
      <c r="I736" s="7" t="b">
        <v>1</v>
      </c>
      <c r="J736" s="9">
        <v>0.0</v>
      </c>
      <c r="K736" s="7" t="b">
        <v>0</v>
      </c>
      <c r="L736" s="9">
        <v>3.0</v>
      </c>
      <c r="M736" s="9">
        <v>0.75</v>
      </c>
      <c r="N736" s="2" t="s">
        <v>1628</v>
      </c>
      <c r="O736" s="2" t="s">
        <v>1462</v>
      </c>
      <c r="P736" s="9">
        <v>44.0</v>
      </c>
      <c r="Q736" s="9">
        <v>41.0</v>
      </c>
      <c r="R736" s="9">
        <v>0.0</v>
      </c>
      <c r="S736" s="9">
        <v>0.1218</v>
      </c>
      <c r="T736" s="9">
        <v>0.72</v>
      </c>
      <c r="U736" s="2" t="s">
        <v>1630</v>
      </c>
      <c r="V736" s="15"/>
      <c r="W736" s="2" t="s">
        <v>82</v>
      </c>
      <c r="X736" s="2" t="s">
        <v>1455</v>
      </c>
      <c r="Y736" s="2" t="s">
        <v>4545</v>
      </c>
      <c r="Z736" s="9">
        <v>0.0846</v>
      </c>
      <c r="AA736" s="9">
        <v>0.1218</v>
      </c>
      <c r="AB736" s="15"/>
      <c r="AC736" s="9">
        <v>0.0</v>
      </c>
      <c r="AD736" s="9" t="str">
        <f t="shared" si="1"/>
        <v>#REF!</v>
      </c>
    </row>
    <row r="737" hidden="1">
      <c r="A737" s="2" t="s">
        <v>2287</v>
      </c>
      <c r="B737" s="2" t="s">
        <v>1053</v>
      </c>
      <c r="C737" s="2" t="s">
        <v>1316</v>
      </c>
      <c r="D737" s="2" t="s">
        <v>64</v>
      </c>
      <c r="E737" s="7" t="b">
        <v>1</v>
      </c>
      <c r="F737" s="9">
        <v>104.0</v>
      </c>
      <c r="G737" s="9">
        <v>3.742155964225215</v>
      </c>
      <c r="H737" s="9">
        <v>0.0024074653846153</v>
      </c>
      <c r="I737" s="7" t="b">
        <v>1</v>
      </c>
      <c r="J737" s="9">
        <v>0.0</v>
      </c>
      <c r="K737" s="7" t="b">
        <v>0</v>
      </c>
      <c r="L737" s="9">
        <v>2058.0</v>
      </c>
      <c r="M737" s="9">
        <v>19.7885</v>
      </c>
      <c r="N737" s="2" t="s">
        <v>4546</v>
      </c>
      <c r="O737" s="2" t="s">
        <v>4418</v>
      </c>
      <c r="P737" s="9">
        <v>41.68</v>
      </c>
      <c r="Q737" s="9">
        <v>38.0</v>
      </c>
      <c r="R737" s="9">
        <v>0.010279</v>
      </c>
      <c r="S737" s="9">
        <v>0.6899</v>
      </c>
      <c r="T737" s="9">
        <v>0.5152</v>
      </c>
      <c r="U737" s="2" t="s">
        <v>2602</v>
      </c>
      <c r="V737" s="9">
        <v>0.8866</v>
      </c>
      <c r="W737" s="2" t="s">
        <v>1771</v>
      </c>
      <c r="X737" s="2" t="s">
        <v>517</v>
      </c>
      <c r="Y737" s="2" t="s">
        <v>1593</v>
      </c>
      <c r="Z737" s="9">
        <v>0.5977</v>
      </c>
      <c r="AA737" s="9">
        <v>0.6899</v>
      </c>
      <c r="AB737" s="9">
        <v>0.8866</v>
      </c>
      <c r="AC737" s="9">
        <v>0.1766</v>
      </c>
      <c r="AD737" s="9" t="str">
        <f t="shared" si="1"/>
        <v>#REF!</v>
      </c>
    </row>
    <row r="738" hidden="1">
      <c r="A738" s="2" t="s">
        <v>2184</v>
      </c>
      <c r="B738" s="2" t="s">
        <v>70</v>
      </c>
      <c r="C738" s="2" t="s">
        <v>1439</v>
      </c>
      <c r="D738" s="2" t="s">
        <v>64</v>
      </c>
      <c r="E738" s="7" t="b">
        <v>1</v>
      </c>
      <c r="F738" s="9">
        <v>230.0</v>
      </c>
      <c r="G738" s="9">
        <v>5.780021218341894</v>
      </c>
      <c r="H738" s="9">
        <v>0.0022120513043478</v>
      </c>
      <c r="I738" s="7" t="b">
        <v>1</v>
      </c>
      <c r="J738" s="9">
        <v>0.0</v>
      </c>
      <c r="K738" s="7" t="b">
        <v>0</v>
      </c>
      <c r="L738" s="9">
        <v>330.0</v>
      </c>
      <c r="M738" s="9">
        <v>1.4348</v>
      </c>
      <c r="N738" s="2" t="s">
        <v>414</v>
      </c>
      <c r="O738" s="2" t="s">
        <v>1545</v>
      </c>
      <c r="P738" s="9">
        <v>67.03</v>
      </c>
      <c r="Q738" s="9">
        <v>62.0</v>
      </c>
      <c r="R738" s="9">
        <v>0.037037</v>
      </c>
      <c r="S738" s="9">
        <v>0.5867</v>
      </c>
      <c r="T738" s="9">
        <v>0.8406</v>
      </c>
      <c r="U738" s="2" t="s">
        <v>3131</v>
      </c>
      <c r="V738" s="9">
        <v>0.8089</v>
      </c>
      <c r="W738" s="2" t="s">
        <v>181</v>
      </c>
      <c r="X738" s="2" t="s">
        <v>495</v>
      </c>
      <c r="Y738" s="2" t="s">
        <v>1980</v>
      </c>
      <c r="Z738" s="9">
        <v>0.4926</v>
      </c>
      <c r="AA738" s="9">
        <v>0.5867</v>
      </c>
      <c r="AB738" s="9">
        <v>0.8089</v>
      </c>
      <c r="AC738" s="9">
        <v>0.175</v>
      </c>
      <c r="AD738" s="9" t="str">
        <f t="shared" si="1"/>
        <v>#REF!</v>
      </c>
    </row>
    <row r="739" hidden="1">
      <c r="A739" s="2" t="s">
        <v>2184</v>
      </c>
      <c r="B739" s="2" t="s">
        <v>474</v>
      </c>
      <c r="C739" s="2" t="s">
        <v>1439</v>
      </c>
      <c r="D739" s="2" t="s">
        <v>64</v>
      </c>
      <c r="E739" s="7" t="b">
        <v>1</v>
      </c>
      <c r="F739" s="9">
        <v>67.0</v>
      </c>
      <c r="G739" s="9">
        <v>3.39320450151072</v>
      </c>
      <c r="H739" s="9">
        <v>0.0010885835820895</v>
      </c>
      <c r="I739" s="7" t="b">
        <v>1</v>
      </c>
      <c r="J739" s="9">
        <v>0.0</v>
      </c>
      <c r="K739" s="7" t="b">
        <v>0</v>
      </c>
      <c r="L739" s="9">
        <v>318.0</v>
      </c>
      <c r="M739" s="9">
        <v>4.7463</v>
      </c>
      <c r="N739" s="2" t="s">
        <v>2002</v>
      </c>
      <c r="O739" s="2" t="s">
        <v>1690</v>
      </c>
      <c r="P739" s="9">
        <v>66.98</v>
      </c>
      <c r="Q739" s="9">
        <v>62.0</v>
      </c>
      <c r="R739" s="9">
        <v>0.040541</v>
      </c>
      <c r="S739" s="9">
        <v>0.5834</v>
      </c>
      <c r="T739" s="9">
        <v>0.842</v>
      </c>
      <c r="U739" s="2" t="s">
        <v>3131</v>
      </c>
      <c r="V739" s="9">
        <v>0.8089</v>
      </c>
      <c r="W739" s="2" t="s">
        <v>1821</v>
      </c>
      <c r="X739" s="2" t="s">
        <v>495</v>
      </c>
      <c r="Y739" s="2" t="s">
        <v>4547</v>
      </c>
      <c r="Z739" s="9">
        <v>0.4921</v>
      </c>
      <c r="AA739" s="9">
        <v>0.5834</v>
      </c>
      <c r="AB739" s="9">
        <v>0.8089</v>
      </c>
      <c r="AC739" s="9">
        <v>0.1753</v>
      </c>
      <c r="AD739" s="9" t="str">
        <f t="shared" si="1"/>
        <v>#REF!</v>
      </c>
    </row>
    <row r="740" hidden="1">
      <c r="A740" s="2" t="s">
        <v>2184</v>
      </c>
      <c r="B740" s="2" t="s">
        <v>503</v>
      </c>
      <c r="C740" s="2" t="s">
        <v>1439</v>
      </c>
      <c r="D740" s="2" t="s">
        <v>64</v>
      </c>
      <c r="E740" s="7" t="b">
        <v>1</v>
      </c>
      <c r="F740" s="9">
        <v>1282.0</v>
      </c>
      <c r="G740" s="9">
        <v>5.668561160031179</v>
      </c>
      <c r="H740" s="9">
        <v>0.0036439750390015</v>
      </c>
      <c r="I740" s="7" t="b">
        <v>1</v>
      </c>
      <c r="J740" s="9">
        <v>0.0</v>
      </c>
      <c r="K740" s="7" t="b">
        <v>0</v>
      </c>
      <c r="L740" s="9">
        <v>493.0</v>
      </c>
      <c r="M740" s="9">
        <v>0.3846</v>
      </c>
      <c r="N740" s="2" t="s">
        <v>2113</v>
      </c>
      <c r="O740" s="2" t="s">
        <v>4548</v>
      </c>
      <c r="P740" s="9">
        <v>68.37</v>
      </c>
      <c r="Q740" s="9">
        <v>65.0</v>
      </c>
      <c r="R740" s="9">
        <v>0.047244</v>
      </c>
      <c r="S740" s="9">
        <v>0.6441</v>
      </c>
      <c r="T740" s="9">
        <v>0.8417</v>
      </c>
      <c r="U740" s="2" t="s">
        <v>2751</v>
      </c>
      <c r="V740" s="9">
        <v>0.78</v>
      </c>
      <c r="W740" s="2" t="s">
        <v>157</v>
      </c>
      <c r="X740" s="2" t="s">
        <v>517</v>
      </c>
      <c r="Y740" s="2" t="s">
        <v>2159</v>
      </c>
      <c r="Z740" s="9">
        <v>0.5332</v>
      </c>
      <c r="AA740" s="9">
        <v>0.6441</v>
      </c>
      <c r="AB740" s="9">
        <v>0.78</v>
      </c>
      <c r="AC740" s="9">
        <v>0.1805</v>
      </c>
      <c r="AD740" s="9" t="str">
        <f t="shared" si="1"/>
        <v>#REF!</v>
      </c>
    </row>
    <row r="741" hidden="1">
      <c r="A741" s="2" t="s">
        <v>2184</v>
      </c>
      <c r="B741" s="2" t="s">
        <v>534</v>
      </c>
      <c r="C741" s="2" t="s">
        <v>1439</v>
      </c>
      <c r="D741" s="2" t="s">
        <v>64</v>
      </c>
      <c r="E741" s="7" t="b">
        <v>1</v>
      </c>
      <c r="F741" s="9">
        <v>1091.0</v>
      </c>
      <c r="G741" s="9">
        <v>9.58930489173071</v>
      </c>
      <c r="H741" s="9">
        <v>0.0067684705774518</v>
      </c>
      <c r="I741" s="7" t="b">
        <v>1</v>
      </c>
      <c r="J741" s="9">
        <v>0.0</v>
      </c>
      <c r="K741" s="7" t="b">
        <v>0</v>
      </c>
      <c r="L741" s="9">
        <v>227.0</v>
      </c>
      <c r="M741" s="9">
        <v>0.2081</v>
      </c>
      <c r="N741" s="2" t="s">
        <v>1525</v>
      </c>
      <c r="O741" s="2" t="s">
        <v>550</v>
      </c>
      <c r="P741" s="9">
        <v>77.92</v>
      </c>
      <c r="Q741" s="9">
        <v>92.0</v>
      </c>
      <c r="R741" s="9">
        <v>0.0</v>
      </c>
      <c r="S741" s="9">
        <v>0.6676</v>
      </c>
      <c r="T741" s="9">
        <v>0.9849</v>
      </c>
      <c r="U741" s="2" t="s">
        <v>572</v>
      </c>
      <c r="V741" s="9">
        <v>0.55</v>
      </c>
      <c r="W741" s="2" t="s">
        <v>1657</v>
      </c>
      <c r="X741" s="2" t="s">
        <v>517</v>
      </c>
      <c r="Y741" s="2" t="s">
        <v>3207</v>
      </c>
      <c r="Z741" s="9">
        <v>0.5264</v>
      </c>
      <c r="AA741" s="9">
        <v>0.6676</v>
      </c>
      <c r="AB741" s="9">
        <v>0.55</v>
      </c>
      <c r="AC741" s="9">
        <v>0.7286</v>
      </c>
      <c r="AD741" s="9" t="str">
        <f t="shared" si="1"/>
        <v>#REF!</v>
      </c>
    </row>
    <row r="742" hidden="1">
      <c r="A742" s="2" t="s">
        <v>2184</v>
      </c>
      <c r="B742" s="2" t="s">
        <v>1093</v>
      </c>
      <c r="C742" s="2" t="s">
        <v>1439</v>
      </c>
      <c r="D742" s="2" t="s">
        <v>64</v>
      </c>
      <c r="E742" s="7" t="b">
        <v>1</v>
      </c>
      <c r="F742" s="9">
        <v>257.0</v>
      </c>
      <c r="G742" s="9">
        <v>8.18062902185699</v>
      </c>
      <c r="H742" s="9">
        <v>0.0208184902723735</v>
      </c>
      <c r="I742" s="7" t="b">
        <v>1</v>
      </c>
      <c r="J742" s="9">
        <v>0.0</v>
      </c>
      <c r="K742" s="7" t="b">
        <v>0</v>
      </c>
      <c r="L742" s="9">
        <v>1268.0</v>
      </c>
      <c r="M742" s="9">
        <v>4.9339</v>
      </c>
      <c r="N742" s="2" t="s">
        <v>4549</v>
      </c>
      <c r="O742" s="2" t="s">
        <v>4531</v>
      </c>
      <c r="P742" s="9">
        <v>62.28</v>
      </c>
      <c r="Q742" s="9">
        <v>58.0</v>
      </c>
      <c r="R742" s="9">
        <v>0.002801</v>
      </c>
      <c r="S742" s="9">
        <v>0.1455</v>
      </c>
      <c r="T742" s="9">
        <v>0.1516</v>
      </c>
      <c r="U742" s="2" t="s">
        <v>4454</v>
      </c>
      <c r="V742" s="9">
        <v>0.6773</v>
      </c>
      <c r="W742" s="2" t="s">
        <v>157</v>
      </c>
      <c r="X742" s="2" t="s">
        <v>1466</v>
      </c>
      <c r="Y742" s="2" t="s">
        <v>2821</v>
      </c>
      <c r="Z742" s="9">
        <v>0.1244</v>
      </c>
      <c r="AA742" s="9">
        <v>0.1455</v>
      </c>
      <c r="AB742" s="9">
        <v>0.6773</v>
      </c>
      <c r="AC742" s="9">
        <v>0.1461</v>
      </c>
      <c r="AD742" s="9" t="str">
        <f t="shared" si="1"/>
        <v>#REF!</v>
      </c>
    </row>
    <row r="743" hidden="1">
      <c r="A743" s="2" t="s">
        <v>2180</v>
      </c>
      <c r="B743" s="2" t="s">
        <v>70</v>
      </c>
      <c r="C743" s="2" t="s">
        <v>1439</v>
      </c>
      <c r="D743" s="2" t="s">
        <v>64</v>
      </c>
      <c r="E743" s="7" t="b">
        <v>1</v>
      </c>
      <c r="F743" s="9">
        <v>75.0</v>
      </c>
      <c r="G743" s="9">
        <v>10.17057095055632</v>
      </c>
      <c r="H743" s="9">
        <v>0.002237232</v>
      </c>
      <c r="I743" s="7" t="b">
        <v>1</v>
      </c>
      <c r="J743" s="9">
        <v>0.0</v>
      </c>
      <c r="K743" s="7" t="b">
        <v>0</v>
      </c>
      <c r="L743" s="9">
        <v>153.0</v>
      </c>
      <c r="M743" s="9">
        <v>2.04</v>
      </c>
      <c r="N743" s="2" t="s">
        <v>1794</v>
      </c>
      <c r="O743" s="2" t="s">
        <v>2866</v>
      </c>
      <c r="P743" s="9">
        <v>65.64</v>
      </c>
      <c r="Q743" s="9">
        <v>59.0</v>
      </c>
      <c r="R743" s="9">
        <v>0.0</v>
      </c>
      <c r="S743" s="9">
        <v>0.5151</v>
      </c>
      <c r="T743" s="9">
        <v>0.8664</v>
      </c>
      <c r="U743" s="2" t="s">
        <v>3676</v>
      </c>
      <c r="V743" s="9">
        <v>0.382</v>
      </c>
      <c r="W743" s="2" t="s">
        <v>181</v>
      </c>
      <c r="X743" s="2" t="s">
        <v>1466</v>
      </c>
      <c r="Y743" s="2" t="s">
        <v>1456</v>
      </c>
      <c r="Z743" s="9">
        <v>0.4256</v>
      </c>
      <c r="AA743" s="9">
        <v>0.5151</v>
      </c>
      <c r="AB743" s="9">
        <v>0.382</v>
      </c>
      <c r="AC743" s="9">
        <v>0.1832</v>
      </c>
      <c r="AD743" s="9" t="str">
        <f t="shared" si="1"/>
        <v>#REF!</v>
      </c>
    </row>
    <row r="744" hidden="1">
      <c r="A744" s="2" t="s">
        <v>2180</v>
      </c>
      <c r="B744" s="2" t="s">
        <v>503</v>
      </c>
      <c r="C744" s="2" t="s">
        <v>1439</v>
      </c>
      <c r="D744" s="2" t="s">
        <v>64</v>
      </c>
      <c r="E744" s="7" t="b">
        <v>1</v>
      </c>
      <c r="F744" s="9">
        <v>418.0</v>
      </c>
      <c r="G744" s="9">
        <v>7.708984256747385</v>
      </c>
      <c r="H744" s="9">
        <v>0.0022048688995215</v>
      </c>
      <c r="I744" s="7" t="b">
        <v>1</v>
      </c>
      <c r="J744" s="9">
        <v>0.0</v>
      </c>
      <c r="K744" s="7" t="b">
        <v>0</v>
      </c>
      <c r="L744" s="9">
        <v>245.0</v>
      </c>
      <c r="M744" s="9">
        <v>0.5861</v>
      </c>
      <c r="N744" s="2" t="s">
        <v>2782</v>
      </c>
      <c r="O744" s="2" t="s">
        <v>532</v>
      </c>
      <c r="P744" s="9">
        <v>66.21</v>
      </c>
      <c r="Q744" s="9">
        <v>61.0</v>
      </c>
      <c r="R744" s="9">
        <v>0.02</v>
      </c>
      <c r="S744" s="9">
        <v>0.5799</v>
      </c>
      <c r="T744" s="9">
        <v>0.8826</v>
      </c>
      <c r="U744" s="2" t="s">
        <v>2751</v>
      </c>
      <c r="V744" s="9">
        <v>0.8116</v>
      </c>
      <c r="W744" s="2" t="s">
        <v>157</v>
      </c>
      <c r="X744" s="2" t="s">
        <v>495</v>
      </c>
      <c r="Y744" s="2" t="s">
        <v>1980</v>
      </c>
      <c r="Z744" s="9">
        <v>0.4727</v>
      </c>
      <c r="AA744" s="9">
        <v>0.5799</v>
      </c>
      <c r="AB744" s="9">
        <v>0.8116</v>
      </c>
      <c r="AC744" s="9">
        <v>0.1629</v>
      </c>
      <c r="AD744" s="9" t="str">
        <f t="shared" si="1"/>
        <v>#REF!</v>
      </c>
    </row>
    <row r="745" hidden="1">
      <c r="A745" s="2" t="s">
        <v>2180</v>
      </c>
      <c r="B745" s="2" t="s">
        <v>534</v>
      </c>
      <c r="C745" s="2" t="s">
        <v>1439</v>
      </c>
      <c r="D745" s="2" t="s">
        <v>64</v>
      </c>
      <c r="E745" s="7" t="b">
        <v>1</v>
      </c>
      <c r="F745" s="9">
        <v>430.0</v>
      </c>
      <c r="G745" s="9">
        <v>13.68856623140746</v>
      </c>
      <c r="H745" s="9">
        <v>0.0054528197674418</v>
      </c>
      <c r="I745" s="7" t="b">
        <v>1</v>
      </c>
      <c r="J745" s="9">
        <v>0.0</v>
      </c>
      <c r="K745" s="7" t="b">
        <v>0</v>
      </c>
      <c r="L745" s="9">
        <v>115.0</v>
      </c>
      <c r="M745" s="9">
        <v>0.2674</v>
      </c>
      <c r="N745" s="2" t="s">
        <v>1382</v>
      </c>
      <c r="O745" s="2" t="s">
        <v>1725</v>
      </c>
      <c r="P745" s="9">
        <v>78.86</v>
      </c>
      <c r="Q745" s="9">
        <v>98.0</v>
      </c>
      <c r="R745" s="9">
        <v>0.0</v>
      </c>
      <c r="S745" s="9">
        <v>0.5911</v>
      </c>
      <c r="T745" s="9">
        <v>0.998</v>
      </c>
      <c r="U745" s="2" t="s">
        <v>4400</v>
      </c>
      <c r="V745" s="9">
        <v>0.0</v>
      </c>
      <c r="W745" s="2" t="s">
        <v>1193</v>
      </c>
      <c r="X745" s="2" t="s">
        <v>1466</v>
      </c>
      <c r="Y745" s="2" t="s">
        <v>2836</v>
      </c>
      <c r="Z745" s="9">
        <v>0.4619</v>
      </c>
      <c r="AA745" s="9">
        <v>0.5911</v>
      </c>
      <c r="AB745" s="9">
        <v>0.0</v>
      </c>
      <c r="AC745" s="9">
        <v>0.7376</v>
      </c>
      <c r="AD745" s="9" t="str">
        <f t="shared" si="1"/>
        <v>#REF!</v>
      </c>
    </row>
    <row r="746" hidden="1">
      <c r="A746" s="2" t="s">
        <v>2180</v>
      </c>
      <c r="B746" s="2" t="s">
        <v>1093</v>
      </c>
      <c r="C746" s="2" t="s">
        <v>1439</v>
      </c>
      <c r="D746" s="2" t="s">
        <v>64</v>
      </c>
      <c r="E746" s="7" t="b">
        <v>1</v>
      </c>
      <c r="F746" s="9">
        <v>50.0</v>
      </c>
      <c r="G746" s="9">
        <v>11.236799548328</v>
      </c>
      <c r="H746" s="9">
        <v>0.0077795199999999</v>
      </c>
      <c r="I746" s="7" t="b">
        <v>1</v>
      </c>
      <c r="J746" s="9">
        <v>0.0</v>
      </c>
      <c r="K746" s="7" t="b">
        <v>0</v>
      </c>
      <c r="L746" s="9">
        <v>866.0</v>
      </c>
      <c r="M746" s="9">
        <v>17.32</v>
      </c>
      <c r="N746" s="2" t="s">
        <v>4529</v>
      </c>
      <c r="O746" s="2" t="s">
        <v>1383</v>
      </c>
      <c r="P746" s="9">
        <v>60.92</v>
      </c>
      <c r="Q746" s="9">
        <v>56.0</v>
      </c>
      <c r="R746" s="9">
        <v>0.004292</v>
      </c>
      <c r="S746" s="9">
        <v>0.0</v>
      </c>
      <c r="T746" s="9">
        <v>0.0807</v>
      </c>
      <c r="U746" s="2" t="s">
        <v>2735</v>
      </c>
      <c r="V746" s="9">
        <v>0.5839</v>
      </c>
      <c r="W746" s="2" t="s">
        <v>157</v>
      </c>
      <c r="X746" s="2" t="s">
        <v>1466</v>
      </c>
      <c r="Y746" s="2" t="s">
        <v>2821</v>
      </c>
      <c r="Z746" s="9">
        <v>0.0</v>
      </c>
      <c r="AA746" s="9">
        <v>0.0</v>
      </c>
      <c r="AB746" s="9">
        <v>0.5839</v>
      </c>
      <c r="AC746" s="9">
        <v>0.162</v>
      </c>
      <c r="AD746" s="9" t="str">
        <f t="shared" si="1"/>
        <v>#REF!</v>
      </c>
    </row>
    <row r="747" hidden="1">
      <c r="A747" s="2" t="s">
        <v>2276</v>
      </c>
      <c r="B747" s="2" t="s">
        <v>474</v>
      </c>
      <c r="C747" s="2" t="s">
        <v>1316</v>
      </c>
      <c r="D747" s="2" t="s">
        <v>64</v>
      </c>
      <c r="E747" s="7" t="b">
        <v>1</v>
      </c>
      <c r="F747" s="9">
        <v>20.0</v>
      </c>
      <c r="G747" s="9">
        <v>9.963241028723246</v>
      </c>
      <c r="H747" s="9">
        <v>0.00280192</v>
      </c>
      <c r="I747" s="7" t="b">
        <v>1</v>
      </c>
      <c r="J747" s="9">
        <v>0.0</v>
      </c>
      <c r="K747" s="7" t="b">
        <v>0</v>
      </c>
      <c r="L747" s="9">
        <v>127.0</v>
      </c>
      <c r="M747" s="9">
        <v>6.35</v>
      </c>
      <c r="N747" s="2" t="s">
        <v>1394</v>
      </c>
      <c r="O747" s="2" t="s">
        <v>2025</v>
      </c>
      <c r="P747" s="9">
        <v>51.24</v>
      </c>
      <c r="Q747" s="9">
        <v>40.0</v>
      </c>
      <c r="R747" s="9">
        <v>0.0</v>
      </c>
      <c r="S747" s="9">
        <v>0.4222</v>
      </c>
      <c r="T747" s="9">
        <v>0.628</v>
      </c>
      <c r="U747" s="2" t="s">
        <v>2602</v>
      </c>
      <c r="V747" s="9">
        <v>0.0</v>
      </c>
      <c r="W747" s="2" t="s">
        <v>198</v>
      </c>
      <c r="X747" s="2" t="s">
        <v>1521</v>
      </c>
      <c r="Y747" s="2" t="s">
        <v>4521</v>
      </c>
      <c r="Z747" s="9">
        <v>0.3529</v>
      </c>
      <c r="AA747" s="9">
        <v>0.4222</v>
      </c>
      <c r="AB747" s="9">
        <v>0.0</v>
      </c>
      <c r="AC747" s="9">
        <v>0.1762</v>
      </c>
      <c r="AD747" s="9" t="str">
        <f t="shared" si="1"/>
        <v>#REF!</v>
      </c>
    </row>
    <row r="748" hidden="1">
      <c r="A748" s="2" t="s">
        <v>2190</v>
      </c>
      <c r="B748" s="2" t="s">
        <v>982</v>
      </c>
      <c r="C748" s="2" t="s">
        <v>1439</v>
      </c>
      <c r="D748" s="2" t="s">
        <v>64</v>
      </c>
      <c r="E748" s="7" t="b">
        <v>1</v>
      </c>
      <c r="F748" s="9">
        <v>92.0</v>
      </c>
      <c r="G748" s="9">
        <v>13.50548454829308</v>
      </c>
      <c r="H748" s="9">
        <v>0.0080548467391304</v>
      </c>
      <c r="I748" s="7" t="b">
        <v>1</v>
      </c>
      <c r="J748" s="9">
        <v>0.0</v>
      </c>
      <c r="K748" s="7" t="b">
        <v>0</v>
      </c>
      <c r="L748" s="9">
        <v>265.0</v>
      </c>
      <c r="M748" s="9">
        <v>2.8804</v>
      </c>
      <c r="N748" s="2" t="s">
        <v>1365</v>
      </c>
      <c r="O748" s="2" t="s">
        <v>3969</v>
      </c>
      <c r="P748" s="9">
        <v>58.63</v>
      </c>
      <c r="Q748" s="9">
        <v>53.0</v>
      </c>
      <c r="R748" s="9">
        <v>0.019231</v>
      </c>
      <c r="S748" s="9">
        <v>0.7199</v>
      </c>
      <c r="T748" s="9">
        <v>0.9961</v>
      </c>
      <c r="U748" s="2" t="s">
        <v>4046</v>
      </c>
      <c r="V748" s="9">
        <v>0.87</v>
      </c>
      <c r="W748" s="2" t="s">
        <v>1193</v>
      </c>
      <c r="X748" s="2" t="s">
        <v>237</v>
      </c>
      <c r="Y748" s="2" t="s">
        <v>1703</v>
      </c>
      <c r="Z748" s="9">
        <v>0.5639</v>
      </c>
      <c r="AA748" s="9">
        <v>0.7199</v>
      </c>
      <c r="AB748" s="9">
        <v>0.87</v>
      </c>
      <c r="AC748" s="9">
        <v>0.8518</v>
      </c>
      <c r="AD748" s="9" t="str">
        <f t="shared" si="1"/>
        <v>#REF!</v>
      </c>
    </row>
    <row r="749" hidden="1">
      <c r="A749" s="2" t="s">
        <v>2190</v>
      </c>
      <c r="B749" s="2" t="s">
        <v>997</v>
      </c>
      <c r="C749" s="2" t="s">
        <v>1439</v>
      </c>
      <c r="D749" s="2" t="s">
        <v>64</v>
      </c>
      <c r="E749" s="7" t="b">
        <v>1</v>
      </c>
      <c r="F749" s="9">
        <v>323.0</v>
      </c>
      <c r="G749" s="9">
        <v>17.52695471474766</v>
      </c>
      <c r="H749" s="9">
        <v>0.0066849755417956</v>
      </c>
      <c r="I749" s="7" t="b">
        <v>1</v>
      </c>
      <c r="J749" s="9">
        <v>0.0</v>
      </c>
      <c r="K749" s="7" t="b">
        <v>0</v>
      </c>
      <c r="L749" s="9">
        <v>194.0</v>
      </c>
      <c r="M749" s="9">
        <v>0.6006</v>
      </c>
      <c r="N749" s="2" t="s">
        <v>1724</v>
      </c>
      <c r="O749" s="2" t="s">
        <v>231</v>
      </c>
      <c r="P749" s="9">
        <v>57.08</v>
      </c>
      <c r="Q749" s="9">
        <v>51.0</v>
      </c>
      <c r="R749" s="9">
        <v>0.0</v>
      </c>
      <c r="S749" s="9">
        <v>0.6437</v>
      </c>
      <c r="T749" s="9">
        <v>1.0017</v>
      </c>
      <c r="U749" s="2" t="s">
        <v>2455</v>
      </c>
      <c r="V749" s="9">
        <v>0.0</v>
      </c>
      <c r="W749" s="2" t="s">
        <v>157</v>
      </c>
      <c r="X749" s="2" t="s">
        <v>517</v>
      </c>
      <c r="Y749" s="2" t="s">
        <v>1375</v>
      </c>
      <c r="Z749" s="9">
        <v>0.5063</v>
      </c>
      <c r="AA749" s="9">
        <v>0.6437</v>
      </c>
      <c r="AB749" s="9">
        <v>0.0</v>
      </c>
      <c r="AC749" s="9">
        <v>0.7671</v>
      </c>
      <c r="AD749" s="9" t="str">
        <f t="shared" si="1"/>
        <v>#REF!</v>
      </c>
    </row>
    <row r="750" hidden="1">
      <c r="A750" s="2" t="s">
        <v>2311</v>
      </c>
      <c r="B750" s="2" t="s">
        <v>87</v>
      </c>
      <c r="C750" s="2" t="s">
        <v>1316</v>
      </c>
      <c r="D750" s="2" t="s">
        <v>64</v>
      </c>
      <c r="E750" s="7" t="b">
        <v>1</v>
      </c>
      <c r="F750" s="9">
        <v>1.0</v>
      </c>
      <c r="G750" s="9">
        <v>15.0098143209665</v>
      </c>
      <c r="H750" s="9">
        <v>0.0020775</v>
      </c>
      <c r="I750" s="7" t="b">
        <v>1</v>
      </c>
      <c r="J750" s="9">
        <v>0.0</v>
      </c>
      <c r="K750" s="7" t="b">
        <v>0</v>
      </c>
      <c r="L750" s="9">
        <v>1.0</v>
      </c>
      <c r="M750" s="9">
        <v>1.0</v>
      </c>
      <c r="N750" s="2" t="s">
        <v>1485</v>
      </c>
      <c r="O750" s="2" t="s">
        <v>1486</v>
      </c>
      <c r="P750" s="9">
        <v>45.0</v>
      </c>
      <c r="Q750" s="9">
        <v>45.0</v>
      </c>
      <c r="R750" s="9">
        <v>0.0</v>
      </c>
      <c r="S750" s="9">
        <v>0.0</v>
      </c>
      <c r="T750" s="9">
        <v>1.0001</v>
      </c>
      <c r="U750" s="2" t="s">
        <v>1630</v>
      </c>
      <c r="V750" s="15"/>
      <c r="W750" s="2" t="s">
        <v>82</v>
      </c>
      <c r="X750" s="2" t="s">
        <v>1621</v>
      </c>
      <c r="Y750" s="2" t="s">
        <v>1622</v>
      </c>
      <c r="Z750" s="9">
        <v>0.0</v>
      </c>
      <c r="AA750" s="9">
        <v>0.0</v>
      </c>
      <c r="AB750" s="15"/>
      <c r="AC750" s="9">
        <v>0.0</v>
      </c>
      <c r="AD750" s="9" t="str">
        <f t="shared" si="1"/>
        <v>#REF!</v>
      </c>
    </row>
    <row r="751" hidden="1">
      <c r="A751" s="2" t="s">
        <v>1524</v>
      </c>
      <c r="B751" s="2" t="s">
        <v>503</v>
      </c>
      <c r="C751" s="2" t="s">
        <v>119</v>
      </c>
      <c r="D751" s="2" t="s">
        <v>64</v>
      </c>
      <c r="E751" s="7" t="b">
        <v>1</v>
      </c>
      <c r="F751" s="9">
        <v>117.0</v>
      </c>
      <c r="G751" s="9">
        <v>12.37504639012218</v>
      </c>
      <c r="H751" s="9">
        <v>0.0015929367521367</v>
      </c>
      <c r="I751" s="7" t="b">
        <v>1</v>
      </c>
      <c r="J751" s="9">
        <v>0.0</v>
      </c>
      <c r="K751" s="7" t="b">
        <v>0</v>
      </c>
      <c r="L751" s="9">
        <v>80.0</v>
      </c>
      <c r="M751" s="9">
        <v>0.6838</v>
      </c>
      <c r="N751" s="2" t="s">
        <v>1984</v>
      </c>
      <c r="O751" s="2" t="s">
        <v>1953</v>
      </c>
      <c r="P751" s="9">
        <v>63.45</v>
      </c>
      <c r="Q751" s="9">
        <v>57.5</v>
      </c>
      <c r="R751" s="9">
        <v>0.083333</v>
      </c>
      <c r="S751" s="9">
        <v>0.4762</v>
      </c>
      <c r="T751" s="9">
        <v>0.9355</v>
      </c>
      <c r="U751" s="2" t="s">
        <v>4263</v>
      </c>
      <c r="V751" s="9">
        <v>0.718</v>
      </c>
      <c r="W751" s="2" t="s">
        <v>157</v>
      </c>
      <c r="X751" s="2" t="s">
        <v>495</v>
      </c>
      <c r="Y751" s="2" t="s">
        <v>1980</v>
      </c>
      <c r="Z751" s="9">
        <v>0.3837</v>
      </c>
      <c r="AA751" s="9">
        <v>0.4762</v>
      </c>
      <c r="AB751" s="9">
        <v>0.718</v>
      </c>
      <c r="AC751" s="9">
        <v>0.1782</v>
      </c>
      <c r="AD751" s="9" t="str">
        <f t="shared" si="1"/>
        <v>#REF!</v>
      </c>
    </row>
    <row r="752" hidden="1">
      <c r="A752" s="2" t="s">
        <v>1524</v>
      </c>
      <c r="B752" s="2" t="s">
        <v>997</v>
      </c>
      <c r="C752" s="2" t="s">
        <v>119</v>
      </c>
      <c r="D752" s="2" t="s">
        <v>64</v>
      </c>
      <c r="E752" s="7" t="b">
        <v>1</v>
      </c>
      <c r="F752" s="9">
        <v>74.0</v>
      </c>
      <c r="G752" s="9">
        <v>19.69835203665318</v>
      </c>
      <c r="H752" s="9">
        <v>0.0019397789189189</v>
      </c>
      <c r="I752" s="7" t="b">
        <v>1</v>
      </c>
      <c r="J752" s="9">
        <v>0.0</v>
      </c>
      <c r="K752" s="7" t="b">
        <v>0</v>
      </c>
      <c r="L752" s="9">
        <v>36.0</v>
      </c>
      <c r="M752" s="9">
        <v>0.4865</v>
      </c>
      <c r="N752" s="2" t="s">
        <v>1628</v>
      </c>
      <c r="O752" s="2" t="s">
        <v>1629</v>
      </c>
      <c r="P752" s="9">
        <v>64.36</v>
      </c>
      <c r="Q752" s="9">
        <v>63.0</v>
      </c>
      <c r="R752" s="9">
        <v>0.0</v>
      </c>
      <c r="S752" s="9">
        <v>0.4388</v>
      </c>
      <c r="T752" s="9">
        <v>1.0003</v>
      </c>
      <c r="U752" s="2" t="s">
        <v>1406</v>
      </c>
      <c r="V752" s="15"/>
      <c r="W752" s="2" t="s">
        <v>157</v>
      </c>
      <c r="X752" s="2" t="s">
        <v>182</v>
      </c>
      <c r="Y752" s="2" t="s">
        <v>1491</v>
      </c>
      <c r="Z752" s="9">
        <v>0.3417</v>
      </c>
      <c r="AA752" s="9">
        <v>0.4388</v>
      </c>
      <c r="AB752" s="15"/>
      <c r="AC752" s="9">
        <v>0.7045</v>
      </c>
      <c r="AD752" s="9" t="str">
        <f t="shared" si="1"/>
        <v>#REF!</v>
      </c>
    </row>
    <row r="753" hidden="1">
      <c r="A753" s="2" t="s">
        <v>1522</v>
      </c>
      <c r="B753" s="2" t="s">
        <v>441</v>
      </c>
      <c r="C753" s="2" t="s">
        <v>119</v>
      </c>
      <c r="D753" s="2" t="s">
        <v>64</v>
      </c>
      <c r="E753" s="7" t="b">
        <v>1</v>
      </c>
      <c r="F753" s="9">
        <v>293.0</v>
      </c>
      <c r="G753" s="9">
        <v>3.887899967481233</v>
      </c>
      <c r="H753" s="9">
        <v>0.0015557109215017</v>
      </c>
      <c r="I753" s="7" t="b">
        <v>1</v>
      </c>
      <c r="J753" s="9">
        <v>0.0</v>
      </c>
      <c r="K753" s="7" t="b">
        <v>0</v>
      </c>
      <c r="L753" s="9">
        <v>55.0</v>
      </c>
      <c r="M753" s="9">
        <v>0.1877</v>
      </c>
      <c r="N753" s="2" t="s">
        <v>1628</v>
      </c>
      <c r="O753" s="2" t="s">
        <v>1629</v>
      </c>
      <c r="P753" s="9">
        <v>46.29</v>
      </c>
      <c r="Q753" s="9">
        <v>36.0</v>
      </c>
      <c r="R753" s="9">
        <v>0.0</v>
      </c>
      <c r="S753" s="9">
        <v>0.4257</v>
      </c>
      <c r="T753" s="9">
        <v>0.8703</v>
      </c>
      <c r="U753" s="2" t="s">
        <v>4447</v>
      </c>
      <c r="V753" s="9">
        <v>0.8555</v>
      </c>
      <c r="W753" s="2" t="s">
        <v>1875</v>
      </c>
      <c r="X753" s="2" t="s">
        <v>1466</v>
      </c>
      <c r="Y753" s="2" t="s">
        <v>3164</v>
      </c>
      <c r="Z753" s="9">
        <v>0.3555</v>
      </c>
      <c r="AA753" s="9">
        <v>0.4257</v>
      </c>
      <c r="AB753" s="9">
        <v>0.8555</v>
      </c>
      <c r="AC753" s="9">
        <v>0.0774</v>
      </c>
      <c r="AD753" s="9" t="str">
        <f t="shared" si="1"/>
        <v>#REF!</v>
      </c>
    </row>
    <row r="754" hidden="1">
      <c r="A754" s="2" t="s">
        <v>1522</v>
      </c>
      <c r="B754" s="2" t="s">
        <v>503</v>
      </c>
      <c r="C754" s="2" t="s">
        <v>119</v>
      </c>
      <c r="D754" s="2" t="s">
        <v>64</v>
      </c>
      <c r="E754" s="7" t="b">
        <v>1</v>
      </c>
      <c r="F754" s="9">
        <v>806.0</v>
      </c>
      <c r="G754" s="9">
        <v>4.005423279313332</v>
      </c>
      <c r="H754" s="9">
        <v>0.0011476</v>
      </c>
      <c r="I754" s="7" t="b">
        <v>1</v>
      </c>
      <c r="J754" s="9">
        <v>0.0</v>
      </c>
      <c r="K754" s="7" t="b">
        <v>0</v>
      </c>
      <c r="L754" s="9">
        <v>522.0</v>
      </c>
      <c r="M754" s="9">
        <v>0.6476</v>
      </c>
      <c r="N754" s="2" t="s">
        <v>2840</v>
      </c>
      <c r="O754" s="2" t="s">
        <v>1725</v>
      </c>
      <c r="P754" s="9">
        <v>51.29</v>
      </c>
      <c r="Q754" s="9">
        <v>41.5</v>
      </c>
      <c r="R754" s="9">
        <v>0.007246</v>
      </c>
      <c r="S754" s="9">
        <v>0.4995</v>
      </c>
      <c r="T754" s="9">
        <v>0.5599</v>
      </c>
      <c r="U754" s="2" t="s">
        <v>4186</v>
      </c>
      <c r="V754" s="9">
        <v>0.8397</v>
      </c>
      <c r="W754" s="2" t="s">
        <v>157</v>
      </c>
      <c r="X754" s="2" t="s">
        <v>1466</v>
      </c>
      <c r="Y754" s="2" t="s">
        <v>2821</v>
      </c>
      <c r="Z754" s="9">
        <v>0.4152</v>
      </c>
      <c r="AA754" s="9">
        <v>0.4995</v>
      </c>
      <c r="AB754" s="9">
        <v>0.8397</v>
      </c>
      <c r="AC754" s="9">
        <v>0.1749</v>
      </c>
      <c r="AD754" s="9" t="str">
        <f t="shared" si="1"/>
        <v>#REF!</v>
      </c>
    </row>
    <row r="755" hidden="1">
      <c r="A755" s="2" t="s">
        <v>1522</v>
      </c>
      <c r="B755" s="2" t="s">
        <v>542</v>
      </c>
      <c r="C755" s="2" t="s">
        <v>119</v>
      </c>
      <c r="D755" s="2" t="s">
        <v>64</v>
      </c>
      <c r="E755" s="7" t="b">
        <v>1</v>
      </c>
      <c r="F755" s="9">
        <v>265.0</v>
      </c>
      <c r="G755" s="9">
        <v>11.2971542346087</v>
      </c>
      <c r="H755" s="9">
        <v>0.0045868618867924</v>
      </c>
      <c r="I755" s="7" t="b">
        <v>1</v>
      </c>
      <c r="J755" s="9">
        <v>0.0</v>
      </c>
      <c r="K755" s="7" t="b">
        <v>0</v>
      </c>
      <c r="L755" s="9">
        <v>361.0</v>
      </c>
      <c r="M755" s="9">
        <v>1.3623</v>
      </c>
      <c r="N755" s="2" t="s">
        <v>4550</v>
      </c>
      <c r="O755" s="2" t="s">
        <v>4426</v>
      </c>
      <c r="P755" s="9">
        <v>70.57</v>
      </c>
      <c r="Q755" s="9">
        <v>67.0</v>
      </c>
      <c r="R755" s="9">
        <v>0.045455</v>
      </c>
      <c r="S755" s="9">
        <v>0.7417</v>
      </c>
      <c r="T755" s="9">
        <v>0.9851</v>
      </c>
      <c r="U755" s="2" t="s">
        <v>4269</v>
      </c>
      <c r="V755" s="9">
        <v>0.7373</v>
      </c>
      <c r="W755" s="2" t="s">
        <v>1657</v>
      </c>
      <c r="X755" s="2" t="s">
        <v>495</v>
      </c>
      <c r="Y755" s="2" t="s">
        <v>1980</v>
      </c>
      <c r="Z755" s="9">
        <v>0.5886</v>
      </c>
      <c r="AA755" s="9">
        <v>0.7417</v>
      </c>
      <c r="AB755" s="9">
        <v>0.7373</v>
      </c>
      <c r="AC755" s="9">
        <v>0.1637</v>
      </c>
      <c r="AD755" s="9" t="str">
        <f t="shared" si="1"/>
        <v>#REF!</v>
      </c>
    </row>
    <row r="756" hidden="1">
      <c r="A756" s="2" t="s">
        <v>1522</v>
      </c>
      <c r="B756" s="2" t="s">
        <v>937</v>
      </c>
      <c r="C756" s="2" t="s">
        <v>119</v>
      </c>
      <c r="D756" s="2" t="s">
        <v>64</v>
      </c>
      <c r="E756" s="7" t="b">
        <v>1</v>
      </c>
      <c r="F756" s="9">
        <v>899.0</v>
      </c>
      <c r="G756" s="9">
        <v>1.394066646347313</v>
      </c>
      <c r="H756" s="9">
        <v>0.0075012046718576</v>
      </c>
      <c r="I756" s="7" t="b">
        <v>1</v>
      </c>
      <c r="J756" s="9">
        <v>0.0</v>
      </c>
      <c r="K756" s="7" t="b">
        <v>0</v>
      </c>
      <c r="L756" s="9">
        <v>319889.0</v>
      </c>
      <c r="M756" s="9">
        <v>355.8276</v>
      </c>
      <c r="N756" s="2" t="s">
        <v>4551</v>
      </c>
      <c r="O756" s="2" t="s">
        <v>4552</v>
      </c>
      <c r="P756" s="9">
        <v>64.86</v>
      </c>
      <c r="Q756" s="9">
        <v>59.0</v>
      </c>
      <c r="R756" s="9">
        <v>0.012537</v>
      </c>
      <c r="S756" s="9">
        <v>0.8643</v>
      </c>
      <c r="T756" s="9">
        <v>0.1525</v>
      </c>
      <c r="U756" s="2" t="s">
        <v>4191</v>
      </c>
      <c r="V756" s="9">
        <v>0.7268</v>
      </c>
      <c r="W756" s="2" t="s">
        <v>2879</v>
      </c>
      <c r="X756" s="2" t="s">
        <v>495</v>
      </c>
      <c r="Y756" s="2" t="s">
        <v>2880</v>
      </c>
      <c r="Z756" s="9">
        <v>0.8179</v>
      </c>
      <c r="AA756" s="9">
        <v>0.8643</v>
      </c>
      <c r="AB756" s="9">
        <v>0.7268</v>
      </c>
      <c r="AC756" s="9">
        <v>0.1362</v>
      </c>
      <c r="AD756" s="9" t="str">
        <f t="shared" si="1"/>
        <v>#REF!</v>
      </c>
    </row>
    <row r="757" hidden="1">
      <c r="A757" s="2" t="s">
        <v>1522</v>
      </c>
      <c r="B757" s="2" t="s">
        <v>973</v>
      </c>
      <c r="C757" s="2" t="s">
        <v>119</v>
      </c>
      <c r="D757" s="2" t="s">
        <v>64</v>
      </c>
      <c r="E757" s="7" t="b">
        <v>1</v>
      </c>
      <c r="F757" s="9">
        <v>74.0</v>
      </c>
      <c r="G757" s="9">
        <v>7.250810278449396</v>
      </c>
      <c r="H757" s="9">
        <v>0.001601481081081</v>
      </c>
      <c r="I757" s="7" t="b">
        <v>1</v>
      </c>
      <c r="J757" s="9">
        <v>0.0</v>
      </c>
      <c r="K757" s="7" t="b">
        <v>0</v>
      </c>
      <c r="L757" s="9">
        <v>19.0</v>
      </c>
      <c r="M757" s="9">
        <v>0.2568</v>
      </c>
      <c r="N757" s="2" t="s">
        <v>2016</v>
      </c>
      <c r="O757" s="2" t="s">
        <v>1462</v>
      </c>
      <c r="P757" s="9">
        <v>57.79</v>
      </c>
      <c r="Q757" s="9">
        <v>42.0</v>
      </c>
      <c r="R757" s="9">
        <v>0.0</v>
      </c>
      <c r="S757" s="9">
        <v>0.3078</v>
      </c>
      <c r="T757" s="9">
        <v>0.9001</v>
      </c>
      <c r="U757" s="2" t="s">
        <v>788</v>
      </c>
      <c r="V757" s="15"/>
      <c r="W757" s="2" t="s">
        <v>1591</v>
      </c>
      <c r="X757" s="2" t="s">
        <v>182</v>
      </c>
      <c r="Y757" s="2" t="s">
        <v>1491</v>
      </c>
      <c r="Z757" s="9">
        <v>0.2714</v>
      </c>
      <c r="AA757" s="9">
        <v>0.3078</v>
      </c>
      <c r="AB757" s="15"/>
      <c r="AC757" s="9">
        <v>0.1407</v>
      </c>
      <c r="AD757" s="9" t="str">
        <f t="shared" si="1"/>
        <v>#REF!</v>
      </c>
    </row>
    <row r="758" hidden="1">
      <c r="A758" s="2" t="s">
        <v>1522</v>
      </c>
      <c r="B758" s="2" t="s">
        <v>997</v>
      </c>
      <c r="C758" s="2" t="s">
        <v>119</v>
      </c>
      <c r="D758" s="2" t="s">
        <v>64</v>
      </c>
      <c r="E758" s="7" t="b">
        <v>1</v>
      </c>
      <c r="F758" s="9">
        <v>2401.0</v>
      </c>
      <c r="G758" s="9">
        <v>20.81469598843089</v>
      </c>
      <c r="H758" s="9">
        <v>0.0681709366930445</v>
      </c>
      <c r="I758" s="7" t="b">
        <v>1</v>
      </c>
      <c r="J758" s="9">
        <v>0.0</v>
      </c>
      <c r="K758" s="7" t="b">
        <v>0</v>
      </c>
      <c r="L758" s="9">
        <v>788.0</v>
      </c>
      <c r="M758" s="9">
        <v>0.3282</v>
      </c>
      <c r="N758" s="2" t="s">
        <v>4553</v>
      </c>
      <c r="O758" s="2" t="s">
        <v>4554</v>
      </c>
      <c r="P758" s="9">
        <v>80.37</v>
      </c>
      <c r="Q758" s="9">
        <v>96.5</v>
      </c>
      <c r="R758" s="9">
        <v>0.026549</v>
      </c>
      <c r="S758" s="9">
        <v>0.7818</v>
      </c>
      <c r="T758" s="9">
        <v>1.0012</v>
      </c>
      <c r="U758" s="2" t="s">
        <v>688</v>
      </c>
      <c r="V758" s="9">
        <v>0.3477</v>
      </c>
      <c r="W758" s="2" t="s">
        <v>157</v>
      </c>
      <c r="X758" s="2" t="s">
        <v>517</v>
      </c>
      <c r="Y758" s="2" t="s">
        <v>4555</v>
      </c>
      <c r="Z758" s="9">
        <v>0.635</v>
      </c>
      <c r="AA758" s="9">
        <v>0.7818</v>
      </c>
      <c r="AB758" s="9">
        <v>0.3477</v>
      </c>
      <c r="AC758" s="9">
        <v>0.6133</v>
      </c>
      <c r="AD758" s="9" t="str">
        <f t="shared" si="1"/>
        <v>#REF!</v>
      </c>
    </row>
    <row r="759" hidden="1">
      <c r="A759" s="2" t="s">
        <v>1522</v>
      </c>
      <c r="B759" s="2" t="s">
        <v>1027</v>
      </c>
      <c r="C759" s="2" t="s">
        <v>119</v>
      </c>
      <c r="D759" s="2" t="s">
        <v>64</v>
      </c>
      <c r="E759" s="7" t="b">
        <v>1</v>
      </c>
      <c r="F759" s="9">
        <v>402.0</v>
      </c>
      <c r="G759" s="9">
        <v>9.135899589874589</v>
      </c>
      <c r="H759" s="9">
        <v>0.003489995522388</v>
      </c>
      <c r="I759" s="7" t="b">
        <v>1</v>
      </c>
      <c r="J759" s="9">
        <v>0.0</v>
      </c>
      <c r="K759" s="7" t="b">
        <v>0</v>
      </c>
      <c r="L759" s="9">
        <v>150.0</v>
      </c>
      <c r="M759" s="9">
        <v>0.3731</v>
      </c>
      <c r="N759" s="2" t="s">
        <v>2782</v>
      </c>
      <c r="O759" s="2" t="s">
        <v>2866</v>
      </c>
      <c r="P759" s="9">
        <v>50.8</v>
      </c>
      <c r="Q759" s="9">
        <v>40.0</v>
      </c>
      <c r="R759" s="9">
        <v>0.032258</v>
      </c>
      <c r="S759" s="9">
        <v>0.392</v>
      </c>
      <c r="T759" s="9">
        <v>0.5418</v>
      </c>
      <c r="U759" s="2" t="s">
        <v>4453</v>
      </c>
      <c r="V759" s="9">
        <v>0.8193</v>
      </c>
      <c r="W759" s="2" t="s">
        <v>82</v>
      </c>
      <c r="X759" s="2" t="s">
        <v>517</v>
      </c>
      <c r="Y759" s="2" t="s">
        <v>3069</v>
      </c>
      <c r="Z759" s="9">
        <v>0.3017</v>
      </c>
      <c r="AA759" s="9">
        <v>0.392</v>
      </c>
      <c r="AB759" s="9">
        <v>0.8193</v>
      </c>
      <c r="AC759" s="9">
        <v>0.0856</v>
      </c>
      <c r="AD759" s="9" t="str">
        <f t="shared" si="1"/>
        <v>#REF!</v>
      </c>
    </row>
    <row r="760" hidden="1">
      <c r="A760" s="2" t="s">
        <v>1522</v>
      </c>
      <c r="B760" s="2" t="s">
        <v>1093</v>
      </c>
      <c r="C760" s="2" t="s">
        <v>119</v>
      </c>
      <c r="D760" s="2" t="s">
        <v>64</v>
      </c>
      <c r="E760" s="7" t="b">
        <v>1</v>
      </c>
      <c r="F760" s="9">
        <v>56.0</v>
      </c>
      <c r="G760" s="9">
        <v>10.68008041014153</v>
      </c>
      <c r="H760" s="9">
        <v>0.0078682642857142</v>
      </c>
      <c r="I760" s="7" t="b">
        <v>1</v>
      </c>
      <c r="J760" s="9">
        <v>0.0</v>
      </c>
      <c r="K760" s="7" t="b">
        <v>0</v>
      </c>
      <c r="L760" s="9">
        <v>1738.0</v>
      </c>
      <c r="M760" s="9">
        <v>31.0357</v>
      </c>
      <c r="N760" s="2" t="s">
        <v>4556</v>
      </c>
      <c r="O760" s="2" t="s">
        <v>1791</v>
      </c>
      <c r="P760" s="9">
        <v>57.72</v>
      </c>
      <c r="Q760" s="9">
        <v>52.0</v>
      </c>
      <c r="R760" s="9">
        <v>0.00655</v>
      </c>
      <c r="S760" s="9">
        <v>0.1368</v>
      </c>
      <c r="T760" s="9">
        <v>0.0632</v>
      </c>
      <c r="U760" s="2" t="s">
        <v>2828</v>
      </c>
      <c r="V760" s="9">
        <v>0.1715</v>
      </c>
      <c r="W760" s="2" t="s">
        <v>134</v>
      </c>
      <c r="X760" s="2" t="s">
        <v>1521</v>
      </c>
      <c r="Y760" s="2" t="s">
        <v>1536</v>
      </c>
      <c r="Z760" s="9">
        <v>0.0879</v>
      </c>
      <c r="AA760" s="9">
        <v>0.1368</v>
      </c>
      <c r="AB760" s="9">
        <v>0.1715</v>
      </c>
      <c r="AC760" s="9">
        <v>0.1193</v>
      </c>
      <c r="AD760" s="9" t="str">
        <f t="shared" si="1"/>
        <v>#REF!</v>
      </c>
    </row>
    <row r="761" hidden="1">
      <c r="A761" s="2" t="s">
        <v>1400</v>
      </c>
      <c r="B761" s="2" t="s">
        <v>937</v>
      </c>
      <c r="C761" s="2" t="s">
        <v>119</v>
      </c>
      <c r="D761" s="2" t="s">
        <v>64</v>
      </c>
      <c r="E761" s="7" t="b">
        <v>1</v>
      </c>
      <c r="F761" s="9">
        <v>96.0</v>
      </c>
      <c r="G761" s="9">
        <v>1.871726877391542</v>
      </c>
      <c r="H761" s="9">
        <v>0.001509753125</v>
      </c>
      <c r="I761" s="7" t="b">
        <v>1</v>
      </c>
      <c r="J761" s="9">
        <v>0.0</v>
      </c>
      <c r="K761" s="7" t="b">
        <v>0</v>
      </c>
      <c r="L761" s="9">
        <v>58229.0</v>
      </c>
      <c r="M761" s="9">
        <v>606.5521</v>
      </c>
      <c r="N761" s="2" t="s">
        <v>4557</v>
      </c>
      <c r="O761" s="2" t="s">
        <v>4177</v>
      </c>
      <c r="P761" s="9">
        <v>60.34</v>
      </c>
      <c r="Q761" s="9">
        <v>51.0</v>
      </c>
      <c r="R761" s="9">
        <v>0.008223</v>
      </c>
      <c r="S761" s="9">
        <v>0.8338</v>
      </c>
      <c r="T761" s="9">
        <v>0.1778</v>
      </c>
      <c r="U761" s="2" t="s">
        <v>3005</v>
      </c>
      <c r="V761" s="9">
        <v>0.8308</v>
      </c>
      <c r="W761" s="2" t="s">
        <v>2879</v>
      </c>
      <c r="X761" s="2" t="s">
        <v>517</v>
      </c>
      <c r="Y761" s="2" t="s">
        <v>2125</v>
      </c>
      <c r="Z761" s="9">
        <v>0.7773</v>
      </c>
      <c r="AA761" s="9">
        <v>0.8338</v>
      </c>
      <c r="AB761" s="9">
        <v>0.8308</v>
      </c>
      <c r="AC761" s="9">
        <v>0.1735</v>
      </c>
      <c r="AD761" s="9" t="str">
        <f t="shared" si="1"/>
        <v>#REF!</v>
      </c>
    </row>
    <row r="762" hidden="1">
      <c r="A762" s="2" t="s">
        <v>1400</v>
      </c>
      <c r="B762" s="2" t="s">
        <v>997</v>
      </c>
      <c r="C762" s="2" t="s">
        <v>119</v>
      </c>
      <c r="D762" s="2" t="s">
        <v>64</v>
      </c>
      <c r="E762" s="7" t="b">
        <v>1</v>
      </c>
      <c r="F762" s="9">
        <v>200.0</v>
      </c>
      <c r="G762" s="9">
        <v>34.94271988715584</v>
      </c>
      <c r="H762" s="9">
        <v>0.0164388475</v>
      </c>
      <c r="I762" s="7" t="b">
        <v>1</v>
      </c>
      <c r="J762" s="9">
        <v>0.0</v>
      </c>
      <c r="K762" s="7" t="b">
        <v>0</v>
      </c>
      <c r="L762" s="9">
        <v>133.0</v>
      </c>
      <c r="M762" s="9">
        <v>0.665</v>
      </c>
      <c r="N762" s="2" t="s">
        <v>1784</v>
      </c>
      <c r="O762" s="2" t="s">
        <v>1426</v>
      </c>
      <c r="P762" s="9">
        <v>73.66</v>
      </c>
      <c r="Q762" s="9">
        <v>68.0</v>
      </c>
      <c r="R762" s="9">
        <v>0.0</v>
      </c>
      <c r="S762" s="9">
        <v>0.601</v>
      </c>
      <c r="T762" s="9">
        <v>0.9969</v>
      </c>
      <c r="U762" s="2" t="s">
        <v>4517</v>
      </c>
      <c r="V762" s="9">
        <v>0.55</v>
      </c>
      <c r="W762" s="2" t="s">
        <v>157</v>
      </c>
      <c r="X762" s="2" t="s">
        <v>495</v>
      </c>
      <c r="Y762" s="2" t="s">
        <v>1718</v>
      </c>
      <c r="Z762" s="9">
        <v>0.47</v>
      </c>
      <c r="AA762" s="9">
        <v>0.601</v>
      </c>
      <c r="AB762" s="9">
        <v>0.55</v>
      </c>
      <c r="AC762" s="9">
        <v>0.8422</v>
      </c>
      <c r="AD762" s="9" t="str">
        <f t="shared" si="1"/>
        <v>#REF!</v>
      </c>
    </row>
    <row r="763" hidden="1">
      <c r="A763" s="2" t="s">
        <v>1487</v>
      </c>
      <c r="B763" s="2" t="s">
        <v>997</v>
      </c>
      <c r="C763" s="2" t="s">
        <v>119</v>
      </c>
      <c r="D763" s="2" t="s">
        <v>64</v>
      </c>
      <c r="E763" s="7" t="b">
        <v>1</v>
      </c>
      <c r="F763" s="9">
        <v>715.0</v>
      </c>
      <c r="G763" s="9">
        <v>37.52021414787756</v>
      </c>
      <c r="H763" s="9">
        <v>0.0669278321678321</v>
      </c>
      <c r="I763" s="7" t="b">
        <v>1</v>
      </c>
      <c r="J763" s="9">
        <v>0.0</v>
      </c>
      <c r="K763" s="7" t="b">
        <v>0</v>
      </c>
      <c r="L763" s="9">
        <v>491.0</v>
      </c>
      <c r="M763" s="9">
        <v>0.6867</v>
      </c>
      <c r="N763" s="2" t="s">
        <v>4410</v>
      </c>
      <c r="O763" s="2" t="s">
        <v>4558</v>
      </c>
      <c r="P763" s="9">
        <v>75.48</v>
      </c>
      <c r="Q763" s="9">
        <v>78.0</v>
      </c>
      <c r="R763" s="9">
        <v>0.028169</v>
      </c>
      <c r="S763" s="9">
        <v>0.7478</v>
      </c>
      <c r="T763" s="9">
        <v>0.9915</v>
      </c>
      <c r="U763" s="2" t="s">
        <v>3270</v>
      </c>
      <c r="V763" s="9">
        <v>0.8251</v>
      </c>
      <c r="W763" s="2" t="s">
        <v>82</v>
      </c>
      <c r="X763" s="2" t="s">
        <v>84</v>
      </c>
      <c r="Y763" s="2" t="s">
        <v>2340</v>
      </c>
      <c r="Z763" s="9">
        <v>0.5934</v>
      </c>
      <c r="AA763" s="9">
        <v>0.7478</v>
      </c>
      <c r="AB763" s="9">
        <v>0.8251</v>
      </c>
      <c r="AC763" s="9">
        <v>0.7345</v>
      </c>
      <c r="AD763" s="9" t="str">
        <f t="shared" si="1"/>
        <v>#REF!</v>
      </c>
    </row>
    <row r="764" hidden="1">
      <c r="A764" s="2" t="s">
        <v>1387</v>
      </c>
      <c r="B764" s="2" t="s">
        <v>997</v>
      </c>
      <c r="C764" s="2" t="s">
        <v>119</v>
      </c>
      <c r="D764" s="2" t="s">
        <v>64</v>
      </c>
      <c r="E764" s="7" t="b">
        <v>1</v>
      </c>
      <c r="F764" s="9">
        <v>59.0</v>
      </c>
      <c r="G764" s="9">
        <v>18.92199615668533</v>
      </c>
      <c r="H764" s="9">
        <v>0.0014273450847457</v>
      </c>
      <c r="I764" s="7" t="b">
        <v>1</v>
      </c>
      <c r="J764" s="9">
        <v>0.0</v>
      </c>
      <c r="K764" s="7" t="b">
        <v>0</v>
      </c>
      <c r="L764" s="9">
        <v>29.0</v>
      </c>
      <c r="M764" s="9">
        <v>0.4915</v>
      </c>
      <c r="N764" s="2" t="s">
        <v>2619</v>
      </c>
      <c r="O764" s="2" t="s">
        <v>1552</v>
      </c>
      <c r="P764" s="9">
        <v>73.0</v>
      </c>
      <c r="Q764" s="9">
        <v>73.0</v>
      </c>
      <c r="R764" s="9">
        <v>0.0</v>
      </c>
      <c r="S764" s="9">
        <v>0.4156</v>
      </c>
      <c r="T764" s="9">
        <v>1.0003</v>
      </c>
      <c r="U764" s="2" t="s">
        <v>1741</v>
      </c>
      <c r="V764" s="15"/>
      <c r="W764" s="2" t="s">
        <v>134</v>
      </c>
      <c r="X764" s="2" t="s">
        <v>182</v>
      </c>
      <c r="Y764" s="2" t="s">
        <v>1491</v>
      </c>
      <c r="Z764" s="9">
        <v>0.3236</v>
      </c>
      <c r="AA764" s="9">
        <v>0.4156</v>
      </c>
      <c r="AB764" s="15"/>
      <c r="AC764" s="9">
        <v>0.7793</v>
      </c>
      <c r="AD764" s="9" t="str">
        <f t="shared" si="1"/>
        <v>#REF!</v>
      </c>
    </row>
    <row r="765" hidden="1">
      <c r="A765" s="2" t="s">
        <v>2169</v>
      </c>
      <c r="B765" s="2" t="s">
        <v>542</v>
      </c>
      <c r="C765" s="2" t="s">
        <v>1439</v>
      </c>
      <c r="D765" s="2" t="s">
        <v>64</v>
      </c>
      <c r="E765" s="7" t="b">
        <v>1</v>
      </c>
      <c r="F765" s="9">
        <v>53.0</v>
      </c>
      <c r="G765" s="9">
        <v>13.83670853789997</v>
      </c>
      <c r="H765" s="9">
        <v>0.0013802528301886</v>
      </c>
      <c r="I765" s="7" t="b">
        <v>1</v>
      </c>
      <c r="J765" s="9">
        <v>0.0</v>
      </c>
      <c r="K765" s="7" t="b">
        <v>0</v>
      </c>
      <c r="L765" s="9">
        <v>76.0</v>
      </c>
      <c r="M765" s="9">
        <v>1.434</v>
      </c>
      <c r="N765" s="2" t="s">
        <v>1825</v>
      </c>
      <c r="O765" s="2" t="s">
        <v>1533</v>
      </c>
      <c r="P765" s="9">
        <v>59.14</v>
      </c>
      <c r="Q765" s="9">
        <v>52.0</v>
      </c>
      <c r="R765" s="9">
        <v>0.0</v>
      </c>
      <c r="S765" s="9">
        <v>0.5538</v>
      </c>
      <c r="T765" s="9">
        <v>0.9917</v>
      </c>
      <c r="U765" s="2" t="s">
        <v>4539</v>
      </c>
      <c r="V765" s="9">
        <v>0.3</v>
      </c>
      <c r="W765" s="2" t="s">
        <v>1094</v>
      </c>
      <c r="X765" s="2" t="s">
        <v>1466</v>
      </c>
      <c r="Y765" s="2" t="s">
        <v>1456</v>
      </c>
      <c r="Z765" s="9">
        <v>0.4349</v>
      </c>
      <c r="AA765" s="9">
        <v>0.5538</v>
      </c>
      <c r="AB765" s="9">
        <v>0.3</v>
      </c>
      <c r="AC765" s="9">
        <v>0.1164</v>
      </c>
      <c r="AD765" s="9" t="str">
        <f t="shared" si="1"/>
        <v>#REF!</v>
      </c>
    </row>
    <row r="766" hidden="1">
      <c r="A766" s="2" t="s">
        <v>2169</v>
      </c>
      <c r="B766" s="2" t="s">
        <v>997</v>
      </c>
      <c r="C766" s="2" t="s">
        <v>1439</v>
      </c>
      <c r="D766" s="2" t="s">
        <v>64</v>
      </c>
      <c r="E766" s="7" t="b">
        <v>1</v>
      </c>
      <c r="F766" s="9">
        <v>240.0</v>
      </c>
      <c r="G766" s="9">
        <v>13.49309545397362</v>
      </c>
      <c r="H766" s="9">
        <v>0.00294789375</v>
      </c>
      <c r="I766" s="7" t="b">
        <v>1</v>
      </c>
      <c r="J766" s="9">
        <v>0.0</v>
      </c>
      <c r="K766" s="7" t="b">
        <v>0</v>
      </c>
      <c r="L766" s="9">
        <v>55.0</v>
      </c>
      <c r="M766" s="9">
        <v>0.2292</v>
      </c>
      <c r="N766" s="2" t="s">
        <v>400</v>
      </c>
      <c r="O766" s="2" t="s">
        <v>402</v>
      </c>
      <c r="P766" s="9">
        <v>75.36</v>
      </c>
      <c r="Q766" s="9">
        <v>77.0</v>
      </c>
      <c r="R766" s="9">
        <v>0.0</v>
      </c>
      <c r="S766" s="9">
        <v>0.4946</v>
      </c>
      <c r="T766" s="9">
        <v>1.0006</v>
      </c>
      <c r="U766" s="2" t="s">
        <v>4042</v>
      </c>
      <c r="V766" s="15"/>
      <c r="W766" s="2" t="s">
        <v>157</v>
      </c>
      <c r="X766" s="2" t="s">
        <v>182</v>
      </c>
      <c r="Y766" s="2" t="s">
        <v>1491</v>
      </c>
      <c r="Z766" s="9">
        <v>0.3852</v>
      </c>
      <c r="AA766" s="9">
        <v>0.4946</v>
      </c>
      <c r="AB766" s="15"/>
      <c r="AC766" s="9">
        <v>0.6795</v>
      </c>
      <c r="AD766" s="9" t="str">
        <f t="shared" si="1"/>
        <v>#REF!</v>
      </c>
    </row>
    <row r="767" hidden="1">
      <c r="A767" s="2" t="s">
        <v>2169</v>
      </c>
      <c r="B767" s="2" t="s">
        <v>1027</v>
      </c>
      <c r="C767" s="2" t="s">
        <v>1439</v>
      </c>
      <c r="D767" s="2" t="s">
        <v>64</v>
      </c>
      <c r="E767" s="7" t="b">
        <v>1</v>
      </c>
      <c r="F767" s="9">
        <v>169.0</v>
      </c>
      <c r="G767" s="9">
        <v>10.25134797054966</v>
      </c>
      <c r="H767" s="9">
        <v>0.0018508384615384</v>
      </c>
      <c r="I767" s="7" t="b">
        <v>1</v>
      </c>
      <c r="J767" s="9">
        <v>0.0</v>
      </c>
      <c r="K767" s="7" t="b">
        <v>0</v>
      </c>
      <c r="L767" s="9">
        <v>25.0</v>
      </c>
      <c r="M767" s="9">
        <v>0.1479</v>
      </c>
      <c r="N767" s="2" t="s">
        <v>1628</v>
      </c>
      <c r="O767" s="2" t="s">
        <v>1552</v>
      </c>
      <c r="P767" s="9">
        <v>60.16</v>
      </c>
      <c r="Q767" s="9">
        <v>52.0</v>
      </c>
      <c r="R767" s="9">
        <v>0.0</v>
      </c>
      <c r="S767" s="9">
        <v>0.3556</v>
      </c>
      <c r="T767" s="9">
        <v>0.8926</v>
      </c>
      <c r="U767" s="2" t="s">
        <v>1434</v>
      </c>
      <c r="V767" s="9">
        <v>0.0</v>
      </c>
      <c r="W767" s="2" t="s">
        <v>82</v>
      </c>
      <c r="X767" s="2" t="s">
        <v>1466</v>
      </c>
      <c r="Y767" s="2" t="s">
        <v>1542</v>
      </c>
      <c r="Z767" s="9">
        <v>0.2844</v>
      </c>
      <c r="AA767" s="9">
        <v>0.3556</v>
      </c>
      <c r="AB767" s="9">
        <v>0.0</v>
      </c>
      <c r="AC767" s="9">
        <v>0.184</v>
      </c>
      <c r="AD767" s="9" t="str">
        <f t="shared" si="1"/>
        <v>#REF!</v>
      </c>
    </row>
    <row r="768" hidden="1">
      <c r="A768" s="2" t="s">
        <v>1395</v>
      </c>
      <c r="B768" s="2" t="s">
        <v>997</v>
      </c>
      <c r="C768" s="2" t="s">
        <v>119</v>
      </c>
      <c r="D768" s="2" t="s">
        <v>64</v>
      </c>
      <c r="E768" s="7" t="b">
        <v>1</v>
      </c>
      <c r="F768" s="9">
        <v>275.0</v>
      </c>
      <c r="G768" s="9">
        <v>35.06018517306839</v>
      </c>
      <c r="H768" s="9">
        <v>0.0227192727272727</v>
      </c>
      <c r="I768" s="7" t="b">
        <v>1</v>
      </c>
      <c r="J768" s="9">
        <v>0.0</v>
      </c>
      <c r="K768" s="7" t="b">
        <v>0</v>
      </c>
      <c r="L768" s="9">
        <v>194.0</v>
      </c>
      <c r="M768" s="9">
        <v>0.7055</v>
      </c>
      <c r="N768" s="2" t="s">
        <v>1813</v>
      </c>
      <c r="O768" s="2" t="s">
        <v>1579</v>
      </c>
      <c r="P768" s="9">
        <v>75.48</v>
      </c>
      <c r="Q768" s="9">
        <v>76.5</v>
      </c>
      <c r="R768" s="9">
        <v>0.03125</v>
      </c>
      <c r="S768" s="9">
        <v>0.6449</v>
      </c>
      <c r="T768" s="9">
        <v>0.9955</v>
      </c>
      <c r="U768" s="2" t="s">
        <v>1553</v>
      </c>
      <c r="V768" s="9">
        <v>0.525</v>
      </c>
      <c r="W768" s="2" t="s">
        <v>157</v>
      </c>
      <c r="X768" s="2" t="s">
        <v>237</v>
      </c>
      <c r="Y768" s="2" t="s">
        <v>1703</v>
      </c>
      <c r="Z768" s="9">
        <v>0.5056</v>
      </c>
      <c r="AA768" s="9">
        <v>0.6449</v>
      </c>
      <c r="AB768" s="9">
        <v>0.525</v>
      </c>
      <c r="AC768" s="9">
        <v>0.7184</v>
      </c>
      <c r="AD768" s="9" t="str">
        <f t="shared" si="1"/>
        <v>#REF!</v>
      </c>
    </row>
    <row r="769" hidden="1">
      <c r="A769" s="2" t="s">
        <v>2093</v>
      </c>
      <c r="B769" s="2" t="s">
        <v>441</v>
      </c>
      <c r="C769" s="2" t="s">
        <v>1439</v>
      </c>
      <c r="D769" s="2" t="s">
        <v>64</v>
      </c>
      <c r="E769" s="7" t="b">
        <v>1</v>
      </c>
      <c r="F769" s="9">
        <v>18143.0</v>
      </c>
      <c r="G769" s="9">
        <v>80.8056082055824</v>
      </c>
      <c r="H769" s="9">
        <v>6.285420272281321</v>
      </c>
      <c r="I769" s="7" t="b">
        <v>1</v>
      </c>
      <c r="J769" s="9">
        <v>0.0</v>
      </c>
      <c r="K769" s="7" t="b">
        <v>0</v>
      </c>
      <c r="L769" s="9">
        <v>13136.0</v>
      </c>
      <c r="M769" s="9">
        <v>0.724</v>
      </c>
      <c r="N769" s="2" t="s">
        <v>4559</v>
      </c>
      <c r="O769" s="2" t="s">
        <v>4560</v>
      </c>
      <c r="P769" s="9">
        <v>88.7</v>
      </c>
      <c r="Q769" s="9">
        <v>100.0</v>
      </c>
      <c r="R769" s="9">
        <v>0.005733</v>
      </c>
      <c r="S769" s="9">
        <v>0.9736</v>
      </c>
      <c r="T769" s="9">
        <v>0.9818</v>
      </c>
      <c r="U769" s="2" t="s">
        <v>1180</v>
      </c>
      <c r="V769" s="9">
        <v>0.8308</v>
      </c>
      <c r="W769" s="2" t="s">
        <v>134</v>
      </c>
      <c r="X769" s="2" t="s">
        <v>237</v>
      </c>
      <c r="Y769" s="2" t="s">
        <v>4561</v>
      </c>
      <c r="Z769" s="9">
        <v>0.8829</v>
      </c>
      <c r="AA769" s="9">
        <v>0.9736</v>
      </c>
      <c r="AB769" s="9">
        <v>0.8308</v>
      </c>
      <c r="AC769" s="9">
        <v>0.861</v>
      </c>
      <c r="AD769" s="9" t="str">
        <f t="shared" si="1"/>
        <v>#REF!</v>
      </c>
    </row>
    <row r="770" hidden="1">
      <c r="A770" s="2" t="s">
        <v>2093</v>
      </c>
      <c r="B770" s="2" t="s">
        <v>611</v>
      </c>
      <c r="C770" s="2" t="s">
        <v>1439</v>
      </c>
      <c r="D770" s="2" t="s">
        <v>64</v>
      </c>
      <c r="E770" s="7" t="b">
        <v>1</v>
      </c>
      <c r="F770" s="9">
        <v>204.0</v>
      </c>
      <c r="G770" s="9">
        <v>9.227239916908497</v>
      </c>
      <c r="H770" s="9">
        <v>0.0014079838235294</v>
      </c>
      <c r="I770" s="7" t="b">
        <v>1</v>
      </c>
      <c r="J770" s="9">
        <v>0.0</v>
      </c>
      <c r="K770" s="7" t="b">
        <v>0</v>
      </c>
      <c r="L770" s="9">
        <v>1.0</v>
      </c>
      <c r="M770" s="9">
        <v>0.0049</v>
      </c>
      <c r="N770" s="2" t="s">
        <v>175</v>
      </c>
      <c r="O770" s="2" t="s">
        <v>177</v>
      </c>
      <c r="P770" s="9">
        <v>32.0</v>
      </c>
      <c r="Q770" s="9">
        <v>32.0</v>
      </c>
      <c r="R770" s="9">
        <v>0.0</v>
      </c>
      <c r="S770" s="9">
        <v>0.0</v>
      </c>
      <c r="T770" s="9">
        <v>1.0</v>
      </c>
      <c r="U770" s="2" t="s">
        <v>4562</v>
      </c>
      <c r="V770" s="15"/>
      <c r="W770" s="2" t="s">
        <v>82</v>
      </c>
      <c r="X770" s="2" t="s">
        <v>1455</v>
      </c>
      <c r="Y770" s="2" t="s">
        <v>1542</v>
      </c>
      <c r="Z770" s="9">
        <v>0.0</v>
      </c>
      <c r="AA770" s="9">
        <v>0.0</v>
      </c>
      <c r="AB770" s="15"/>
      <c r="AC770" s="9">
        <v>0.3</v>
      </c>
      <c r="AD770" s="9" t="str">
        <f t="shared" si="1"/>
        <v>#REF!</v>
      </c>
    </row>
    <row r="771" hidden="1">
      <c r="A771" s="2" t="s">
        <v>2093</v>
      </c>
      <c r="B771" s="2" t="s">
        <v>915</v>
      </c>
      <c r="C771" s="2" t="s">
        <v>1439</v>
      </c>
      <c r="D771" s="2" t="s">
        <v>64</v>
      </c>
      <c r="E771" s="7" t="b">
        <v>1</v>
      </c>
      <c r="F771" s="9">
        <v>297.0</v>
      </c>
      <c r="G771" s="9">
        <v>11.46765543051633</v>
      </c>
      <c r="H771" s="9">
        <v>0.0183908417508417</v>
      </c>
      <c r="I771" s="7" t="b">
        <v>1</v>
      </c>
      <c r="J771" s="9">
        <v>0.0</v>
      </c>
      <c r="K771" s="7" t="b">
        <v>0</v>
      </c>
      <c r="L771" s="9">
        <v>317.0</v>
      </c>
      <c r="M771" s="9">
        <v>1.0673</v>
      </c>
      <c r="N771" s="2" t="s">
        <v>4563</v>
      </c>
      <c r="O771" s="2" t="s">
        <v>1847</v>
      </c>
      <c r="P771" s="9">
        <v>78.14</v>
      </c>
      <c r="Q771" s="9">
        <v>87.0</v>
      </c>
      <c r="R771" s="9">
        <v>0.042254</v>
      </c>
      <c r="S771" s="9">
        <v>0.5651</v>
      </c>
      <c r="T771" s="9">
        <v>0.7992</v>
      </c>
      <c r="U771" s="2" t="s">
        <v>3131</v>
      </c>
      <c r="V771" s="9">
        <v>0.0558</v>
      </c>
      <c r="W771" s="2" t="s">
        <v>82</v>
      </c>
      <c r="X771" s="2" t="s">
        <v>517</v>
      </c>
      <c r="Y771" s="2" t="s">
        <v>1338</v>
      </c>
      <c r="Z771" s="9">
        <v>0.5341</v>
      </c>
      <c r="AA771" s="9">
        <v>0.5651</v>
      </c>
      <c r="AB771" s="9">
        <v>0.0558</v>
      </c>
      <c r="AC771" s="9">
        <v>0.1841</v>
      </c>
      <c r="AD771" s="9" t="str">
        <f t="shared" si="1"/>
        <v>#REF!</v>
      </c>
    </row>
    <row r="772">
      <c r="A772" s="2" t="s">
        <v>2093</v>
      </c>
      <c r="B772" s="2" t="s">
        <v>306</v>
      </c>
      <c r="C772" s="2" t="s">
        <v>1439</v>
      </c>
      <c r="D772" s="2" t="s">
        <v>64</v>
      </c>
      <c r="E772" s="7" t="b">
        <v>1</v>
      </c>
      <c r="F772" s="9">
        <v>70.0</v>
      </c>
      <c r="G772" s="9">
        <v>31.11845779371105</v>
      </c>
      <c r="H772" s="9">
        <v>0.0250356</v>
      </c>
      <c r="I772" s="7" t="b">
        <v>1</v>
      </c>
      <c r="J772" s="9">
        <v>0.0</v>
      </c>
      <c r="K772" s="7" t="b">
        <v>0</v>
      </c>
      <c r="L772" s="9">
        <v>51.0</v>
      </c>
      <c r="M772" s="9">
        <v>0.7286</v>
      </c>
      <c r="N772" s="2" t="s">
        <v>1794</v>
      </c>
      <c r="O772" s="2" t="s">
        <v>1795</v>
      </c>
      <c r="P772" s="9">
        <v>76.45</v>
      </c>
      <c r="Q772" s="9">
        <v>80.0</v>
      </c>
      <c r="R772" s="9">
        <v>0.0</v>
      </c>
      <c r="S772" s="9">
        <v>0.5184</v>
      </c>
      <c r="T772" s="9">
        <v>1.0011</v>
      </c>
      <c r="U772" s="2" t="s">
        <v>4333</v>
      </c>
      <c r="V772" s="15"/>
      <c r="W772" s="2" t="s">
        <v>82</v>
      </c>
      <c r="X772" s="2" t="s">
        <v>1621</v>
      </c>
      <c r="Y772" s="2" t="s">
        <v>2057</v>
      </c>
      <c r="Z772" s="9">
        <v>0.402</v>
      </c>
      <c r="AA772" s="9">
        <v>0.5184</v>
      </c>
      <c r="AB772" s="15"/>
      <c r="AC772" s="9">
        <v>0.845</v>
      </c>
      <c r="AD772" s="9" t="str">
        <f t="shared" si="1"/>
        <v>#REF!</v>
      </c>
    </row>
    <row r="773" hidden="1">
      <c r="A773" s="2" t="s">
        <v>2093</v>
      </c>
      <c r="B773" s="2" t="s">
        <v>963</v>
      </c>
      <c r="C773" s="2" t="s">
        <v>1439</v>
      </c>
      <c r="D773" s="2" t="s">
        <v>64</v>
      </c>
      <c r="E773" s="7" t="b">
        <v>1</v>
      </c>
      <c r="F773" s="9">
        <v>23284.0</v>
      </c>
      <c r="G773" s="9">
        <v>69.40136603397059</v>
      </c>
      <c r="H773" s="9">
        <v>5.400942170589246</v>
      </c>
      <c r="I773" s="7" t="b">
        <v>1</v>
      </c>
      <c r="J773" s="9">
        <v>0.0</v>
      </c>
      <c r="K773" s="7" t="b">
        <v>0</v>
      </c>
      <c r="L773" s="9">
        <v>16587.0</v>
      </c>
      <c r="M773" s="9">
        <v>0.7124</v>
      </c>
      <c r="N773" s="2" t="s">
        <v>4564</v>
      </c>
      <c r="O773" s="2" t="s">
        <v>4565</v>
      </c>
      <c r="P773" s="9">
        <v>82.18</v>
      </c>
      <c r="Q773" s="9">
        <v>99.0</v>
      </c>
      <c r="R773" s="9">
        <v>0.021821</v>
      </c>
      <c r="S773" s="9">
        <v>0.9776</v>
      </c>
      <c r="T773" s="9">
        <v>0.945</v>
      </c>
      <c r="U773" s="2" t="s">
        <v>2037</v>
      </c>
      <c r="V773" s="9">
        <v>0.7775</v>
      </c>
      <c r="W773" s="2" t="s">
        <v>82</v>
      </c>
      <c r="X773" s="2" t="s">
        <v>99</v>
      </c>
      <c r="Y773" s="2" t="s">
        <v>1515</v>
      </c>
      <c r="Z773" s="9">
        <v>0.9161</v>
      </c>
      <c r="AA773" s="9">
        <v>0.9776</v>
      </c>
      <c r="AB773" s="9">
        <v>0.7775</v>
      </c>
      <c r="AC773" s="9">
        <v>0.806</v>
      </c>
      <c r="AD773" s="9" t="str">
        <f t="shared" si="1"/>
        <v>#REF!</v>
      </c>
    </row>
    <row r="774" hidden="1">
      <c r="A774" s="2" t="s">
        <v>2093</v>
      </c>
      <c r="B774" s="2" t="s">
        <v>969</v>
      </c>
      <c r="C774" s="2" t="s">
        <v>1439</v>
      </c>
      <c r="D774" s="2" t="s">
        <v>64</v>
      </c>
      <c r="E774" s="7" t="b">
        <v>1</v>
      </c>
      <c r="F774" s="9">
        <v>58.0</v>
      </c>
      <c r="G774" s="9">
        <v>12.95587891008384</v>
      </c>
      <c r="H774" s="9">
        <v>0.0016094706896551</v>
      </c>
      <c r="I774" s="7" t="b">
        <v>1</v>
      </c>
      <c r="J774" s="9">
        <v>0.0</v>
      </c>
      <c r="K774" s="7" t="b">
        <v>0</v>
      </c>
      <c r="L774" s="9">
        <v>1.0</v>
      </c>
      <c r="M774" s="9">
        <v>0.0172</v>
      </c>
      <c r="N774" s="2" t="s">
        <v>175</v>
      </c>
      <c r="O774" s="2" t="s">
        <v>177</v>
      </c>
      <c r="P774" s="9">
        <v>43.0</v>
      </c>
      <c r="Q774" s="9">
        <v>43.0</v>
      </c>
      <c r="R774" s="9">
        <v>0.0</v>
      </c>
      <c r="S774" s="9">
        <v>0.0</v>
      </c>
      <c r="T774" s="9">
        <v>1.0</v>
      </c>
      <c r="U774" s="2" t="s">
        <v>1630</v>
      </c>
      <c r="V774" s="15"/>
      <c r="W774" s="2" t="s">
        <v>2753</v>
      </c>
      <c r="X774" s="2" t="s">
        <v>182</v>
      </c>
      <c r="Y774" s="2" t="s">
        <v>1491</v>
      </c>
      <c r="Z774" s="9">
        <v>0.0</v>
      </c>
      <c r="AA774" s="9">
        <v>0.0</v>
      </c>
      <c r="AB774" s="15"/>
      <c r="AC774" s="9">
        <v>0.0</v>
      </c>
      <c r="AD774" s="9" t="str">
        <f t="shared" si="1"/>
        <v>#REF!</v>
      </c>
    </row>
    <row r="775" hidden="1">
      <c r="A775" s="2" t="s">
        <v>2093</v>
      </c>
      <c r="B775" s="2" t="s">
        <v>1004</v>
      </c>
      <c r="C775" s="2" t="s">
        <v>1439</v>
      </c>
      <c r="D775" s="2" t="s">
        <v>64</v>
      </c>
      <c r="E775" s="7" t="b">
        <v>1</v>
      </c>
      <c r="F775" s="9">
        <v>512.0</v>
      </c>
      <c r="G775" s="9">
        <v>5.896048813374314</v>
      </c>
      <c r="H775" s="9">
        <v>0.0015610869140625</v>
      </c>
      <c r="I775" s="7" t="b">
        <v>1</v>
      </c>
      <c r="J775" s="9">
        <v>0.0</v>
      </c>
      <c r="K775" s="7" t="b">
        <v>0</v>
      </c>
      <c r="L775" s="9">
        <v>19.0</v>
      </c>
      <c r="M775" s="9">
        <v>0.0371</v>
      </c>
      <c r="N775" s="2" t="s">
        <v>1485</v>
      </c>
      <c r="O775" s="2" t="s">
        <v>1486</v>
      </c>
      <c r="P775" s="9">
        <v>46.89</v>
      </c>
      <c r="Q775" s="9">
        <v>49.0</v>
      </c>
      <c r="R775" s="9">
        <v>0.0</v>
      </c>
      <c r="S775" s="9">
        <v>0.3277</v>
      </c>
      <c r="T775" s="9">
        <v>0.8856</v>
      </c>
      <c r="U775" s="2" t="s">
        <v>2770</v>
      </c>
      <c r="V775" s="15"/>
      <c r="W775" s="2" t="s">
        <v>82</v>
      </c>
      <c r="X775" s="2" t="s">
        <v>1455</v>
      </c>
      <c r="Y775" s="2" t="s">
        <v>1542</v>
      </c>
      <c r="Z775" s="9">
        <v>0.2635</v>
      </c>
      <c r="AA775" s="9">
        <v>0.3277</v>
      </c>
      <c r="AB775" s="15"/>
      <c r="AC775" s="9">
        <v>0.0</v>
      </c>
      <c r="AD775" s="9" t="str">
        <f t="shared" si="1"/>
        <v>#REF!</v>
      </c>
    </row>
    <row r="776" hidden="1">
      <c r="A776" s="2" t="s">
        <v>2093</v>
      </c>
      <c r="B776" s="2" t="s">
        <v>1009</v>
      </c>
      <c r="C776" s="2" t="s">
        <v>1439</v>
      </c>
      <c r="D776" s="2" t="s">
        <v>64</v>
      </c>
      <c r="E776" s="7" t="b">
        <v>1</v>
      </c>
      <c r="F776" s="9">
        <v>17026.0</v>
      </c>
      <c r="G776" s="9">
        <v>48.78755860766641</v>
      </c>
      <c r="H776" s="9">
        <v>3.382768830024668</v>
      </c>
      <c r="I776" s="7" t="b">
        <v>1</v>
      </c>
      <c r="J776" s="9">
        <v>0.0</v>
      </c>
      <c r="K776" s="7" t="b">
        <v>0</v>
      </c>
      <c r="L776" s="9">
        <v>270.0</v>
      </c>
      <c r="M776" s="9">
        <v>0.0159</v>
      </c>
      <c r="N776" s="2" t="s">
        <v>4566</v>
      </c>
      <c r="O776" s="2" t="s">
        <v>4567</v>
      </c>
      <c r="P776" s="9">
        <v>74.9</v>
      </c>
      <c r="Q776" s="9">
        <v>74.0</v>
      </c>
      <c r="R776" s="9">
        <v>0.0</v>
      </c>
      <c r="S776" s="9">
        <v>0.613</v>
      </c>
      <c r="T776" s="9">
        <v>0.8169</v>
      </c>
      <c r="U776" s="2" t="s">
        <v>4407</v>
      </c>
      <c r="V776" s="9">
        <v>0.3</v>
      </c>
      <c r="W776" s="2" t="s">
        <v>1657</v>
      </c>
      <c r="X776" s="2" t="s">
        <v>1521</v>
      </c>
      <c r="Y776" s="2" t="s">
        <v>1491</v>
      </c>
      <c r="Z776" s="9">
        <v>0.5167</v>
      </c>
      <c r="AA776" s="9">
        <v>0.613</v>
      </c>
      <c r="AB776" s="9">
        <v>0.3</v>
      </c>
      <c r="AC776" s="9">
        <v>0.1328</v>
      </c>
      <c r="AD776" s="9" t="str">
        <f t="shared" si="1"/>
        <v>#REF!</v>
      </c>
    </row>
    <row r="777" hidden="1">
      <c r="A777" s="2" t="s">
        <v>2093</v>
      </c>
      <c r="B777" s="2" t="s">
        <v>1015</v>
      </c>
      <c r="C777" s="2" t="s">
        <v>1439</v>
      </c>
      <c r="D777" s="2" t="s">
        <v>64</v>
      </c>
      <c r="E777" s="7" t="b">
        <v>1</v>
      </c>
      <c r="F777" s="9">
        <v>807.0</v>
      </c>
      <c r="G777" s="9">
        <v>4.173838688407469</v>
      </c>
      <c r="H777" s="9">
        <v>0.003479721189591</v>
      </c>
      <c r="I777" s="7" t="b">
        <v>1</v>
      </c>
      <c r="J777" s="9">
        <v>0.0</v>
      </c>
      <c r="K777" s="7" t="b">
        <v>0</v>
      </c>
      <c r="L777" s="9">
        <v>163.0</v>
      </c>
      <c r="M777" s="9">
        <v>0.202</v>
      </c>
      <c r="N777" s="2" t="s">
        <v>509</v>
      </c>
      <c r="O777" s="2" t="s">
        <v>1373</v>
      </c>
      <c r="P777" s="9">
        <v>73.8</v>
      </c>
      <c r="Q777" s="9">
        <v>70.0</v>
      </c>
      <c r="R777" s="9">
        <v>0.0</v>
      </c>
      <c r="S777" s="9">
        <v>0.4505</v>
      </c>
      <c r="T777" s="9">
        <v>0.5694</v>
      </c>
      <c r="U777" s="2" t="s">
        <v>4447</v>
      </c>
      <c r="V777" s="9">
        <v>0.05</v>
      </c>
      <c r="W777" s="2" t="s">
        <v>1821</v>
      </c>
      <c r="X777" s="2" t="s">
        <v>4183</v>
      </c>
      <c r="Y777" s="2" t="s">
        <v>1788</v>
      </c>
      <c r="Z777" s="9">
        <v>0.4235</v>
      </c>
      <c r="AA777" s="9">
        <v>0.4505</v>
      </c>
      <c r="AB777" s="9">
        <v>0.05</v>
      </c>
      <c r="AC777" s="9">
        <v>0.1182</v>
      </c>
      <c r="AD777" s="9" t="str">
        <f t="shared" si="1"/>
        <v>#REF!</v>
      </c>
    </row>
    <row r="778" hidden="1">
      <c r="A778" s="2" t="s">
        <v>2093</v>
      </c>
      <c r="B778" s="2" t="s">
        <v>1019</v>
      </c>
      <c r="C778" s="2" t="s">
        <v>1439</v>
      </c>
      <c r="D778" s="2" t="s">
        <v>64</v>
      </c>
      <c r="E778" s="7" t="b">
        <v>1</v>
      </c>
      <c r="F778" s="9">
        <v>1107.0</v>
      </c>
      <c r="G778" s="9">
        <v>2.512738375279023</v>
      </c>
      <c r="H778" s="9">
        <v>0.0029758861788617</v>
      </c>
      <c r="I778" s="7" t="b">
        <v>1</v>
      </c>
      <c r="J778" s="9">
        <v>0.0</v>
      </c>
      <c r="K778" s="7" t="b">
        <v>0</v>
      </c>
      <c r="L778" s="9">
        <v>552.0</v>
      </c>
      <c r="M778" s="9">
        <v>0.4986</v>
      </c>
      <c r="N778" s="2" t="s">
        <v>4135</v>
      </c>
      <c r="O778" s="2" t="s">
        <v>4568</v>
      </c>
      <c r="P778" s="9">
        <v>80.14</v>
      </c>
      <c r="Q778" s="9">
        <v>92.5</v>
      </c>
      <c r="R778" s="9">
        <v>0.041322</v>
      </c>
      <c r="S778" s="9">
        <v>0.6515</v>
      </c>
      <c r="T778" s="9">
        <v>0.8042</v>
      </c>
      <c r="U778" s="2" t="s">
        <v>3131</v>
      </c>
      <c r="V778" s="9">
        <v>0.1459</v>
      </c>
      <c r="W778" s="2" t="s">
        <v>181</v>
      </c>
      <c r="X778" s="2" t="s">
        <v>1466</v>
      </c>
      <c r="Y778" s="2" t="s">
        <v>3229</v>
      </c>
      <c r="Z778" s="9">
        <v>0.579</v>
      </c>
      <c r="AA778" s="9">
        <v>0.6515</v>
      </c>
      <c r="AB778" s="9">
        <v>0.1459</v>
      </c>
      <c r="AC778" s="9">
        <v>0.1623</v>
      </c>
      <c r="AD778" s="9" t="str">
        <f t="shared" si="1"/>
        <v>#REF!</v>
      </c>
    </row>
    <row r="779" hidden="1">
      <c r="A779" s="2" t="s">
        <v>2093</v>
      </c>
      <c r="B779" s="2" t="s">
        <v>1024</v>
      </c>
      <c r="C779" s="2" t="s">
        <v>1439</v>
      </c>
      <c r="D779" s="2" t="s">
        <v>64</v>
      </c>
      <c r="E779" s="7" t="b">
        <v>1</v>
      </c>
      <c r="F779" s="9">
        <v>85827.0</v>
      </c>
      <c r="G779" s="9">
        <v>23.48540691896676</v>
      </c>
      <c r="H779" s="9">
        <v>0.9637498321041164</v>
      </c>
      <c r="I779" s="7" t="b">
        <v>1</v>
      </c>
      <c r="J779" s="9">
        <v>0.0</v>
      </c>
      <c r="K779" s="7" t="b">
        <v>0</v>
      </c>
      <c r="L779" s="9">
        <v>12649.0</v>
      </c>
      <c r="M779" s="9">
        <v>0.1474</v>
      </c>
      <c r="N779" s="2" t="s">
        <v>4569</v>
      </c>
      <c r="O779" s="2" t="s">
        <v>4570</v>
      </c>
      <c r="P779" s="9">
        <v>86.39</v>
      </c>
      <c r="Q779" s="9">
        <v>100.0</v>
      </c>
      <c r="R779" s="9">
        <v>0.020149</v>
      </c>
      <c r="S779" s="9">
        <v>0.9206</v>
      </c>
      <c r="T779" s="9">
        <v>0.7593</v>
      </c>
      <c r="U779" s="2" t="s">
        <v>3644</v>
      </c>
      <c r="V779" s="9">
        <v>0.1861</v>
      </c>
      <c r="W779" s="2" t="s">
        <v>82</v>
      </c>
      <c r="X779" s="2" t="s">
        <v>517</v>
      </c>
      <c r="Y779" s="2" t="s">
        <v>4571</v>
      </c>
      <c r="Z779" s="9">
        <v>0.8395</v>
      </c>
      <c r="AA779" s="9">
        <v>0.9206</v>
      </c>
      <c r="AB779" s="9">
        <v>0.1861</v>
      </c>
      <c r="AC779" s="9">
        <v>0.1816</v>
      </c>
      <c r="AD779" s="9" t="str">
        <f t="shared" si="1"/>
        <v>#REF!</v>
      </c>
    </row>
    <row r="780" hidden="1">
      <c r="A780" s="2" t="s">
        <v>2093</v>
      </c>
      <c r="B780" s="2" t="s">
        <v>1027</v>
      </c>
      <c r="C780" s="2" t="s">
        <v>1439</v>
      </c>
      <c r="D780" s="2" t="s">
        <v>64</v>
      </c>
      <c r="E780" s="7" t="b">
        <v>1</v>
      </c>
      <c r="F780" s="9">
        <v>6745.0</v>
      </c>
      <c r="G780" s="9">
        <v>8.47961233062763</v>
      </c>
      <c r="H780" s="9">
        <v>0.0479331460340993</v>
      </c>
      <c r="I780" s="7" t="b">
        <v>1</v>
      </c>
      <c r="J780" s="9">
        <v>0.0</v>
      </c>
      <c r="K780" s="7" t="b">
        <v>0</v>
      </c>
      <c r="L780" s="9">
        <v>984.0</v>
      </c>
      <c r="M780" s="9">
        <v>0.1459</v>
      </c>
      <c r="N780" s="2" t="s">
        <v>4572</v>
      </c>
      <c r="O780" s="2" t="s">
        <v>4118</v>
      </c>
      <c r="P780" s="9">
        <v>82.03</v>
      </c>
      <c r="Q780" s="9">
        <v>93.0</v>
      </c>
      <c r="R780" s="9">
        <v>0.02439</v>
      </c>
      <c r="S780" s="9">
        <v>0.7731</v>
      </c>
      <c r="T780" s="9">
        <v>0.8375</v>
      </c>
      <c r="U780" s="2" t="s">
        <v>3598</v>
      </c>
      <c r="V780" s="9">
        <v>0.1116</v>
      </c>
      <c r="W780" s="2" t="s">
        <v>82</v>
      </c>
      <c r="X780" s="2" t="s">
        <v>517</v>
      </c>
      <c r="Y780" s="2" t="s">
        <v>1437</v>
      </c>
      <c r="Z780" s="9">
        <v>0.6614</v>
      </c>
      <c r="AA780" s="9">
        <v>0.7731</v>
      </c>
      <c r="AB780" s="9">
        <v>0.1116</v>
      </c>
      <c r="AC780" s="9">
        <v>0.1614</v>
      </c>
      <c r="AD780" s="9" t="str">
        <f t="shared" si="1"/>
        <v>#REF!</v>
      </c>
    </row>
    <row r="781" hidden="1">
      <c r="A781" s="2" t="s">
        <v>2093</v>
      </c>
      <c r="B781" s="2" t="s">
        <v>1031</v>
      </c>
      <c r="C781" s="2" t="s">
        <v>1439</v>
      </c>
      <c r="D781" s="2" t="s">
        <v>64</v>
      </c>
      <c r="E781" s="7" t="b">
        <v>1</v>
      </c>
      <c r="F781" s="9">
        <v>178.0</v>
      </c>
      <c r="G781" s="9">
        <v>10.36569837320991</v>
      </c>
      <c r="H781" s="9">
        <v>0.004865204494382</v>
      </c>
      <c r="I781" s="7" t="b">
        <v>1</v>
      </c>
      <c r="J781" s="9">
        <v>0.0</v>
      </c>
      <c r="K781" s="7" t="b">
        <v>0</v>
      </c>
      <c r="L781" s="9">
        <v>51.0</v>
      </c>
      <c r="M781" s="9">
        <v>0.2865</v>
      </c>
      <c r="N781" s="2" t="s">
        <v>1450</v>
      </c>
      <c r="O781" s="2" t="s">
        <v>1890</v>
      </c>
      <c r="P781" s="9">
        <v>77.39</v>
      </c>
      <c r="Q781" s="9">
        <v>82.0</v>
      </c>
      <c r="R781" s="9">
        <v>0.125</v>
      </c>
      <c r="S781" s="9">
        <v>0.427</v>
      </c>
      <c r="T781" s="9">
        <v>0.9063</v>
      </c>
      <c r="U781" s="2" t="s">
        <v>4031</v>
      </c>
      <c r="V781" s="9">
        <v>0.7824</v>
      </c>
      <c r="W781" s="2" t="s">
        <v>1193</v>
      </c>
      <c r="X781" s="2" t="s">
        <v>517</v>
      </c>
      <c r="Y781" s="2" t="s">
        <v>2159</v>
      </c>
      <c r="Z781" s="9">
        <v>0.3771</v>
      </c>
      <c r="AA781" s="9">
        <v>0.427</v>
      </c>
      <c r="AB781" s="9">
        <v>0.7824</v>
      </c>
      <c r="AC781" s="9">
        <v>0.1368</v>
      </c>
      <c r="AD781" s="9" t="str">
        <f t="shared" si="1"/>
        <v>#REF!</v>
      </c>
    </row>
    <row r="782" hidden="1">
      <c r="A782" s="2" t="s">
        <v>2014</v>
      </c>
      <c r="B782" s="2" t="s">
        <v>942</v>
      </c>
      <c r="C782" s="2" t="s">
        <v>1439</v>
      </c>
      <c r="D782" s="2" t="s">
        <v>64</v>
      </c>
      <c r="E782" s="7" t="b">
        <v>1</v>
      </c>
      <c r="F782" s="9">
        <v>772.0</v>
      </c>
      <c r="G782" s="9">
        <v>4.342949205401449</v>
      </c>
      <c r="H782" s="9">
        <v>0.001029860880829</v>
      </c>
      <c r="I782" s="7" t="b">
        <v>1</v>
      </c>
      <c r="J782" s="9">
        <v>0.0</v>
      </c>
      <c r="K782" s="7" t="b">
        <v>0</v>
      </c>
      <c r="L782" s="9">
        <v>2826.0</v>
      </c>
      <c r="M782" s="9">
        <v>3.6606</v>
      </c>
      <c r="N782" s="2" t="s">
        <v>4573</v>
      </c>
      <c r="O782" s="2" t="s">
        <v>4136</v>
      </c>
      <c r="P782" s="9">
        <v>51.13</v>
      </c>
      <c r="Q782" s="9">
        <v>46.0</v>
      </c>
      <c r="R782" s="9">
        <v>0.007634</v>
      </c>
      <c r="S782" s="9">
        <v>0.7882</v>
      </c>
      <c r="T782" s="9">
        <v>0.7431</v>
      </c>
      <c r="U782" s="2" t="s">
        <v>3058</v>
      </c>
      <c r="V782" s="9">
        <v>0.8461</v>
      </c>
      <c r="W782" s="2" t="s">
        <v>2760</v>
      </c>
      <c r="X782" s="2" t="s">
        <v>1466</v>
      </c>
      <c r="Y782" s="2" t="s">
        <v>2937</v>
      </c>
      <c r="Z782" s="9">
        <v>0.6855</v>
      </c>
      <c r="AA782" s="9">
        <v>0.7882</v>
      </c>
      <c r="AB782" s="9">
        <v>0.8461</v>
      </c>
      <c r="AC782" s="9">
        <v>0.1679</v>
      </c>
      <c r="AD782" s="9" t="str">
        <f t="shared" si="1"/>
        <v>#REF!</v>
      </c>
    </row>
    <row r="783" hidden="1">
      <c r="A783" s="2" t="s">
        <v>2014</v>
      </c>
      <c r="B783" s="2" t="s">
        <v>997</v>
      </c>
      <c r="C783" s="2" t="s">
        <v>1439</v>
      </c>
      <c r="D783" s="2" t="s">
        <v>64</v>
      </c>
      <c r="E783" s="7" t="b">
        <v>1</v>
      </c>
      <c r="F783" s="9">
        <v>93.0</v>
      </c>
      <c r="G783" s="9">
        <v>19.9795893774204</v>
      </c>
      <c r="H783" s="9">
        <v>0.0025079483870967</v>
      </c>
      <c r="I783" s="7" t="b">
        <v>1</v>
      </c>
      <c r="J783" s="9">
        <v>0.0</v>
      </c>
      <c r="K783" s="7" t="b">
        <v>0</v>
      </c>
      <c r="L783" s="9">
        <v>63.0</v>
      </c>
      <c r="M783" s="9">
        <v>0.6774</v>
      </c>
      <c r="N783" s="2" t="s">
        <v>1984</v>
      </c>
      <c r="O783" s="2" t="s">
        <v>1985</v>
      </c>
      <c r="P783" s="9">
        <v>56.6</v>
      </c>
      <c r="Q783" s="9">
        <v>57.0</v>
      </c>
      <c r="R783" s="9">
        <v>0.111111</v>
      </c>
      <c r="S783" s="9">
        <v>0.5087</v>
      </c>
      <c r="T783" s="9">
        <v>1.0005</v>
      </c>
      <c r="U783" s="2" t="s">
        <v>1717</v>
      </c>
      <c r="V783" s="9">
        <v>0.3</v>
      </c>
      <c r="W783" s="2" t="s">
        <v>157</v>
      </c>
      <c r="X783" s="2" t="s">
        <v>495</v>
      </c>
      <c r="Y783" s="2" t="s">
        <v>1418</v>
      </c>
      <c r="Z783" s="9">
        <v>0.3982</v>
      </c>
      <c r="AA783" s="9">
        <v>0.5087</v>
      </c>
      <c r="AB783" s="9">
        <v>0.3</v>
      </c>
      <c r="AC783" s="9">
        <v>0.7577</v>
      </c>
      <c r="AD783" s="9" t="str">
        <f t="shared" si="1"/>
        <v>#REF!</v>
      </c>
    </row>
    <row r="784" hidden="1">
      <c r="A784" s="2" t="s">
        <v>2021</v>
      </c>
      <c r="B784" s="2" t="s">
        <v>942</v>
      </c>
      <c r="C784" s="2" t="s">
        <v>1439</v>
      </c>
      <c r="D784" s="2" t="s">
        <v>64</v>
      </c>
      <c r="E784" s="7" t="b">
        <v>1</v>
      </c>
      <c r="F784" s="9">
        <v>1876.0</v>
      </c>
      <c r="G784" s="9">
        <v>3.04043637960087</v>
      </c>
      <c r="H784" s="9">
        <v>0.00122448054371</v>
      </c>
      <c r="I784" s="7" t="b">
        <v>1</v>
      </c>
      <c r="J784" s="9">
        <v>0.0</v>
      </c>
      <c r="K784" s="7" t="b">
        <v>0</v>
      </c>
      <c r="L784" s="9">
        <v>8587.0</v>
      </c>
      <c r="M784" s="9">
        <v>4.5773</v>
      </c>
      <c r="N784" s="2" t="s">
        <v>4574</v>
      </c>
      <c r="O784" s="2" t="s">
        <v>2149</v>
      </c>
      <c r="P784" s="9">
        <v>50.71</v>
      </c>
      <c r="Q784" s="9">
        <v>45.0</v>
      </c>
      <c r="R784" s="9">
        <v>0.012482</v>
      </c>
      <c r="S784" s="9">
        <v>0.8234</v>
      </c>
      <c r="T784" s="9">
        <v>0.5455</v>
      </c>
      <c r="U784" s="2" t="s">
        <v>2193</v>
      </c>
      <c r="V784" s="9">
        <v>0.8463</v>
      </c>
      <c r="W784" s="2" t="s">
        <v>2760</v>
      </c>
      <c r="X784" s="2" t="s">
        <v>495</v>
      </c>
      <c r="Y784" s="2" t="s">
        <v>2889</v>
      </c>
      <c r="Z784" s="9">
        <v>0.7441</v>
      </c>
      <c r="AA784" s="9">
        <v>0.8234</v>
      </c>
      <c r="AB784" s="9">
        <v>0.8463</v>
      </c>
      <c r="AC784" s="9">
        <v>0.1677</v>
      </c>
      <c r="AD784" s="9" t="str">
        <f t="shared" si="1"/>
        <v>#REF!</v>
      </c>
    </row>
    <row r="785" hidden="1">
      <c r="A785" s="2" t="s">
        <v>725</v>
      </c>
      <c r="B785" s="2" t="s">
        <v>227</v>
      </c>
      <c r="C785" s="2" t="s">
        <v>119</v>
      </c>
      <c r="D785" s="2" t="s">
        <v>64</v>
      </c>
      <c r="E785" s="7" t="b">
        <v>1</v>
      </c>
      <c r="F785" s="9">
        <v>94.0</v>
      </c>
      <c r="G785" s="9">
        <v>16.95143747926296</v>
      </c>
      <c r="H785" s="9">
        <v>0.0099768914893617</v>
      </c>
      <c r="I785" s="7" t="b">
        <v>1</v>
      </c>
      <c r="J785" s="9">
        <v>0.0</v>
      </c>
      <c r="K785" s="7" t="b">
        <v>0</v>
      </c>
      <c r="L785" s="9">
        <v>587.0</v>
      </c>
      <c r="M785" s="9">
        <v>6.2447</v>
      </c>
      <c r="N785" s="2" t="s">
        <v>4575</v>
      </c>
      <c r="O785" s="2" t="s">
        <v>2683</v>
      </c>
      <c r="P785" s="9">
        <v>49.29</v>
      </c>
      <c r="Q785" s="9">
        <v>47.0</v>
      </c>
      <c r="R785" s="9">
        <v>0.023622</v>
      </c>
      <c r="S785" s="9">
        <v>0.3658</v>
      </c>
      <c r="T785" s="9">
        <v>0.2566</v>
      </c>
      <c r="U785" s="2" t="s">
        <v>4539</v>
      </c>
      <c r="V785" s="9">
        <v>0.8824</v>
      </c>
      <c r="W785" s="2" t="s">
        <v>82</v>
      </c>
      <c r="X785" s="2" t="s">
        <v>495</v>
      </c>
      <c r="Y785" s="2" t="s">
        <v>1479</v>
      </c>
      <c r="Z785" s="9">
        <v>0.3823</v>
      </c>
      <c r="AA785" s="9">
        <v>0.3658</v>
      </c>
      <c r="AB785" s="9">
        <v>0.8824</v>
      </c>
      <c r="AC785" s="9">
        <v>0.2024</v>
      </c>
      <c r="AD785" s="9" t="str">
        <f t="shared" si="1"/>
        <v>#REF!</v>
      </c>
    </row>
    <row r="786" hidden="1">
      <c r="A786" s="2" t="s">
        <v>725</v>
      </c>
      <c r="B786" s="2" t="s">
        <v>997</v>
      </c>
      <c r="C786" s="2" t="s">
        <v>119</v>
      </c>
      <c r="D786" s="2" t="s">
        <v>64</v>
      </c>
      <c r="E786" s="7" t="b">
        <v>1</v>
      </c>
      <c r="F786" s="9">
        <v>187.0</v>
      </c>
      <c r="G786" s="9">
        <v>24.20067694977688</v>
      </c>
      <c r="H786" s="9">
        <v>0.0073850609625668</v>
      </c>
      <c r="I786" s="7" t="b">
        <v>1</v>
      </c>
      <c r="J786" s="9">
        <v>0.0</v>
      </c>
      <c r="K786" s="7" t="b">
        <v>0</v>
      </c>
      <c r="L786" s="9">
        <v>131.0</v>
      </c>
      <c r="M786" s="9">
        <v>0.7005</v>
      </c>
      <c r="N786" s="2" t="s">
        <v>2007</v>
      </c>
      <c r="O786" s="2" t="s">
        <v>2008</v>
      </c>
      <c r="P786" s="9">
        <v>63.81</v>
      </c>
      <c r="Q786" s="9">
        <v>53.0</v>
      </c>
      <c r="R786" s="9">
        <v>0.0</v>
      </c>
      <c r="S786" s="9">
        <v>0.5978</v>
      </c>
      <c r="T786" s="9">
        <v>0.989</v>
      </c>
      <c r="U786" s="2" t="s">
        <v>3270</v>
      </c>
      <c r="V786" s="9">
        <v>0.55</v>
      </c>
      <c r="W786" s="2" t="s">
        <v>157</v>
      </c>
      <c r="X786" s="2" t="s">
        <v>495</v>
      </c>
      <c r="Y786" s="2" t="s">
        <v>1718</v>
      </c>
      <c r="Z786" s="9">
        <v>0.4665</v>
      </c>
      <c r="AA786" s="9">
        <v>0.5978</v>
      </c>
      <c r="AB786" s="9">
        <v>0.55</v>
      </c>
      <c r="AC786" s="9">
        <v>0.7381</v>
      </c>
      <c r="AD786" s="9" t="str">
        <f t="shared" si="1"/>
        <v>#REF!</v>
      </c>
    </row>
    <row r="787" hidden="1">
      <c r="A787" s="2" t="s">
        <v>742</v>
      </c>
      <c r="B787" s="2" t="s">
        <v>997</v>
      </c>
      <c r="C787" s="2" t="s">
        <v>119</v>
      </c>
      <c r="D787" s="2" t="s">
        <v>64</v>
      </c>
      <c r="E787" s="7" t="b">
        <v>1</v>
      </c>
      <c r="F787" s="9">
        <v>482.0</v>
      </c>
      <c r="G787" s="9">
        <v>20.60863465282529</v>
      </c>
      <c r="H787" s="9">
        <v>0.0137559734439834</v>
      </c>
      <c r="I787" s="7" t="b">
        <v>1</v>
      </c>
      <c r="J787" s="9">
        <v>0.0</v>
      </c>
      <c r="K787" s="7" t="b">
        <v>0</v>
      </c>
      <c r="L787" s="9">
        <v>243.0</v>
      </c>
      <c r="M787" s="9">
        <v>0.5041</v>
      </c>
      <c r="N787" s="2" t="s">
        <v>2074</v>
      </c>
      <c r="O787" s="2" t="s">
        <v>1579</v>
      </c>
      <c r="P787" s="9">
        <v>59.79</v>
      </c>
      <c r="Q787" s="9">
        <v>50.0</v>
      </c>
      <c r="R787" s="9">
        <v>0.05</v>
      </c>
      <c r="S787" s="9">
        <v>0.6648</v>
      </c>
      <c r="T787" s="9">
        <v>0.9864</v>
      </c>
      <c r="U787" s="2" t="s">
        <v>740</v>
      </c>
      <c r="V787" s="9">
        <v>0.8068</v>
      </c>
      <c r="W787" s="2" t="s">
        <v>157</v>
      </c>
      <c r="X787" s="2" t="s">
        <v>495</v>
      </c>
      <c r="Y787" s="2" t="s">
        <v>1980</v>
      </c>
      <c r="Z787" s="9">
        <v>0.5252</v>
      </c>
      <c r="AA787" s="9">
        <v>0.6648</v>
      </c>
      <c r="AB787" s="9">
        <v>0.8068</v>
      </c>
      <c r="AC787" s="9">
        <v>0.2754</v>
      </c>
      <c r="AD787" s="9" t="str">
        <f t="shared" si="1"/>
        <v>#REF!</v>
      </c>
    </row>
    <row r="788" hidden="1">
      <c r="A788" s="2" t="s">
        <v>754</v>
      </c>
      <c r="B788" s="2" t="s">
        <v>534</v>
      </c>
      <c r="C788" s="2" t="s">
        <v>119</v>
      </c>
      <c r="D788" s="2" t="s">
        <v>64</v>
      </c>
      <c r="E788" s="7" t="b">
        <v>1</v>
      </c>
      <c r="F788" s="9">
        <v>547.0</v>
      </c>
      <c r="G788" s="9">
        <v>8.123071348648919</v>
      </c>
      <c r="H788" s="9">
        <v>0.0024448113345521</v>
      </c>
      <c r="I788" s="7" t="b">
        <v>1</v>
      </c>
      <c r="J788" s="9">
        <v>0.0</v>
      </c>
      <c r="K788" s="7" t="b">
        <v>0</v>
      </c>
      <c r="L788" s="9">
        <v>160.0</v>
      </c>
      <c r="M788" s="9">
        <v>0.2925</v>
      </c>
      <c r="N788" s="2" t="s">
        <v>1382</v>
      </c>
      <c r="O788" s="2" t="s">
        <v>1383</v>
      </c>
      <c r="P788" s="9">
        <v>56.92</v>
      </c>
      <c r="Q788" s="9">
        <v>50.0</v>
      </c>
      <c r="R788" s="9">
        <v>0.0</v>
      </c>
      <c r="S788" s="9">
        <v>0.5413</v>
      </c>
      <c r="T788" s="9">
        <v>0.83</v>
      </c>
      <c r="U788" s="2" t="s">
        <v>2656</v>
      </c>
      <c r="V788" s="9">
        <v>0.0</v>
      </c>
      <c r="W788" s="2" t="s">
        <v>157</v>
      </c>
      <c r="X788" s="2" t="s">
        <v>1466</v>
      </c>
      <c r="Y788" s="2" t="s">
        <v>2836</v>
      </c>
      <c r="Z788" s="9">
        <v>0.4524</v>
      </c>
      <c r="AA788" s="9">
        <v>0.5413</v>
      </c>
      <c r="AB788" s="9">
        <v>0.0</v>
      </c>
      <c r="AC788" s="9">
        <v>0.7015</v>
      </c>
      <c r="AD788" s="9" t="str">
        <f t="shared" si="1"/>
        <v>#REF!</v>
      </c>
    </row>
    <row r="789" hidden="1">
      <c r="A789" s="2" t="s">
        <v>754</v>
      </c>
      <c r="B789" s="2" t="s">
        <v>611</v>
      </c>
      <c r="C789" s="2" t="s">
        <v>119</v>
      </c>
      <c r="D789" s="2" t="s">
        <v>64</v>
      </c>
      <c r="E789" s="7" t="b">
        <v>1</v>
      </c>
      <c r="F789" s="9">
        <v>4314.0</v>
      </c>
      <c r="G789" s="9">
        <v>4.635737738266612</v>
      </c>
      <c r="H789" s="9">
        <v>0.0074115709318497</v>
      </c>
      <c r="I789" s="7" t="b">
        <v>1</v>
      </c>
      <c r="J789" s="9">
        <v>0.0</v>
      </c>
      <c r="K789" s="7" t="b">
        <v>0</v>
      </c>
      <c r="L789" s="9">
        <v>111.0</v>
      </c>
      <c r="M789" s="9">
        <v>0.0257</v>
      </c>
      <c r="N789" s="2" t="s">
        <v>1460</v>
      </c>
      <c r="O789" s="2" t="s">
        <v>2330</v>
      </c>
      <c r="P789" s="9">
        <v>38.65</v>
      </c>
      <c r="Q789" s="9">
        <v>36.0</v>
      </c>
      <c r="R789" s="9">
        <v>0.0</v>
      </c>
      <c r="S789" s="9">
        <v>0.3938</v>
      </c>
      <c r="T789" s="9">
        <v>0.5372</v>
      </c>
      <c r="U789" s="2" t="s">
        <v>4326</v>
      </c>
      <c r="V789" s="9">
        <v>0.87</v>
      </c>
      <c r="W789" s="2" t="s">
        <v>82</v>
      </c>
      <c r="X789" s="2" t="s">
        <v>1466</v>
      </c>
      <c r="Y789" s="2" t="s">
        <v>2625</v>
      </c>
      <c r="Z789" s="9">
        <v>0.3607</v>
      </c>
      <c r="AA789" s="9">
        <v>0.3938</v>
      </c>
      <c r="AB789" s="9">
        <v>0.87</v>
      </c>
      <c r="AC789" s="9">
        <v>0.1058</v>
      </c>
      <c r="AD789" s="9" t="str">
        <f t="shared" si="1"/>
        <v>#REF!</v>
      </c>
    </row>
    <row r="790" hidden="1">
      <c r="A790" s="2" t="s">
        <v>754</v>
      </c>
      <c r="B790" s="2" t="s">
        <v>982</v>
      </c>
      <c r="C790" s="2" t="s">
        <v>119</v>
      </c>
      <c r="D790" s="2" t="s">
        <v>64</v>
      </c>
      <c r="E790" s="7" t="b">
        <v>1</v>
      </c>
      <c r="F790" s="9">
        <v>231.0</v>
      </c>
      <c r="G790" s="9">
        <v>17.12200194048989</v>
      </c>
      <c r="H790" s="9">
        <v>0.0321066666666666</v>
      </c>
      <c r="I790" s="7" t="b">
        <v>1</v>
      </c>
      <c r="J790" s="9">
        <v>0.0</v>
      </c>
      <c r="K790" s="7" t="b">
        <v>0</v>
      </c>
      <c r="L790" s="9">
        <v>622.0</v>
      </c>
      <c r="M790" s="9">
        <v>2.6926</v>
      </c>
      <c r="N790" s="2" t="s">
        <v>4248</v>
      </c>
      <c r="O790" s="2" t="s">
        <v>4576</v>
      </c>
      <c r="P790" s="9">
        <v>66.77</v>
      </c>
      <c r="Q790" s="9">
        <v>61.0</v>
      </c>
      <c r="R790" s="9">
        <v>0.009174</v>
      </c>
      <c r="S790" s="9">
        <v>0.8144</v>
      </c>
      <c r="T790" s="9">
        <v>0.9926</v>
      </c>
      <c r="U790" s="2" t="s">
        <v>2338</v>
      </c>
      <c r="V790" s="9">
        <v>0.7246</v>
      </c>
      <c r="W790" s="2" t="s">
        <v>134</v>
      </c>
      <c r="X790" s="2" t="s">
        <v>237</v>
      </c>
      <c r="Y790" s="2" t="s">
        <v>4561</v>
      </c>
      <c r="Z790" s="9">
        <v>0.648</v>
      </c>
      <c r="AA790" s="9">
        <v>0.8144</v>
      </c>
      <c r="AB790" s="9">
        <v>0.7246</v>
      </c>
      <c r="AC790" s="9">
        <v>0.7651</v>
      </c>
      <c r="AD790" s="9" t="str">
        <f t="shared" si="1"/>
        <v>#REF!</v>
      </c>
    </row>
    <row r="791" hidden="1">
      <c r="A791" s="2" t="s">
        <v>754</v>
      </c>
      <c r="B791" s="2" t="s">
        <v>992</v>
      </c>
      <c r="C791" s="2" t="s">
        <v>119</v>
      </c>
      <c r="D791" s="2" t="s">
        <v>64</v>
      </c>
      <c r="E791" s="7" t="b">
        <v>1</v>
      </c>
      <c r="F791" s="9">
        <v>343.0</v>
      </c>
      <c r="G791" s="9">
        <v>23.03228179082433</v>
      </c>
      <c r="H791" s="9">
        <v>0.0875206705539358</v>
      </c>
      <c r="I791" s="7" t="b">
        <v>1</v>
      </c>
      <c r="J791" s="9">
        <v>0.0</v>
      </c>
      <c r="K791" s="7" t="b">
        <v>0</v>
      </c>
      <c r="L791" s="9">
        <v>649.0</v>
      </c>
      <c r="M791" s="9">
        <v>1.8921</v>
      </c>
      <c r="N791" s="2" t="s">
        <v>4078</v>
      </c>
      <c r="O791" s="2" t="s">
        <v>2528</v>
      </c>
      <c r="P791" s="9">
        <v>69.38</v>
      </c>
      <c r="Q791" s="9">
        <v>67.0</v>
      </c>
      <c r="R791" s="9">
        <v>0.0</v>
      </c>
      <c r="S791" s="9">
        <v>0.8091</v>
      </c>
      <c r="T791" s="9">
        <v>0.9914</v>
      </c>
      <c r="U791" s="2" t="s">
        <v>3545</v>
      </c>
      <c r="V791" s="9">
        <v>0.8193</v>
      </c>
      <c r="W791" s="2" t="s">
        <v>157</v>
      </c>
      <c r="X791" s="2" t="s">
        <v>237</v>
      </c>
      <c r="Y791" s="2" t="s">
        <v>4561</v>
      </c>
      <c r="Z791" s="9">
        <v>0.6429</v>
      </c>
      <c r="AA791" s="9">
        <v>0.8091</v>
      </c>
      <c r="AB791" s="9">
        <v>0.8193</v>
      </c>
      <c r="AC791" s="9">
        <v>0.8402</v>
      </c>
      <c r="AD791" s="9" t="str">
        <f t="shared" si="1"/>
        <v>#REF!</v>
      </c>
    </row>
    <row r="792" hidden="1">
      <c r="A792" s="2" t="s">
        <v>754</v>
      </c>
      <c r="B792" s="2" t="s">
        <v>997</v>
      </c>
      <c r="C792" s="2" t="s">
        <v>119</v>
      </c>
      <c r="D792" s="2" t="s">
        <v>64</v>
      </c>
      <c r="E792" s="7" t="b">
        <v>1</v>
      </c>
      <c r="F792" s="9">
        <v>1263.0</v>
      </c>
      <c r="G792" s="9">
        <v>30.24915117712004</v>
      </c>
      <c r="H792" s="9">
        <v>0.0762710562153602</v>
      </c>
      <c r="I792" s="7" t="b">
        <v>1</v>
      </c>
      <c r="J792" s="9">
        <v>0.0</v>
      </c>
      <c r="K792" s="7" t="b">
        <v>0</v>
      </c>
      <c r="L792" s="9">
        <v>845.0</v>
      </c>
      <c r="M792" s="9">
        <v>0.669</v>
      </c>
      <c r="N792" s="2" t="s">
        <v>884</v>
      </c>
      <c r="O792" s="2" t="s">
        <v>2240</v>
      </c>
      <c r="P792" s="9">
        <v>70.2</v>
      </c>
      <c r="Q792" s="9">
        <v>68.0</v>
      </c>
      <c r="R792" s="9">
        <v>0.04</v>
      </c>
      <c r="S792" s="9">
        <v>0.8031</v>
      </c>
      <c r="T792" s="9">
        <v>0.9986</v>
      </c>
      <c r="U792" s="2" t="s">
        <v>603</v>
      </c>
      <c r="V792" s="9">
        <v>0.8196</v>
      </c>
      <c r="W792" s="2" t="s">
        <v>157</v>
      </c>
      <c r="X792" s="2" t="s">
        <v>84</v>
      </c>
      <c r="Y792" s="2" t="s">
        <v>2675</v>
      </c>
      <c r="Z792" s="9">
        <v>0.6448</v>
      </c>
      <c r="AA792" s="9">
        <v>0.8031</v>
      </c>
      <c r="AB792" s="9">
        <v>0.8196</v>
      </c>
      <c r="AC792" s="9">
        <v>0.7173</v>
      </c>
      <c r="AD792" s="9" t="str">
        <f t="shared" si="1"/>
        <v>#REF!</v>
      </c>
    </row>
    <row r="793" hidden="1">
      <c r="A793" s="2" t="s">
        <v>837</v>
      </c>
      <c r="B793" s="2" t="s">
        <v>474</v>
      </c>
      <c r="C793" s="2" t="s">
        <v>119</v>
      </c>
      <c r="D793" s="2" t="s">
        <v>64</v>
      </c>
      <c r="E793" s="7" t="b">
        <v>1</v>
      </c>
      <c r="F793" s="9">
        <v>34.0</v>
      </c>
      <c r="G793" s="9">
        <v>8.044077179257174</v>
      </c>
      <c r="H793" s="9">
        <v>0.0031025647058823</v>
      </c>
      <c r="I793" s="7" t="b">
        <v>1</v>
      </c>
      <c r="J793" s="9">
        <v>0.0</v>
      </c>
      <c r="K793" s="7" t="b">
        <v>0</v>
      </c>
      <c r="L793" s="9">
        <v>81.0</v>
      </c>
      <c r="M793" s="9">
        <v>2.3824</v>
      </c>
      <c r="N793" s="2" t="s">
        <v>2329</v>
      </c>
      <c r="O793" s="2" t="s">
        <v>1462</v>
      </c>
      <c r="P793" s="9">
        <v>44.83</v>
      </c>
      <c r="Q793" s="9">
        <v>38.0</v>
      </c>
      <c r="R793" s="9">
        <v>0.0</v>
      </c>
      <c r="S793" s="9">
        <v>0.3964</v>
      </c>
      <c r="T793" s="9">
        <v>0.6993</v>
      </c>
      <c r="U793" s="2" t="s">
        <v>2751</v>
      </c>
      <c r="V793" s="9">
        <v>0.55</v>
      </c>
      <c r="W793" s="2" t="s">
        <v>82</v>
      </c>
      <c r="X793" s="2" t="s">
        <v>517</v>
      </c>
      <c r="Y793" s="2" t="s">
        <v>4577</v>
      </c>
      <c r="Z793" s="9">
        <v>0.3228</v>
      </c>
      <c r="AA793" s="9">
        <v>0.3964</v>
      </c>
      <c r="AB793" s="9">
        <v>0.55</v>
      </c>
      <c r="AC793" s="9">
        <v>0.1559</v>
      </c>
      <c r="AD793" s="9" t="str">
        <f t="shared" si="1"/>
        <v>#REF!</v>
      </c>
    </row>
    <row r="794">
      <c r="A794" s="2" t="s">
        <v>837</v>
      </c>
      <c r="B794" s="2" t="s">
        <v>306</v>
      </c>
      <c r="C794" s="2" t="s">
        <v>119</v>
      </c>
      <c r="D794" s="2" t="s">
        <v>64</v>
      </c>
      <c r="E794" s="7" t="b">
        <v>1</v>
      </c>
      <c r="F794" s="9">
        <v>1890.0</v>
      </c>
      <c r="G794" s="9">
        <v>39.75937502120632</v>
      </c>
      <c r="H794" s="9">
        <v>0.8792400317460317</v>
      </c>
      <c r="I794" s="7" t="b">
        <v>1</v>
      </c>
      <c r="J794" s="9">
        <v>0.0</v>
      </c>
      <c r="K794" s="7" t="b">
        <v>0</v>
      </c>
      <c r="L794" s="9">
        <v>1905.0</v>
      </c>
      <c r="M794" s="9">
        <v>1.0079</v>
      </c>
      <c r="N794" s="2" t="s">
        <v>4578</v>
      </c>
      <c r="O794" s="2" t="s">
        <v>4579</v>
      </c>
      <c r="P794" s="9">
        <v>73.67</v>
      </c>
      <c r="Q794" s="9">
        <v>73.0</v>
      </c>
      <c r="R794" s="9">
        <v>0.00551</v>
      </c>
      <c r="S794" s="9">
        <v>0.9182</v>
      </c>
      <c r="T794" s="9">
        <v>0.9893</v>
      </c>
      <c r="U794" s="2" t="s">
        <v>465</v>
      </c>
      <c r="V794" s="9">
        <v>0.8602</v>
      </c>
      <c r="W794" s="2" t="s">
        <v>82</v>
      </c>
      <c r="X794" s="2" t="s">
        <v>84</v>
      </c>
      <c r="Y794" s="2" t="s">
        <v>1572</v>
      </c>
      <c r="Z794" s="9">
        <v>0.7634</v>
      </c>
      <c r="AA794" s="9">
        <v>0.9182</v>
      </c>
      <c r="AB794" s="9">
        <v>0.8602</v>
      </c>
      <c r="AC794" s="9">
        <v>0.8623</v>
      </c>
      <c r="AD794" s="9" t="str">
        <f t="shared" si="1"/>
        <v>#REF!</v>
      </c>
    </row>
    <row r="795" hidden="1">
      <c r="A795" s="2" t="s">
        <v>766</v>
      </c>
      <c r="B795" s="2" t="s">
        <v>997</v>
      </c>
      <c r="C795" s="2" t="s">
        <v>119</v>
      </c>
      <c r="D795" s="2" t="s">
        <v>64</v>
      </c>
      <c r="E795" s="7" t="b">
        <v>1</v>
      </c>
      <c r="F795" s="9">
        <v>438.0</v>
      </c>
      <c r="G795" s="9">
        <v>25.11976158792489</v>
      </c>
      <c r="H795" s="9">
        <v>0.0185586977168949</v>
      </c>
      <c r="I795" s="7" t="b">
        <v>1</v>
      </c>
      <c r="J795" s="9">
        <v>0.0</v>
      </c>
      <c r="K795" s="7" t="b">
        <v>0</v>
      </c>
      <c r="L795" s="9">
        <v>319.0</v>
      </c>
      <c r="M795" s="9">
        <v>0.7283</v>
      </c>
      <c r="N795" s="2" t="s">
        <v>2840</v>
      </c>
      <c r="O795" s="2" t="s">
        <v>2629</v>
      </c>
      <c r="P795" s="9">
        <v>60.92</v>
      </c>
      <c r="Q795" s="9">
        <v>50.0</v>
      </c>
      <c r="R795" s="9">
        <v>0.0</v>
      </c>
      <c r="S795" s="9">
        <v>0.7025</v>
      </c>
      <c r="T795" s="9">
        <v>0.9995</v>
      </c>
      <c r="U795" s="2" t="s">
        <v>1165</v>
      </c>
      <c r="V795" s="9">
        <v>0.87</v>
      </c>
      <c r="W795" s="2" t="s">
        <v>157</v>
      </c>
      <c r="X795" s="2" t="s">
        <v>495</v>
      </c>
      <c r="Y795" s="2" t="s">
        <v>1718</v>
      </c>
      <c r="Z795" s="9">
        <v>0.5524</v>
      </c>
      <c r="AA795" s="9">
        <v>0.7025</v>
      </c>
      <c r="AB795" s="9">
        <v>0.87</v>
      </c>
      <c r="AC795" s="9">
        <v>0.7315</v>
      </c>
      <c r="AD795" s="9" t="str">
        <f t="shared" si="1"/>
        <v>#REF!</v>
      </c>
    </row>
    <row r="796" hidden="1">
      <c r="A796" s="2" t="s">
        <v>771</v>
      </c>
      <c r="B796" s="2" t="s">
        <v>997</v>
      </c>
      <c r="C796" s="2" t="s">
        <v>119</v>
      </c>
      <c r="D796" s="2" t="s">
        <v>64</v>
      </c>
      <c r="E796" s="7" t="b">
        <v>1</v>
      </c>
      <c r="F796" s="9">
        <v>96.0</v>
      </c>
      <c r="G796" s="9">
        <v>28.26403936126998</v>
      </c>
      <c r="H796" s="9">
        <v>0.005176315625</v>
      </c>
      <c r="I796" s="7" t="b">
        <v>1</v>
      </c>
      <c r="J796" s="9">
        <v>0.0</v>
      </c>
      <c r="K796" s="7" t="b">
        <v>0</v>
      </c>
      <c r="L796" s="9">
        <v>59.0</v>
      </c>
      <c r="M796" s="9">
        <v>0.6146</v>
      </c>
      <c r="N796" s="2" t="s">
        <v>400</v>
      </c>
      <c r="O796" s="2" t="s">
        <v>402</v>
      </c>
      <c r="P796" s="9">
        <v>67.61</v>
      </c>
      <c r="Q796" s="9">
        <v>64.0</v>
      </c>
      <c r="R796" s="9">
        <v>0.0</v>
      </c>
      <c r="S796" s="9">
        <v>0.5004</v>
      </c>
      <c r="T796" s="9">
        <v>1.0006</v>
      </c>
      <c r="U796" s="2" t="s">
        <v>2656</v>
      </c>
      <c r="V796" s="9">
        <v>0.0</v>
      </c>
      <c r="W796" s="2" t="s">
        <v>157</v>
      </c>
      <c r="X796" s="2" t="s">
        <v>517</v>
      </c>
      <c r="Y796" s="2" t="s">
        <v>1375</v>
      </c>
      <c r="Z796" s="9">
        <v>0.3919</v>
      </c>
      <c r="AA796" s="9">
        <v>0.5004</v>
      </c>
      <c r="AB796" s="9">
        <v>0.0</v>
      </c>
      <c r="AC796" s="9">
        <v>0.8166</v>
      </c>
      <c r="AD796" s="9" t="str">
        <f t="shared" si="1"/>
        <v>#REF!</v>
      </c>
    </row>
    <row r="797" hidden="1">
      <c r="A797" s="2" t="s">
        <v>2201</v>
      </c>
      <c r="B797" s="2" t="s">
        <v>542</v>
      </c>
      <c r="C797" s="2" t="s">
        <v>1439</v>
      </c>
      <c r="D797" s="2" t="s">
        <v>64</v>
      </c>
      <c r="E797" s="7" t="b">
        <v>1</v>
      </c>
      <c r="F797" s="9">
        <v>104.0</v>
      </c>
      <c r="G797" s="9">
        <v>11.90369375828824</v>
      </c>
      <c r="H797" s="9">
        <v>0.0020029884615384</v>
      </c>
      <c r="I797" s="7" t="b">
        <v>1</v>
      </c>
      <c r="J797" s="9">
        <v>0.0</v>
      </c>
      <c r="K797" s="7" t="b">
        <v>0</v>
      </c>
      <c r="L797" s="9">
        <v>136.0</v>
      </c>
      <c r="M797" s="9">
        <v>1.3077</v>
      </c>
      <c r="N797" s="2" t="s">
        <v>1879</v>
      </c>
      <c r="O797" s="2" t="s">
        <v>1880</v>
      </c>
      <c r="P797" s="9">
        <v>72.59</v>
      </c>
      <c r="Q797" s="9">
        <v>71.0</v>
      </c>
      <c r="R797" s="9">
        <v>0.03125</v>
      </c>
      <c r="S797" s="9">
        <v>0.6324</v>
      </c>
      <c r="T797" s="9">
        <v>0.9916</v>
      </c>
      <c r="U797" s="2" t="s">
        <v>4539</v>
      </c>
      <c r="V797" s="9">
        <v>0.05</v>
      </c>
      <c r="W797" s="2" t="s">
        <v>1657</v>
      </c>
      <c r="X797" s="2" t="s">
        <v>517</v>
      </c>
      <c r="Y797" s="2" t="s">
        <v>1399</v>
      </c>
      <c r="Z797" s="9">
        <v>0.4923</v>
      </c>
      <c r="AA797" s="9">
        <v>0.6324</v>
      </c>
      <c r="AB797" s="9">
        <v>0.05</v>
      </c>
      <c r="AC797" s="9">
        <v>0.105</v>
      </c>
      <c r="AD797" s="9" t="str">
        <f t="shared" si="1"/>
        <v>#REF!</v>
      </c>
    </row>
    <row r="798" hidden="1">
      <c r="A798" s="2" t="s">
        <v>2201</v>
      </c>
      <c r="B798" s="2" t="s">
        <v>973</v>
      </c>
      <c r="C798" s="2" t="s">
        <v>1439</v>
      </c>
      <c r="D798" s="2" t="s">
        <v>64</v>
      </c>
      <c r="E798" s="7" t="b">
        <v>1</v>
      </c>
      <c r="F798" s="9">
        <v>55.0</v>
      </c>
      <c r="G798" s="9">
        <v>17.87048542517318</v>
      </c>
      <c r="H798" s="9">
        <v>0.0072183763636363</v>
      </c>
      <c r="I798" s="7" t="b">
        <v>1</v>
      </c>
      <c r="J798" s="9">
        <v>0.0</v>
      </c>
      <c r="K798" s="7" t="b">
        <v>0</v>
      </c>
      <c r="L798" s="9">
        <v>183.0</v>
      </c>
      <c r="M798" s="9">
        <v>3.3273</v>
      </c>
      <c r="N798" s="2" t="s">
        <v>1525</v>
      </c>
      <c r="O798" s="2" t="s">
        <v>1920</v>
      </c>
      <c r="P798" s="9">
        <v>71.02</v>
      </c>
      <c r="Q798" s="9">
        <v>68.0</v>
      </c>
      <c r="R798" s="9">
        <v>0.0</v>
      </c>
      <c r="S798" s="9">
        <v>0.6754</v>
      </c>
      <c r="T798" s="9">
        <v>1.0031</v>
      </c>
      <c r="U798" s="2" t="s">
        <v>930</v>
      </c>
      <c r="V798" s="9">
        <v>0.55</v>
      </c>
      <c r="W798" s="2" t="s">
        <v>1094</v>
      </c>
      <c r="X798" s="2" t="s">
        <v>495</v>
      </c>
      <c r="Y798" s="2" t="s">
        <v>1718</v>
      </c>
      <c r="Z798" s="9">
        <v>0.5235</v>
      </c>
      <c r="AA798" s="9">
        <v>0.6754</v>
      </c>
      <c r="AB798" s="9">
        <v>0.55</v>
      </c>
      <c r="AC798" s="9">
        <v>0.8546</v>
      </c>
      <c r="AD798" s="9" t="str">
        <f t="shared" si="1"/>
        <v>#REF!</v>
      </c>
    </row>
    <row r="799" hidden="1">
      <c r="A799" s="2" t="s">
        <v>2201</v>
      </c>
      <c r="B799" s="2" t="s">
        <v>997</v>
      </c>
      <c r="C799" s="2" t="s">
        <v>1439</v>
      </c>
      <c r="D799" s="2" t="s">
        <v>64</v>
      </c>
      <c r="E799" s="7" t="b">
        <v>1</v>
      </c>
      <c r="F799" s="9">
        <v>156.0</v>
      </c>
      <c r="G799" s="9">
        <v>16.00633683887751</v>
      </c>
      <c r="H799" s="9">
        <v>0.0026981185897435</v>
      </c>
      <c r="I799" s="7" t="b">
        <v>1</v>
      </c>
      <c r="J799" s="9">
        <v>0.0</v>
      </c>
      <c r="K799" s="7" t="b">
        <v>0</v>
      </c>
      <c r="L799" s="9">
        <v>44.0</v>
      </c>
      <c r="M799" s="9">
        <v>0.2821</v>
      </c>
      <c r="N799" s="2" t="s">
        <v>1952</v>
      </c>
      <c r="O799" s="2" t="s">
        <v>1953</v>
      </c>
      <c r="P799" s="9">
        <v>72.45</v>
      </c>
      <c r="Q799" s="9">
        <v>71.0</v>
      </c>
      <c r="R799" s="9">
        <v>0.0</v>
      </c>
      <c r="S799" s="9">
        <v>0.4671</v>
      </c>
      <c r="T799" s="9">
        <v>1.0005</v>
      </c>
      <c r="U799" s="2" t="s">
        <v>1891</v>
      </c>
      <c r="V799" s="15"/>
      <c r="W799" s="2" t="s">
        <v>157</v>
      </c>
      <c r="X799" s="2" t="s">
        <v>182</v>
      </c>
      <c r="Y799" s="2" t="s">
        <v>1491</v>
      </c>
      <c r="Z799" s="9">
        <v>0.3637</v>
      </c>
      <c r="AA799" s="9">
        <v>0.4671</v>
      </c>
      <c r="AB799" s="15"/>
      <c r="AC799" s="9">
        <v>0.6727</v>
      </c>
      <c r="AD799" s="9" t="str">
        <f t="shared" si="1"/>
        <v>#REF!</v>
      </c>
    </row>
    <row r="800" hidden="1">
      <c r="A800" s="2" t="s">
        <v>2199</v>
      </c>
      <c r="B800" s="2" t="s">
        <v>70</v>
      </c>
      <c r="C800" s="2" t="s">
        <v>1439</v>
      </c>
      <c r="D800" s="2" t="s">
        <v>64</v>
      </c>
      <c r="E800" s="7" t="b">
        <v>1</v>
      </c>
      <c r="F800" s="9">
        <v>210.0</v>
      </c>
      <c r="G800" s="9">
        <v>8.372395413849897</v>
      </c>
      <c r="H800" s="9">
        <v>0.0042329866666666</v>
      </c>
      <c r="I800" s="7" t="b">
        <v>1</v>
      </c>
      <c r="J800" s="9">
        <v>0.0</v>
      </c>
      <c r="K800" s="7" t="b">
        <v>0</v>
      </c>
      <c r="L800" s="9">
        <v>558.0</v>
      </c>
      <c r="M800" s="9">
        <v>2.6571</v>
      </c>
      <c r="N800" s="2" t="s">
        <v>1586</v>
      </c>
      <c r="O800" s="2" t="s">
        <v>2034</v>
      </c>
      <c r="P800" s="9">
        <v>63.25</v>
      </c>
      <c r="Q800" s="9">
        <v>57.0</v>
      </c>
      <c r="R800" s="9">
        <v>0.022388</v>
      </c>
      <c r="S800" s="9">
        <v>0.6093</v>
      </c>
      <c r="T800" s="9">
        <v>0.7916</v>
      </c>
      <c r="U800" s="2" t="s">
        <v>2134</v>
      </c>
      <c r="V800" s="9">
        <v>0.8124</v>
      </c>
      <c r="W800" s="2" t="s">
        <v>198</v>
      </c>
      <c r="X800" s="2" t="s">
        <v>517</v>
      </c>
      <c r="Y800" s="2" t="s">
        <v>1593</v>
      </c>
      <c r="Z800" s="9">
        <v>0.5251</v>
      </c>
      <c r="AA800" s="9">
        <v>0.6093</v>
      </c>
      <c r="AB800" s="9">
        <v>0.8124</v>
      </c>
      <c r="AC800" s="9">
        <v>0.1663</v>
      </c>
      <c r="AD800" s="9" t="str">
        <f t="shared" si="1"/>
        <v>#REF!</v>
      </c>
    </row>
    <row r="801" hidden="1">
      <c r="A801" s="2" t="s">
        <v>2199</v>
      </c>
      <c r="B801" s="2" t="s">
        <v>474</v>
      </c>
      <c r="C801" s="2" t="s">
        <v>1439</v>
      </c>
      <c r="D801" s="2" t="s">
        <v>64</v>
      </c>
      <c r="E801" s="7" t="b">
        <v>1</v>
      </c>
      <c r="F801" s="9">
        <v>64.0</v>
      </c>
      <c r="G801" s="9">
        <v>4.728284041575319</v>
      </c>
      <c r="H801" s="9">
        <v>0.00201679375</v>
      </c>
      <c r="I801" s="7" t="b">
        <v>1</v>
      </c>
      <c r="J801" s="9">
        <v>0.0</v>
      </c>
      <c r="K801" s="7" t="b">
        <v>0</v>
      </c>
      <c r="L801" s="9">
        <v>556.0</v>
      </c>
      <c r="M801" s="9">
        <v>8.6875</v>
      </c>
      <c r="N801" s="2" t="s">
        <v>4580</v>
      </c>
      <c r="O801" s="2" t="s">
        <v>4581</v>
      </c>
      <c r="P801" s="9">
        <v>63.09</v>
      </c>
      <c r="Q801" s="9">
        <v>56.0</v>
      </c>
      <c r="R801" s="9">
        <v>0.021739</v>
      </c>
      <c r="S801" s="9">
        <v>0.6029</v>
      </c>
      <c r="T801" s="9">
        <v>0.792</v>
      </c>
      <c r="U801" s="2" t="s">
        <v>2858</v>
      </c>
      <c r="V801" s="9">
        <v>0.8312</v>
      </c>
      <c r="W801" s="2" t="s">
        <v>1591</v>
      </c>
      <c r="X801" s="2" t="s">
        <v>517</v>
      </c>
      <c r="Y801" s="2" t="s">
        <v>3567</v>
      </c>
      <c r="Z801" s="9">
        <v>0.5251</v>
      </c>
      <c r="AA801" s="9">
        <v>0.6029</v>
      </c>
      <c r="AB801" s="9">
        <v>0.8312</v>
      </c>
      <c r="AC801" s="9">
        <v>0.1652</v>
      </c>
      <c r="AD801" s="9" t="str">
        <f t="shared" si="1"/>
        <v>#REF!</v>
      </c>
    </row>
    <row r="802" hidden="1">
      <c r="A802" s="2" t="s">
        <v>2199</v>
      </c>
      <c r="B802" s="2" t="s">
        <v>503</v>
      </c>
      <c r="C802" s="2" t="s">
        <v>1439</v>
      </c>
      <c r="D802" s="2" t="s">
        <v>64</v>
      </c>
      <c r="E802" s="7" t="b">
        <v>1</v>
      </c>
      <c r="F802" s="9">
        <v>1170.0</v>
      </c>
      <c r="G802" s="9">
        <v>8.308957667293686</v>
      </c>
      <c r="H802" s="9">
        <v>0.0071307516239316</v>
      </c>
      <c r="I802" s="7" t="b">
        <v>1</v>
      </c>
      <c r="J802" s="9">
        <v>0.0</v>
      </c>
      <c r="K802" s="7" t="b">
        <v>0</v>
      </c>
      <c r="L802" s="9">
        <v>844.0</v>
      </c>
      <c r="M802" s="9">
        <v>0.7214</v>
      </c>
      <c r="N802" s="2" t="s">
        <v>2914</v>
      </c>
      <c r="O802" s="2" t="s">
        <v>4419</v>
      </c>
      <c r="P802" s="9">
        <v>64.47</v>
      </c>
      <c r="Q802" s="9">
        <v>59.5</v>
      </c>
      <c r="R802" s="9">
        <v>0.0199</v>
      </c>
      <c r="S802" s="9">
        <v>0.666</v>
      </c>
      <c r="T802" s="9">
        <v>0.8259</v>
      </c>
      <c r="U802" s="2" t="s">
        <v>2718</v>
      </c>
      <c r="V802" s="9">
        <v>0.8361</v>
      </c>
      <c r="W802" s="2" t="s">
        <v>157</v>
      </c>
      <c r="X802" s="2" t="s">
        <v>495</v>
      </c>
      <c r="Y802" s="2" t="s">
        <v>1980</v>
      </c>
      <c r="Z802" s="9">
        <v>0.5669</v>
      </c>
      <c r="AA802" s="9">
        <v>0.666</v>
      </c>
      <c r="AB802" s="9">
        <v>0.8361</v>
      </c>
      <c r="AC802" s="9">
        <v>0.1785</v>
      </c>
      <c r="AD802" s="9" t="str">
        <f t="shared" si="1"/>
        <v>#REF!</v>
      </c>
    </row>
    <row r="803" hidden="1">
      <c r="A803" s="2" t="s">
        <v>2199</v>
      </c>
      <c r="B803" s="2" t="s">
        <v>534</v>
      </c>
      <c r="C803" s="2" t="s">
        <v>1439</v>
      </c>
      <c r="D803" s="2" t="s">
        <v>64</v>
      </c>
      <c r="E803" s="7" t="b">
        <v>1</v>
      </c>
      <c r="F803" s="9">
        <v>648.0</v>
      </c>
      <c r="G803" s="9">
        <v>17.66948173243254</v>
      </c>
      <c r="H803" s="9">
        <v>0.0136420666666666</v>
      </c>
      <c r="I803" s="7" t="b">
        <v>1</v>
      </c>
      <c r="J803" s="9">
        <v>0.0</v>
      </c>
      <c r="K803" s="7" t="b">
        <v>0</v>
      </c>
      <c r="L803" s="9">
        <v>267.0</v>
      </c>
      <c r="M803" s="9">
        <v>0.412</v>
      </c>
      <c r="N803" s="2" t="s">
        <v>1597</v>
      </c>
      <c r="O803" s="2" t="s">
        <v>4544</v>
      </c>
      <c r="P803" s="9">
        <v>72.97</v>
      </c>
      <c r="Q803" s="9">
        <v>76.0</v>
      </c>
      <c r="R803" s="9">
        <v>0.025641</v>
      </c>
      <c r="S803" s="9">
        <v>0.6765</v>
      </c>
      <c r="T803" s="9">
        <v>0.9748</v>
      </c>
      <c r="U803" s="2" t="s">
        <v>1891</v>
      </c>
      <c r="V803" s="9">
        <v>0.0</v>
      </c>
      <c r="W803" s="2" t="s">
        <v>1657</v>
      </c>
      <c r="X803" s="2" t="s">
        <v>517</v>
      </c>
      <c r="Y803" s="2" t="s">
        <v>4427</v>
      </c>
      <c r="Z803" s="9">
        <v>0.5374</v>
      </c>
      <c r="AA803" s="9">
        <v>0.6765</v>
      </c>
      <c r="AB803" s="9">
        <v>0.0</v>
      </c>
      <c r="AC803" s="9">
        <v>0.685</v>
      </c>
      <c r="AD803" s="9" t="str">
        <f t="shared" si="1"/>
        <v>#REF!</v>
      </c>
    </row>
    <row r="804" hidden="1">
      <c r="A804" s="2" t="s">
        <v>2199</v>
      </c>
      <c r="B804" s="2" t="s">
        <v>1047</v>
      </c>
      <c r="C804" s="2" t="s">
        <v>1439</v>
      </c>
      <c r="D804" s="2" t="s">
        <v>64</v>
      </c>
      <c r="E804" s="7" t="b">
        <v>1</v>
      </c>
      <c r="F804" s="9">
        <v>186.0</v>
      </c>
      <c r="G804" s="9">
        <v>1.995497766786037</v>
      </c>
      <c r="H804" s="9">
        <v>0.0013214569892473</v>
      </c>
      <c r="I804" s="7" t="b">
        <v>1</v>
      </c>
      <c r="J804" s="9">
        <v>0.0</v>
      </c>
      <c r="K804" s="7" t="b">
        <v>0</v>
      </c>
      <c r="L804" s="9">
        <v>8397.0</v>
      </c>
      <c r="M804" s="9">
        <v>45.1452</v>
      </c>
      <c r="N804" s="2" t="s">
        <v>633</v>
      </c>
      <c r="O804" s="2" t="s">
        <v>3910</v>
      </c>
      <c r="P804" s="9">
        <v>40.01</v>
      </c>
      <c r="Q804" s="9">
        <v>36.0</v>
      </c>
      <c r="R804" s="9">
        <v>0.011905</v>
      </c>
      <c r="S804" s="9">
        <v>0.7437</v>
      </c>
      <c r="T804" s="9">
        <v>0.3084</v>
      </c>
      <c r="U804" s="2" t="s">
        <v>3329</v>
      </c>
      <c r="V804" s="9">
        <v>0.8576</v>
      </c>
      <c r="W804" s="2" t="s">
        <v>1771</v>
      </c>
      <c r="X804" s="2" t="s">
        <v>517</v>
      </c>
      <c r="Y804" s="2" t="s">
        <v>1593</v>
      </c>
      <c r="Z804" s="9">
        <v>0.6652</v>
      </c>
      <c r="AA804" s="9">
        <v>0.7437</v>
      </c>
      <c r="AB804" s="9">
        <v>0.8576</v>
      </c>
      <c r="AC804" s="9">
        <v>0.1525</v>
      </c>
      <c r="AD804" s="9" t="str">
        <f t="shared" si="1"/>
        <v>#REF!</v>
      </c>
    </row>
    <row r="805" hidden="1">
      <c r="A805" s="2" t="s">
        <v>2199</v>
      </c>
      <c r="B805" s="2" t="s">
        <v>1053</v>
      </c>
      <c r="C805" s="2" t="s">
        <v>1439</v>
      </c>
      <c r="D805" s="2" t="s">
        <v>64</v>
      </c>
      <c r="E805" s="7" t="b">
        <v>1</v>
      </c>
      <c r="F805" s="9">
        <v>159.0</v>
      </c>
      <c r="G805" s="9">
        <v>3.09998365123031</v>
      </c>
      <c r="H805" s="9">
        <v>0.0025220106918238</v>
      </c>
      <c r="I805" s="7" t="b">
        <v>1</v>
      </c>
      <c r="J805" s="9">
        <v>0.0</v>
      </c>
      <c r="K805" s="7" t="b">
        <v>0</v>
      </c>
      <c r="L805" s="9">
        <v>8698.0</v>
      </c>
      <c r="M805" s="9">
        <v>54.7044</v>
      </c>
      <c r="N805" s="2" t="s">
        <v>4582</v>
      </c>
      <c r="O805" s="2" t="s">
        <v>4159</v>
      </c>
      <c r="P805" s="9">
        <v>40.04</v>
      </c>
      <c r="Q805" s="9">
        <v>36.0</v>
      </c>
      <c r="R805" s="9">
        <v>0.012946</v>
      </c>
      <c r="S805" s="9">
        <v>0.7442</v>
      </c>
      <c r="T805" s="9">
        <v>0.317</v>
      </c>
      <c r="U805" s="2" t="s">
        <v>2106</v>
      </c>
      <c r="V805" s="9">
        <v>0.8589</v>
      </c>
      <c r="W805" s="2" t="s">
        <v>1600</v>
      </c>
      <c r="X805" s="2" t="s">
        <v>517</v>
      </c>
      <c r="Y805" s="2" t="s">
        <v>1593</v>
      </c>
      <c r="Z805" s="9">
        <v>0.6653</v>
      </c>
      <c r="AA805" s="9">
        <v>0.7442</v>
      </c>
      <c r="AB805" s="9">
        <v>0.8589</v>
      </c>
      <c r="AC805" s="9">
        <v>0.1508</v>
      </c>
      <c r="AD805" s="9" t="str">
        <f t="shared" si="1"/>
        <v>#REF!</v>
      </c>
    </row>
    <row r="806" hidden="1">
      <c r="A806" s="2" t="s">
        <v>2199</v>
      </c>
      <c r="B806" s="2" t="s">
        <v>1093</v>
      </c>
      <c r="C806" s="2" t="s">
        <v>1439</v>
      </c>
      <c r="D806" s="2" t="s">
        <v>64</v>
      </c>
      <c r="E806" s="7" t="b">
        <v>1</v>
      </c>
      <c r="F806" s="9">
        <v>248.0</v>
      </c>
      <c r="G806" s="9">
        <v>9.325460451108446</v>
      </c>
      <c r="H806" s="9">
        <v>0.0260497661290322</v>
      </c>
      <c r="I806" s="7" t="b">
        <v>1</v>
      </c>
      <c r="J806" s="9">
        <v>0.0</v>
      </c>
      <c r="K806" s="7" t="b">
        <v>0</v>
      </c>
      <c r="L806" s="9">
        <v>1289.0</v>
      </c>
      <c r="M806" s="9">
        <v>5.1976</v>
      </c>
      <c r="N806" s="2" t="s">
        <v>4361</v>
      </c>
      <c r="O806" s="2" t="s">
        <v>4583</v>
      </c>
      <c r="P806" s="9">
        <v>58.73</v>
      </c>
      <c r="Q806" s="9">
        <v>53.0</v>
      </c>
      <c r="R806" s="9">
        <v>0.01634</v>
      </c>
      <c r="S806" s="9">
        <v>0.45</v>
      </c>
      <c r="T806" s="9">
        <v>0.2368</v>
      </c>
      <c r="U806" s="2" t="s">
        <v>4329</v>
      </c>
      <c r="V806" s="9">
        <v>0.1832</v>
      </c>
      <c r="W806" s="2" t="s">
        <v>82</v>
      </c>
      <c r="X806" s="2" t="s">
        <v>517</v>
      </c>
      <c r="Y806" s="2" t="s">
        <v>1338</v>
      </c>
      <c r="Z806" s="9">
        <v>0.3119</v>
      </c>
      <c r="AA806" s="9">
        <v>0.45</v>
      </c>
      <c r="AB806" s="9">
        <v>0.1832</v>
      </c>
      <c r="AC806" s="9">
        <v>0.1484</v>
      </c>
      <c r="AD806" s="9" t="str">
        <f t="shared" si="1"/>
        <v>#REF!</v>
      </c>
    </row>
    <row r="807" hidden="1">
      <c r="A807" s="2" t="s">
        <v>1512</v>
      </c>
      <c r="B807" s="2" t="s">
        <v>70</v>
      </c>
      <c r="C807" s="2" t="s">
        <v>119</v>
      </c>
      <c r="D807" s="2" t="s">
        <v>64</v>
      </c>
      <c r="E807" s="7" t="b">
        <v>1</v>
      </c>
      <c r="F807" s="9">
        <v>160.0</v>
      </c>
      <c r="G807" s="9">
        <v>7.587538198509893</v>
      </c>
      <c r="H807" s="9">
        <v>0.002652765</v>
      </c>
      <c r="I807" s="7" t="b">
        <v>1</v>
      </c>
      <c r="J807" s="9">
        <v>0.0</v>
      </c>
      <c r="K807" s="7" t="b">
        <v>0</v>
      </c>
      <c r="L807" s="9">
        <v>348.0</v>
      </c>
      <c r="M807" s="9">
        <v>2.175</v>
      </c>
      <c r="N807" s="2" t="s">
        <v>2002</v>
      </c>
      <c r="O807" s="2" t="s">
        <v>1791</v>
      </c>
      <c r="P807" s="9">
        <v>60.95</v>
      </c>
      <c r="Q807" s="9">
        <v>51.0</v>
      </c>
      <c r="R807" s="9">
        <v>0.03125</v>
      </c>
      <c r="S807" s="9">
        <v>0.5881</v>
      </c>
      <c r="T807" s="9">
        <v>0.8418</v>
      </c>
      <c r="U807" s="2" t="s">
        <v>4186</v>
      </c>
      <c r="V807" s="9">
        <v>0.7546</v>
      </c>
      <c r="W807" s="2" t="s">
        <v>1193</v>
      </c>
      <c r="X807" s="2" t="s">
        <v>495</v>
      </c>
      <c r="Y807" s="2" t="s">
        <v>1980</v>
      </c>
      <c r="Z807" s="9">
        <v>0.4948</v>
      </c>
      <c r="AA807" s="9">
        <v>0.5881</v>
      </c>
      <c r="AB807" s="9">
        <v>0.7546</v>
      </c>
      <c r="AC807" s="9">
        <v>0.1718</v>
      </c>
      <c r="AD807" s="9" t="str">
        <f t="shared" si="1"/>
        <v>#REF!</v>
      </c>
    </row>
    <row r="808" hidden="1">
      <c r="A808" s="2" t="s">
        <v>1512</v>
      </c>
      <c r="B808" s="2" t="s">
        <v>474</v>
      </c>
      <c r="C808" s="2" t="s">
        <v>119</v>
      </c>
      <c r="D808" s="2" t="s">
        <v>64</v>
      </c>
      <c r="E808" s="7" t="b">
        <v>1</v>
      </c>
      <c r="F808" s="9">
        <v>34.0</v>
      </c>
      <c r="G808" s="9">
        <v>4.917251323089016</v>
      </c>
      <c r="H808" s="9">
        <v>0.0011611411764705</v>
      </c>
      <c r="I808" s="7" t="b">
        <v>1</v>
      </c>
      <c r="J808" s="9">
        <v>0.0</v>
      </c>
      <c r="K808" s="7" t="b">
        <v>0</v>
      </c>
      <c r="L808" s="9">
        <v>350.0</v>
      </c>
      <c r="M808" s="9">
        <v>10.2941</v>
      </c>
      <c r="N808" s="2" t="s">
        <v>2002</v>
      </c>
      <c r="O808" s="2" t="s">
        <v>1690</v>
      </c>
      <c r="P808" s="9">
        <v>60.84</v>
      </c>
      <c r="Q808" s="9">
        <v>51.0</v>
      </c>
      <c r="R808" s="9">
        <v>0.030303</v>
      </c>
      <c r="S808" s="9">
        <v>0.5861</v>
      </c>
      <c r="T808" s="9">
        <v>0.8382</v>
      </c>
      <c r="U808" s="2" t="s">
        <v>3783</v>
      </c>
      <c r="V808" s="9">
        <v>0.7315</v>
      </c>
      <c r="W808" s="2" t="s">
        <v>1591</v>
      </c>
      <c r="X808" s="2" t="s">
        <v>495</v>
      </c>
      <c r="Y808" s="2" t="s">
        <v>4547</v>
      </c>
      <c r="Z808" s="9">
        <v>0.4954</v>
      </c>
      <c r="AA808" s="9">
        <v>0.5861</v>
      </c>
      <c r="AB808" s="9">
        <v>0.7315</v>
      </c>
      <c r="AC808" s="9">
        <v>0.1668</v>
      </c>
      <c r="AD808" s="9" t="str">
        <f t="shared" si="1"/>
        <v>#REF!</v>
      </c>
    </row>
    <row r="809" hidden="1">
      <c r="A809" s="2" t="s">
        <v>1512</v>
      </c>
      <c r="B809" s="2" t="s">
        <v>503</v>
      </c>
      <c r="C809" s="2" t="s">
        <v>119</v>
      </c>
      <c r="D809" s="2" t="s">
        <v>64</v>
      </c>
      <c r="E809" s="7" t="b">
        <v>1</v>
      </c>
      <c r="F809" s="9">
        <v>624.0</v>
      </c>
      <c r="G809" s="9">
        <v>8.984237160708076</v>
      </c>
      <c r="H809" s="9">
        <v>0.0044618516025641</v>
      </c>
      <c r="I809" s="7" t="b">
        <v>1</v>
      </c>
      <c r="J809" s="9">
        <v>0.0</v>
      </c>
      <c r="K809" s="7" t="b">
        <v>0</v>
      </c>
      <c r="L809" s="9">
        <v>525.0</v>
      </c>
      <c r="M809" s="9">
        <v>0.8413</v>
      </c>
      <c r="N809" s="2" t="s">
        <v>1597</v>
      </c>
      <c r="O809" s="2" t="s">
        <v>4581</v>
      </c>
      <c r="P809" s="9">
        <v>60.94</v>
      </c>
      <c r="Q809" s="9">
        <v>52.0</v>
      </c>
      <c r="R809" s="9">
        <v>0.031008</v>
      </c>
      <c r="S809" s="9">
        <v>0.6362</v>
      </c>
      <c r="T809" s="9">
        <v>0.8516</v>
      </c>
      <c r="U809" s="2" t="s">
        <v>494</v>
      </c>
      <c r="V809" s="9">
        <v>0.8285</v>
      </c>
      <c r="W809" s="2" t="s">
        <v>157</v>
      </c>
      <c r="X809" s="2" t="s">
        <v>495</v>
      </c>
      <c r="Y809" s="2" t="s">
        <v>1980</v>
      </c>
      <c r="Z809" s="9">
        <v>0.533</v>
      </c>
      <c r="AA809" s="9">
        <v>0.6362</v>
      </c>
      <c r="AB809" s="9">
        <v>0.8285</v>
      </c>
      <c r="AC809" s="9">
        <v>0.2083</v>
      </c>
      <c r="AD809" s="9" t="str">
        <f t="shared" si="1"/>
        <v>#REF!</v>
      </c>
    </row>
    <row r="810" hidden="1">
      <c r="A810" s="2" t="s">
        <v>1512</v>
      </c>
      <c r="B810" s="2" t="s">
        <v>534</v>
      </c>
      <c r="C810" s="2" t="s">
        <v>119</v>
      </c>
      <c r="D810" s="2" t="s">
        <v>64</v>
      </c>
      <c r="E810" s="7" t="b">
        <v>1</v>
      </c>
      <c r="F810" s="9">
        <v>205.0</v>
      </c>
      <c r="G810" s="9">
        <v>24.85026981435907</v>
      </c>
      <c r="H810" s="9">
        <v>0.0085717707317073</v>
      </c>
      <c r="I810" s="7" t="b">
        <v>1</v>
      </c>
      <c r="J810" s="9">
        <v>0.0</v>
      </c>
      <c r="K810" s="7" t="b">
        <v>0</v>
      </c>
      <c r="L810" s="9">
        <v>103.0</v>
      </c>
      <c r="M810" s="9">
        <v>0.5024</v>
      </c>
      <c r="N810" s="2" t="s">
        <v>1784</v>
      </c>
      <c r="O810" s="2" t="s">
        <v>310</v>
      </c>
      <c r="P810" s="9">
        <v>78.77</v>
      </c>
      <c r="Q810" s="9">
        <v>89.0</v>
      </c>
      <c r="R810" s="9">
        <v>0.0</v>
      </c>
      <c r="S810" s="9">
        <v>0.5628</v>
      </c>
      <c r="T810" s="9">
        <v>0.9723</v>
      </c>
      <c r="U810" s="2" t="s">
        <v>2783</v>
      </c>
      <c r="V810" s="15"/>
      <c r="W810" s="2" t="s">
        <v>82</v>
      </c>
      <c r="X810" s="2" t="s">
        <v>1621</v>
      </c>
      <c r="Y810" s="2" t="s">
        <v>4584</v>
      </c>
      <c r="Z810" s="9">
        <v>0.439</v>
      </c>
      <c r="AA810" s="9">
        <v>0.5628</v>
      </c>
      <c r="AB810" s="15"/>
      <c r="AC810" s="9">
        <v>0.247</v>
      </c>
      <c r="AD810" s="9" t="str">
        <f t="shared" si="1"/>
        <v>#REF!</v>
      </c>
    </row>
    <row r="811" hidden="1">
      <c r="A811" s="2" t="s">
        <v>1512</v>
      </c>
      <c r="B811" s="2" t="s">
        <v>1047</v>
      </c>
      <c r="C811" s="2" t="s">
        <v>119</v>
      </c>
      <c r="D811" s="2" t="s">
        <v>64</v>
      </c>
      <c r="E811" s="7" t="b">
        <v>1</v>
      </c>
      <c r="F811" s="9">
        <v>91.0</v>
      </c>
      <c r="G811" s="9">
        <v>2.543437845282509</v>
      </c>
      <c r="H811" s="9">
        <v>0.0010527</v>
      </c>
      <c r="I811" s="7" t="b">
        <v>1</v>
      </c>
      <c r="J811" s="9">
        <v>0.0</v>
      </c>
      <c r="K811" s="7" t="b">
        <v>0</v>
      </c>
      <c r="L811" s="9">
        <v>3029.0</v>
      </c>
      <c r="M811" s="9">
        <v>33.2857</v>
      </c>
      <c r="N811" s="2" t="s">
        <v>4526</v>
      </c>
      <c r="O811" s="2" t="s">
        <v>4585</v>
      </c>
      <c r="P811" s="9">
        <v>42.25</v>
      </c>
      <c r="Q811" s="9">
        <v>38.0</v>
      </c>
      <c r="R811" s="9">
        <v>0.010526</v>
      </c>
      <c r="S811" s="9">
        <v>0.7026</v>
      </c>
      <c r="T811" s="9">
        <v>0.4228</v>
      </c>
      <c r="U811" s="2" t="s">
        <v>4454</v>
      </c>
      <c r="V811" s="9">
        <v>0.8706</v>
      </c>
      <c r="W811" s="2" t="s">
        <v>1771</v>
      </c>
      <c r="X811" s="2" t="s">
        <v>517</v>
      </c>
      <c r="Y811" s="2" t="s">
        <v>1593</v>
      </c>
      <c r="Z811" s="9">
        <v>0.6176</v>
      </c>
      <c r="AA811" s="9">
        <v>0.7026</v>
      </c>
      <c r="AB811" s="9">
        <v>0.8706</v>
      </c>
      <c r="AC811" s="9">
        <v>0.1629</v>
      </c>
      <c r="AD811" s="9" t="str">
        <f t="shared" si="1"/>
        <v>#REF!</v>
      </c>
    </row>
    <row r="812" hidden="1">
      <c r="A812" s="2" t="s">
        <v>1512</v>
      </c>
      <c r="B812" s="2" t="s">
        <v>1093</v>
      </c>
      <c r="C812" s="2" t="s">
        <v>119</v>
      </c>
      <c r="D812" s="2" t="s">
        <v>64</v>
      </c>
      <c r="E812" s="7" t="b">
        <v>1</v>
      </c>
      <c r="F812" s="9">
        <v>174.0</v>
      </c>
      <c r="G812" s="9">
        <v>8.696788034074597</v>
      </c>
      <c r="H812" s="9">
        <v>0.0160431034482758</v>
      </c>
      <c r="I812" s="7" t="b">
        <v>1</v>
      </c>
      <c r="J812" s="9">
        <v>0.0</v>
      </c>
      <c r="K812" s="7" t="b">
        <v>0</v>
      </c>
      <c r="L812" s="9">
        <v>992.0</v>
      </c>
      <c r="M812" s="9">
        <v>5.7011</v>
      </c>
      <c r="N812" s="2" t="s">
        <v>1569</v>
      </c>
      <c r="O812" s="2" t="s">
        <v>4531</v>
      </c>
      <c r="P812" s="9">
        <v>56.05</v>
      </c>
      <c r="Q812" s="9">
        <v>50.0</v>
      </c>
      <c r="R812" s="9">
        <v>0.01626</v>
      </c>
      <c r="S812" s="9">
        <v>0.0698</v>
      </c>
      <c r="T812" s="9">
        <v>0.2147</v>
      </c>
      <c r="U812" s="2" t="s">
        <v>4407</v>
      </c>
      <c r="V812" s="9">
        <v>0.4063</v>
      </c>
      <c r="W812" s="2" t="s">
        <v>82</v>
      </c>
      <c r="X812" s="2" t="s">
        <v>517</v>
      </c>
      <c r="Y812" s="2" t="s">
        <v>1338</v>
      </c>
      <c r="Z812" s="9">
        <v>0.0448</v>
      </c>
      <c r="AA812" s="9">
        <v>0.0698</v>
      </c>
      <c r="AB812" s="9">
        <v>0.4063</v>
      </c>
      <c r="AC812" s="9">
        <v>0.1653</v>
      </c>
      <c r="AD812" s="9" t="str">
        <f t="shared" si="1"/>
        <v>#REF!</v>
      </c>
    </row>
    <row r="813" hidden="1">
      <c r="A813" s="2" t="s">
        <v>1247</v>
      </c>
      <c r="B813" s="2" t="s">
        <v>203</v>
      </c>
      <c r="C813" s="2" t="s">
        <v>119</v>
      </c>
      <c r="D813" s="2" t="s">
        <v>64</v>
      </c>
      <c r="E813" s="7" t="b">
        <v>1</v>
      </c>
      <c r="F813" s="9">
        <v>58.0</v>
      </c>
      <c r="G813" s="9">
        <v>48.82238894587873</v>
      </c>
      <c r="H813" s="9">
        <v>0.3961400689655173</v>
      </c>
      <c r="I813" s="7" t="b">
        <v>1</v>
      </c>
      <c r="J813" s="9">
        <v>0.0</v>
      </c>
      <c r="K813" s="7" t="b">
        <v>0</v>
      </c>
      <c r="L813" s="9">
        <v>17.0</v>
      </c>
      <c r="M813" s="9">
        <v>0.2931</v>
      </c>
      <c r="N813" s="2" t="s">
        <v>4566</v>
      </c>
      <c r="O813" s="2" t="s">
        <v>2254</v>
      </c>
      <c r="P813" s="9">
        <v>88.59</v>
      </c>
      <c r="Q813" s="9">
        <v>88.0</v>
      </c>
      <c r="R813" s="9">
        <v>0.0</v>
      </c>
      <c r="S813" s="9">
        <v>0.5084</v>
      </c>
      <c r="T813" s="9">
        <v>1.004</v>
      </c>
      <c r="U813" s="2" t="s">
        <v>537</v>
      </c>
      <c r="V813" s="15"/>
      <c r="W813" s="15"/>
      <c r="X813" s="2" t="s">
        <v>182</v>
      </c>
      <c r="Y813" s="2" t="s">
        <v>1632</v>
      </c>
      <c r="Z813" s="9">
        <v>0.3752</v>
      </c>
      <c r="AA813" s="9">
        <v>0.5084</v>
      </c>
      <c r="AB813" s="15"/>
      <c r="AC813" s="9">
        <v>0.2743</v>
      </c>
      <c r="AD813" s="9" t="str">
        <f t="shared" si="1"/>
        <v>#REF!</v>
      </c>
    </row>
    <row r="814" hidden="1">
      <c r="A814" s="2" t="s">
        <v>1247</v>
      </c>
      <c r="B814" s="2" t="s">
        <v>503</v>
      </c>
      <c r="C814" s="2" t="s">
        <v>119</v>
      </c>
      <c r="D814" s="2" t="s">
        <v>64</v>
      </c>
      <c r="E814" s="7" t="b">
        <v>1</v>
      </c>
      <c r="F814" s="9">
        <v>365.0</v>
      </c>
      <c r="G814" s="9">
        <v>14.7923630146281</v>
      </c>
      <c r="H814" s="9">
        <v>0.0070768945205479</v>
      </c>
      <c r="I814" s="7" t="b">
        <v>1</v>
      </c>
      <c r="J814" s="9">
        <v>0.0</v>
      </c>
      <c r="K814" s="7" t="b">
        <v>0</v>
      </c>
      <c r="L814" s="9">
        <v>289.0</v>
      </c>
      <c r="M814" s="9">
        <v>0.7918</v>
      </c>
      <c r="N814" s="2" t="s">
        <v>2782</v>
      </c>
      <c r="O814" s="2" t="s">
        <v>1943</v>
      </c>
      <c r="P814" s="9">
        <v>55.6</v>
      </c>
      <c r="Q814" s="9">
        <v>49.0</v>
      </c>
      <c r="R814" s="9">
        <v>0.044118</v>
      </c>
      <c r="S814" s="9">
        <v>0.5945</v>
      </c>
      <c r="T814" s="9">
        <v>0.8734</v>
      </c>
      <c r="U814" s="2" t="s">
        <v>1067</v>
      </c>
      <c r="V814" s="9">
        <v>0.0</v>
      </c>
      <c r="W814" s="2" t="s">
        <v>157</v>
      </c>
      <c r="X814" s="2" t="s">
        <v>517</v>
      </c>
      <c r="Y814" s="2" t="s">
        <v>1399</v>
      </c>
      <c r="Z814" s="9">
        <v>0.4877</v>
      </c>
      <c r="AA814" s="9">
        <v>0.5945</v>
      </c>
      <c r="AB814" s="9">
        <v>0.0</v>
      </c>
      <c r="AC814" s="9">
        <v>0.2552</v>
      </c>
      <c r="AD814" s="9" t="str">
        <f t="shared" si="1"/>
        <v>#REF!</v>
      </c>
    </row>
    <row r="815" hidden="1">
      <c r="A815" s="2" t="s">
        <v>1247</v>
      </c>
      <c r="B815" s="2" t="s">
        <v>534</v>
      </c>
      <c r="C815" s="2" t="s">
        <v>119</v>
      </c>
      <c r="D815" s="2" t="s">
        <v>64</v>
      </c>
      <c r="E815" s="7" t="b">
        <v>1</v>
      </c>
      <c r="F815" s="9">
        <v>566.0</v>
      </c>
      <c r="G815" s="9">
        <v>17.31922553996637</v>
      </c>
      <c r="H815" s="9">
        <v>0.0114605187279151</v>
      </c>
      <c r="I815" s="7" t="b">
        <v>1</v>
      </c>
      <c r="J815" s="9">
        <v>0.0</v>
      </c>
      <c r="K815" s="7" t="b">
        <v>0</v>
      </c>
      <c r="L815" s="9">
        <v>143.0</v>
      </c>
      <c r="M815" s="9">
        <v>0.2527</v>
      </c>
      <c r="N815" s="2" t="s">
        <v>1266</v>
      </c>
      <c r="O815" s="2" t="s">
        <v>2090</v>
      </c>
      <c r="P815" s="9">
        <v>81.36</v>
      </c>
      <c r="Q815" s="9">
        <v>74.0</v>
      </c>
      <c r="R815" s="9">
        <v>0.0</v>
      </c>
      <c r="S815" s="9">
        <v>0.523</v>
      </c>
      <c r="T815" s="9">
        <v>0.8184</v>
      </c>
      <c r="U815" s="2" t="s">
        <v>1123</v>
      </c>
      <c r="V815" s="9">
        <v>0.3143</v>
      </c>
      <c r="W815" s="2" t="s">
        <v>2753</v>
      </c>
      <c r="X815" s="2" t="s">
        <v>1521</v>
      </c>
      <c r="Y815" s="2" t="s">
        <v>3170</v>
      </c>
      <c r="Z815" s="9">
        <v>0.4549</v>
      </c>
      <c r="AA815" s="9">
        <v>0.523</v>
      </c>
      <c r="AB815" s="9">
        <v>0.3143</v>
      </c>
      <c r="AC815" s="9">
        <v>0.1863</v>
      </c>
      <c r="AD815" s="9" t="str">
        <f t="shared" si="1"/>
        <v>#REF!</v>
      </c>
    </row>
    <row r="816" hidden="1">
      <c r="A816" s="2" t="s">
        <v>1247</v>
      </c>
      <c r="B816" s="2" t="s">
        <v>542</v>
      </c>
      <c r="C816" s="2" t="s">
        <v>119</v>
      </c>
      <c r="D816" s="2" t="s">
        <v>64</v>
      </c>
      <c r="E816" s="7" t="b">
        <v>1</v>
      </c>
      <c r="F816" s="9">
        <v>2463.0</v>
      </c>
      <c r="G816" s="9">
        <v>17.13900402570982</v>
      </c>
      <c r="H816" s="9">
        <v>0.093440915956151</v>
      </c>
      <c r="I816" s="7" t="b">
        <v>1</v>
      </c>
      <c r="J816" s="9">
        <v>0.0</v>
      </c>
      <c r="K816" s="7" t="b">
        <v>0</v>
      </c>
      <c r="L816" s="9">
        <v>2587.0</v>
      </c>
      <c r="M816" s="9">
        <v>1.0503</v>
      </c>
      <c r="N816" s="2" t="s">
        <v>4586</v>
      </c>
      <c r="O816" s="2" t="s">
        <v>4587</v>
      </c>
      <c r="P816" s="9">
        <v>98.15</v>
      </c>
      <c r="Q816" s="9">
        <v>93.0</v>
      </c>
      <c r="R816" s="9">
        <v>0.023622</v>
      </c>
      <c r="S816" s="9">
        <v>0.8648</v>
      </c>
      <c r="T816" s="9">
        <v>0.8292</v>
      </c>
      <c r="U816" s="2" t="s">
        <v>3190</v>
      </c>
      <c r="V816" s="9">
        <v>0.1707</v>
      </c>
      <c r="W816" s="2" t="s">
        <v>134</v>
      </c>
      <c r="X816" s="2" t="s">
        <v>495</v>
      </c>
      <c r="Y816" s="2" t="s">
        <v>3732</v>
      </c>
      <c r="Z816" s="9">
        <v>0.7571</v>
      </c>
      <c r="AA816" s="9">
        <v>0.8648</v>
      </c>
      <c r="AB816" s="9">
        <v>0.1707</v>
      </c>
      <c r="AC816" s="9">
        <v>0.1707</v>
      </c>
      <c r="AD816" s="9" t="str">
        <f t="shared" si="1"/>
        <v>#REF!</v>
      </c>
    </row>
    <row r="817" hidden="1">
      <c r="A817" s="2" t="s">
        <v>1247</v>
      </c>
      <c r="B817" s="2" t="s">
        <v>501</v>
      </c>
      <c r="C817" s="2" t="s">
        <v>119</v>
      </c>
      <c r="D817" s="2" t="s">
        <v>64</v>
      </c>
      <c r="E817" s="7" t="b">
        <v>1</v>
      </c>
      <c r="F817" s="9">
        <v>268.0</v>
      </c>
      <c r="G817" s="9">
        <v>6.35755204386246</v>
      </c>
      <c r="H817" s="9">
        <v>0.0014403492537313</v>
      </c>
      <c r="I817" s="7" t="b">
        <v>1</v>
      </c>
      <c r="J817" s="9">
        <v>0.0</v>
      </c>
      <c r="K817" s="7" t="b">
        <v>0</v>
      </c>
      <c r="L817" s="9">
        <v>1485.0</v>
      </c>
      <c r="M817" s="9">
        <v>5.541</v>
      </c>
      <c r="N817" s="2" t="s">
        <v>3895</v>
      </c>
      <c r="O817" s="2" t="s">
        <v>1587</v>
      </c>
      <c r="P817" s="9">
        <v>53.58</v>
      </c>
      <c r="Q817" s="9">
        <v>45.0</v>
      </c>
      <c r="R817" s="9">
        <v>0.02093</v>
      </c>
      <c r="S817" s="9">
        <v>0.4415</v>
      </c>
      <c r="T817" s="9">
        <v>0.2945</v>
      </c>
      <c r="U817" s="2" t="s">
        <v>2165</v>
      </c>
      <c r="V817" s="9">
        <v>0.501</v>
      </c>
      <c r="W817" s="15"/>
      <c r="X817" s="2" t="s">
        <v>517</v>
      </c>
      <c r="Y817" s="2" t="s">
        <v>1593</v>
      </c>
      <c r="Z817" s="9">
        <v>0.4509</v>
      </c>
      <c r="AA817" s="9">
        <v>0.4415</v>
      </c>
      <c r="AB817" s="9">
        <v>0.501</v>
      </c>
      <c r="AC817" s="9">
        <v>0.2042</v>
      </c>
      <c r="AD817" s="9" t="str">
        <f t="shared" si="1"/>
        <v>#REF!</v>
      </c>
    </row>
    <row r="818">
      <c r="A818" s="2" t="s">
        <v>1247</v>
      </c>
      <c r="B818" s="2" t="s">
        <v>306</v>
      </c>
      <c r="C818" s="2" t="s">
        <v>119</v>
      </c>
      <c r="D818" s="2" t="s">
        <v>64</v>
      </c>
      <c r="E818" s="7" t="b">
        <v>1</v>
      </c>
      <c r="F818" s="9">
        <v>1021.0</v>
      </c>
      <c r="G818" s="9">
        <v>33.11839023144722</v>
      </c>
      <c r="H818" s="9">
        <v>0.3725714005876591</v>
      </c>
      <c r="I818" s="7" t="b">
        <v>1</v>
      </c>
      <c r="J818" s="9">
        <v>0.0</v>
      </c>
      <c r="K818" s="7" t="b">
        <v>0</v>
      </c>
      <c r="L818" s="9">
        <v>879.0</v>
      </c>
      <c r="M818" s="9">
        <v>0.8609</v>
      </c>
      <c r="N818" s="2" t="s">
        <v>4588</v>
      </c>
      <c r="O818" s="2" t="s">
        <v>4589</v>
      </c>
      <c r="P818" s="9">
        <v>73.34</v>
      </c>
      <c r="Q818" s="9">
        <v>67.0</v>
      </c>
      <c r="R818" s="9">
        <v>0.024691</v>
      </c>
      <c r="S818" s="9">
        <v>0.8643</v>
      </c>
      <c r="T818" s="9">
        <v>1.0049</v>
      </c>
      <c r="U818" s="2" t="s">
        <v>465</v>
      </c>
      <c r="V818" s="9">
        <v>0.8786</v>
      </c>
      <c r="W818" s="2" t="s">
        <v>82</v>
      </c>
      <c r="X818" s="2" t="s">
        <v>99</v>
      </c>
      <c r="Y818" s="2" t="s">
        <v>1515</v>
      </c>
      <c r="Z818" s="9">
        <v>0.69</v>
      </c>
      <c r="AA818" s="9">
        <v>0.8643</v>
      </c>
      <c r="AB818" s="9">
        <v>0.8786</v>
      </c>
      <c r="AC818" s="9">
        <v>0.8609</v>
      </c>
      <c r="AD818" s="9" t="str">
        <f t="shared" si="1"/>
        <v>#REF!</v>
      </c>
    </row>
    <row r="819" hidden="1">
      <c r="A819" s="2" t="s">
        <v>1247</v>
      </c>
      <c r="B819" s="2" t="s">
        <v>969</v>
      </c>
      <c r="C819" s="2" t="s">
        <v>119</v>
      </c>
      <c r="D819" s="2" t="s">
        <v>64</v>
      </c>
      <c r="E819" s="7" t="b">
        <v>1</v>
      </c>
      <c r="F819" s="9">
        <v>915.0</v>
      </c>
      <c r="G819" s="9">
        <v>2.952662008822732</v>
      </c>
      <c r="H819" s="9">
        <v>0.0013144104918032</v>
      </c>
      <c r="I819" s="7" t="b">
        <v>1</v>
      </c>
      <c r="J819" s="9">
        <v>0.0</v>
      </c>
      <c r="K819" s="7" t="b">
        <v>0</v>
      </c>
      <c r="L819" s="9">
        <v>22.0</v>
      </c>
      <c r="M819" s="9">
        <v>0.024</v>
      </c>
      <c r="N819" s="2" t="s">
        <v>1952</v>
      </c>
      <c r="O819" s="2" t="s">
        <v>2330</v>
      </c>
      <c r="P819" s="9">
        <v>78.36</v>
      </c>
      <c r="Q819" s="9">
        <v>67.5</v>
      </c>
      <c r="R819" s="9">
        <v>0.0</v>
      </c>
      <c r="S819" s="9">
        <v>0.357</v>
      </c>
      <c r="T819" s="9">
        <v>0.8397</v>
      </c>
      <c r="U819" s="2" t="s">
        <v>2553</v>
      </c>
      <c r="V819" s="9">
        <v>0.55</v>
      </c>
      <c r="W819" s="2" t="s">
        <v>2753</v>
      </c>
      <c r="X819" s="2" t="s">
        <v>1466</v>
      </c>
      <c r="Y819" s="2" t="s">
        <v>3164</v>
      </c>
      <c r="Z819" s="9">
        <v>0.2971</v>
      </c>
      <c r="AA819" s="9">
        <v>0.357</v>
      </c>
      <c r="AB819" s="9">
        <v>0.55</v>
      </c>
      <c r="AC819" s="9">
        <v>0.0263</v>
      </c>
      <c r="AD819" s="9" t="str">
        <f t="shared" si="1"/>
        <v>#REF!</v>
      </c>
    </row>
    <row r="820" hidden="1">
      <c r="A820" s="2" t="s">
        <v>1247</v>
      </c>
      <c r="B820" s="2" t="s">
        <v>973</v>
      </c>
      <c r="C820" s="2" t="s">
        <v>119</v>
      </c>
      <c r="D820" s="2" t="s">
        <v>64</v>
      </c>
      <c r="E820" s="7" t="b">
        <v>1</v>
      </c>
      <c r="F820" s="9">
        <v>95.0</v>
      </c>
      <c r="G820" s="9">
        <v>19.08813742838773</v>
      </c>
      <c r="H820" s="9">
        <v>0.0141801947368421</v>
      </c>
      <c r="I820" s="7" t="b">
        <v>1</v>
      </c>
      <c r="J820" s="9">
        <v>0.0</v>
      </c>
      <c r="K820" s="7" t="b">
        <v>0</v>
      </c>
      <c r="L820" s="9">
        <v>49.0</v>
      </c>
      <c r="M820" s="9">
        <v>0.5158</v>
      </c>
      <c r="N820" s="2" t="s">
        <v>1794</v>
      </c>
      <c r="O820" s="2" t="s">
        <v>1451</v>
      </c>
      <c r="P820" s="9">
        <v>92.9</v>
      </c>
      <c r="Q820" s="9">
        <v>87.0</v>
      </c>
      <c r="R820" s="9">
        <v>0.0</v>
      </c>
      <c r="S820" s="9">
        <v>0.3853</v>
      </c>
      <c r="T820" s="9">
        <v>0.8208</v>
      </c>
      <c r="U820" s="2" t="s">
        <v>2303</v>
      </c>
      <c r="V820" s="9">
        <v>0.0</v>
      </c>
      <c r="W820" s="2" t="s">
        <v>2152</v>
      </c>
      <c r="X820" s="2" t="s">
        <v>517</v>
      </c>
      <c r="Y820" s="2" t="s">
        <v>1375</v>
      </c>
      <c r="Z820" s="9">
        <v>0.3666</v>
      </c>
      <c r="AA820" s="9">
        <v>0.3853</v>
      </c>
      <c r="AB820" s="9">
        <v>0.0</v>
      </c>
      <c r="AC820" s="9">
        <v>0.7473</v>
      </c>
      <c r="AD820" s="9" t="str">
        <f t="shared" si="1"/>
        <v>#REF!</v>
      </c>
    </row>
    <row r="821" hidden="1">
      <c r="A821" s="2" t="s">
        <v>1247</v>
      </c>
      <c r="B821" s="2" t="s">
        <v>1027</v>
      </c>
      <c r="C821" s="2" t="s">
        <v>119</v>
      </c>
      <c r="D821" s="2" t="s">
        <v>64</v>
      </c>
      <c r="E821" s="7" t="b">
        <v>1</v>
      </c>
      <c r="F821" s="9">
        <v>540.0</v>
      </c>
      <c r="G821" s="9">
        <v>35.20497920045913</v>
      </c>
      <c r="H821" s="9">
        <v>0.0685733518518518</v>
      </c>
      <c r="I821" s="7" t="b">
        <v>1</v>
      </c>
      <c r="J821" s="9">
        <v>0.0</v>
      </c>
      <c r="K821" s="7" t="b">
        <v>0</v>
      </c>
      <c r="L821" s="9">
        <v>95.0</v>
      </c>
      <c r="M821" s="9">
        <v>0.1759</v>
      </c>
      <c r="N821" s="2" t="s">
        <v>1903</v>
      </c>
      <c r="O821" s="2" t="s">
        <v>2655</v>
      </c>
      <c r="P821" s="9">
        <v>86.57</v>
      </c>
      <c r="Q821" s="9">
        <v>78.0</v>
      </c>
      <c r="R821" s="9">
        <v>0.0</v>
      </c>
      <c r="S821" s="9">
        <v>0.5457</v>
      </c>
      <c r="T821" s="9">
        <v>0.9392</v>
      </c>
      <c r="U821" s="2" t="s">
        <v>2398</v>
      </c>
      <c r="V821" s="9">
        <v>0.0</v>
      </c>
      <c r="W821" s="2" t="s">
        <v>82</v>
      </c>
      <c r="X821" s="2" t="s">
        <v>1466</v>
      </c>
      <c r="Y821" s="2" t="s">
        <v>1542</v>
      </c>
      <c r="Z821" s="9">
        <v>0.4243</v>
      </c>
      <c r="AA821" s="9">
        <v>0.5457</v>
      </c>
      <c r="AB821" s="9">
        <v>0.0</v>
      </c>
      <c r="AC821" s="9">
        <v>0.1298</v>
      </c>
      <c r="AD821" s="9" t="str">
        <f t="shared" si="1"/>
        <v>#REF!</v>
      </c>
    </row>
    <row r="822" hidden="1">
      <c r="A822" s="2" t="s">
        <v>1174</v>
      </c>
      <c r="B822" s="2" t="s">
        <v>997</v>
      </c>
      <c r="C822" s="2" t="s">
        <v>119</v>
      </c>
      <c r="D822" s="2" t="s">
        <v>64</v>
      </c>
      <c r="E822" s="7" t="b">
        <v>1</v>
      </c>
      <c r="F822" s="9">
        <v>110.0</v>
      </c>
      <c r="G822" s="9">
        <v>34.12264428163357</v>
      </c>
      <c r="H822" s="9">
        <v>0.0086397409090909</v>
      </c>
      <c r="I822" s="7" t="b">
        <v>1</v>
      </c>
      <c r="J822" s="9">
        <v>0.0</v>
      </c>
      <c r="K822" s="7" t="b">
        <v>0</v>
      </c>
      <c r="L822" s="9">
        <v>74.0</v>
      </c>
      <c r="M822" s="9">
        <v>0.6727</v>
      </c>
      <c r="N822" s="2" t="s">
        <v>2651</v>
      </c>
      <c r="O822" s="2" t="s">
        <v>2172</v>
      </c>
      <c r="P822" s="9">
        <v>78.19</v>
      </c>
      <c r="Q822" s="9">
        <v>83.5</v>
      </c>
      <c r="R822" s="9">
        <v>0.0</v>
      </c>
      <c r="S822" s="9">
        <v>0.5296</v>
      </c>
      <c r="T822" s="9">
        <v>1.0009</v>
      </c>
      <c r="U822" s="2" t="s">
        <v>603</v>
      </c>
      <c r="V822" s="9">
        <v>0.3</v>
      </c>
      <c r="W822" s="2" t="s">
        <v>157</v>
      </c>
      <c r="X822" s="2" t="s">
        <v>517</v>
      </c>
      <c r="Y822" s="2" t="s">
        <v>1375</v>
      </c>
      <c r="Z822" s="9">
        <v>0.4124</v>
      </c>
      <c r="AA822" s="9">
        <v>0.5296</v>
      </c>
      <c r="AB822" s="9">
        <v>0.3</v>
      </c>
      <c r="AC822" s="9">
        <v>0.6888</v>
      </c>
      <c r="AD822" s="9" t="str">
        <f t="shared" si="1"/>
        <v>#REF!</v>
      </c>
    </row>
    <row r="823" hidden="1">
      <c r="A823" s="2" t="s">
        <v>281</v>
      </c>
      <c r="B823" s="2" t="s">
        <v>441</v>
      </c>
      <c r="C823" s="2" t="s">
        <v>119</v>
      </c>
      <c r="D823" s="2" t="s">
        <v>64</v>
      </c>
      <c r="E823" s="7" t="b">
        <v>1</v>
      </c>
      <c r="F823" s="9">
        <v>611.0</v>
      </c>
      <c r="G823" s="9">
        <v>7.108124600071994</v>
      </c>
      <c r="H823" s="9">
        <v>0.010727070376432</v>
      </c>
      <c r="I823" s="7" t="b">
        <v>1</v>
      </c>
      <c r="J823" s="9">
        <v>0.0</v>
      </c>
      <c r="K823" s="7" t="b">
        <v>0</v>
      </c>
      <c r="L823" s="9">
        <v>306.0</v>
      </c>
      <c r="M823" s="9">
        <v>0.5008</v>
      </c>
      <c r="N823" s="2" t="s">
        <v>1879</v>
      </c>
      <c r="O823" s="2" t="s">
        <v>1690</v>
      </c>
      <c r="P823" s="9">
        <v>52.34</v>
      </c>
      <c r="Q823" s="9">
        <v>48.0</v>
      </c>
      <c r="R823" s="9">
        <v>0.016667</v>
      </c>
      <c r="S823" s="9">
        <v>0.6127</v>
      </c>
      <c r="T823" s="9">
        <v>0.8149</v>
      </c>
      <c r="U823" s="2" t="s">
        <v>1562</v>
      </c>
      <c r="V823" s="9">
        <v>0.1522</v>
      </c>
      <c r="W823" s="2" t="s">
        <v>1124</v>
      </c>
      <c r="X823" s="2" t="s">
        <v>517</v>
      </c>
      <c r="Y823" s="2" t="s">
        <v>1399</v>
      </c>
      <c r="Z823" s="9">
        <v>0.5066</v>
      </c>
      <c r="AA823" s="9">
        <v>0.6127</v>
      </c>
      <c r="AB823" s="9">
        <v>0.1522</v>
      </c>
      <c r="AC823" s="9">
        <v>0.2678</v>
      </c>
      <c r="AD823" s="9" t="str">
        <f t="shared" si="1"/>
        <v>#REF!</v>
      </c>
    </row>
    <row r="824" hidden="1">
      <c r="A824" s="2" t="s">
        <v>281</v>
      </c>
      <c r="B824" s="2" t="s">
        <v>937</v>
      </c>
      <c r="C824" s="2" t="s">
        <v>119</v>
      </c>
      <c r="D824" s="2" t="s">
        <v>64</v>
      </c>
      <c r="E824" s="7" t="b">
        <v>1</v>
      </c>
      <c r="F824" s="9">
        <v>468.0</v>
      </c>
      <c r="G824" s="9">
        <v>1.568914041703562</v>
      </c>
      <c r="H824" s="9">
        <v>0.0050517307692307</v>
      </c>
      <c r="I824" s="7" t="b">
        <v>1</v>
      </c>
      <c r="J824" s="9">
        <v>0.0</v>
      </c>
      <c r="K824" s="7" t="b">
        <v>0</v>
      </c>
      <c r="L824" s="9">
        <v>254016.0</v>
      </c>
      <c r="M824" s="9">
        <v>542.7692</v>
      </c>
      <c r="N824" s="2" t="s">
        <v>4590</v>
      </c>
      <c r="O824" s="2" t="s">
        <v>4591</v>
      </c>
      <c r="P824" s="9">
        <v>58.92</v>
      </c>
      <c r="Q824" s="9">
        <v>59.0</v>
      </c>
      <c r="R824" s="9">
        <v>0.011957</v>
      </c>
      <c r="S824" s="9">
        <v>0.8599</v>
      </c>
      <c r="T824" s="9">
        <v>0.1468</v>
      </c>
      <c r="U824" s="2" t="s">
        <v>4425</v>
      </c>
      <c r="V824" s="9">
        <v>0.6924</v>
      </c>
      <c r="W824" s="2" t="s">
        <v>2879</v>
      </c>
      <c r="X824" s="2" t="s">
        <v>495</v>
      </c>
      <c r="Y824" s="2" t="s">
        <v>2880</v>
      </c>
      <c r="Z824" s="9">
        <v>0.8112</v>
      </c>
      <c r="AA824" s="9">
        <v>0.8599</v>
      </c>
      <c r="AB824" s="9">
        <v>0.6924</v>
      </c>
      <c r="AC824" s="9">
        <v>0.1417</v>
      </c>
      <c r="AD824" s="9" t="str">
        <f t="shared" si="1"/>
        <v>#REF!</v>
      </c>
    </row>
    <row r="825">
      <c r="A825" s="2" t="s">
        <v>281</v>
      </c>
      <c r="B825" s="2" t="s">
        <v>306</v>
      </c>
      <c r="C825" s="2" t="s">
        <v>119</v>
      </c>
      <c r="D825" s="2" t="s">
        <v>64</v>
      </c>
      <c r="E825" s="7" t="b">
        <v>1</v>
      </c>
      <c r="F825" s="9">
        <v>415.0</v>
      </c>
      <c r="G825" s="9">
        <v>28.1462636388312</v>
      </c>
      <c r="H825" s="9">
        <v>0.1175419951807228</v>
      </c>
      <c r="I825" s="7" t="b">
        <v>1</v>
      </c>
      <c r="J825" s="9">
        <v>0.0</v>
      </c>
      <c r="K825" s="7" t="b">
        <v>0</v>
      </c>
      <c r="L825" s="9">
        <v>344.0</v>
      </c>
      <c r="M825" s="9">
        <v>0.8289</v>
      </c>
      <c r="N825" s="2" t="s">
        <v>1997</v>
      </c>
      <c r="O825" s="2" t="s">
        <v>2767</v>
      </c>
      <c r="P825" s="9">
        <v>65.62</v>
      </c>
      <c r="Q825" s="9">
        <v>71.0</v>
      </c>
      <c r="R825" s="9">
        <v>0.0</v>
      </c>
      <c r="S825" s="9">
        <v>0.7558</v>
      </c>
      <c r="T825" s="9">
        <v>0.9917</v>
      </c>
      <c r="U825" s="2" t="s">
        <v>2432</v>
      </c>
      <c r="V825" s="9">
        <v>0.1028</v>
      </c>
      <c r="W825" s="2" t="s">
        <v>82</v>
      </c>
      <c r="X825" s="2" t="s">
        <v>495</v>
      </c>
      <c r="Y825" s="2" t="s">
        <v>1408</v>
      </c>
      <c r="Z825" s="9">
        <v>0.5935</v>
      </c>
      <c r="AA825" s="9">
        <v>0.7558</v>
      </c>
      <c r="AB825" s="9">
        <v>0.1028</v>
      </c>
      <c r="AC825" s="9">
        <v>0.8503</v>
      </c>
      <c r="AD825" s="9" t="str">
        <f t="shared" si="1"/>
        <v>#REF!</v>
      </c>
    </row>
    <row r="826" hidden="1">
      <c r="A826" s="2" t="s">
        <v>281</v>
      </c>
      <c r="B826" s="2" t="s">
        <v>997</v>
      </c>
      <c r="C826" s="2" t="s">
        <v>119</v>
      </c>
      <c r="D826" s="2" t="s">
        <v>64</v>
      </c>
      <c r="E826" s="7" t="b">
        <v>1</v>
      </c>
      <c r="F826" s="9">
        <v>26888.0</v>
      </c>
      <c r="G826" s="9">
        <v>24.45737243010742</v>
      </c>
      <c r="H826" s="9">
        <v>0.7647528838143408</v>
      </c>
      <c r="I826" s="7" t="b">
        <v>1</v>
      </c>
      <c r="J826" s="9">
        <v>0.0</v>
      </c>
      <c r="K826" s="7" t="b">
        <v>0</v>
      </c>
      <c r="L826" s="9">
        <v>15636.0</v>
      </c>
      <c r="M826" s="9">
        <v>0.5815</v>
      </c>
      <c r="N826" s="2" t="s">
        <v>4592</v>
      </c>
      <c r="O826" s="2" t="s">
        <v>4593</v>
      </c>
      <c r="P826" s="9">
        <v>64.8</v>
      </c>
      <c r="Q826" s="9">
        <v>68.0</v>
      </c>
      <c r="R826" s="9">
        <v>0.043401</v>
      </c>
      <c r="S826" s="9">
        <v>0.9542</v>
      </c>
      <c r="T826" s="9">
        <v>0.9184</v>
      </c>
      <c r="U826" s="2" t="s">
        <v>1016</v>
      </c>
      <c r="V826" s="9">
        <v>0.7891</v>
      </c>
      <c r="W826" s="2" t="s">
        <v>82</v>
      </c>
      <c r="X826" s="2" t="s">
        <v>99</v>
      </c>
      <c r="Y826" s="2" t="s">
        <v>1515</v>
      </c>
      <c r="Z826" s="9">
        <v>0.8841</v>
      </c>
      <c r="AA826" s="9">
        <v>0.9542</v>
      </c>
      <c r="AB826" s="9">
        <v>0.7891</v>
      </c>
      <c r="AC826" s="9">
        <v>0.7285</v>
      </c>
      <c r="AD826" s="9" t="str">
        <f t="shared" si="1"/>
        <v>#REF!</v>
      </c>
    </row>
    <row r="827" hidden="1">
      <c r="A827" s="2" t="s">
        <v>281</v>
      </c>
      <c r="B827" s="2" t="s">
        <v>1009</v>
      </c>
      <c r="C827" s="2" t="s">
        <v>119</v>
      </c>
      <c r="D827" s="2" t="s">
        <v>64</v>
      </c>
      <c r="E827" s="7" t="b">
        <v>1</v>
      </c>
      <c r="F827" s="9">
        <v>382.0</v>
      </c>
      <c r="G827" s="9">
        <v>7.374776618127693</v>
      </c>
      <c r="H827" s="9">
        <v>0.0056242874345549</v>
      </c>
      <c r="I827" s="7" t="b">
        <v>1</v>
      </c>
      <c r="J827" s="9">
        <v>0.0</v>
      </c>
      <c r="K827" s="7" t="b">
        <v>0</v>
      </c>
      <c r="L827" s="9">
        <v>158.0</v>
      </c>
      <c r="M827" s="9">
        <v>0.4136</v>
      </c>
      <c r="N827" s="2" t="s">
        <v>1425</v>
      </c>
      <c r="O827" s="2" t="s">
        <v>1383</v>
      </c>
      <c r="P827" s="9">
        <v>54.89</v>
      </c>
      <c r="Q827" s="9">
        <v>48.5</v>
      </c>
      <c r="R827" s="9">
        <v>0.025641</v>
      </c>
      <c r="S827" s="9">
        <v>0.5431</v>
      </c>
      <c r="T827" s="9">
        <v>0.8029</v>
      </c>
      <c r="U827" s="2" t="s">
        <v>1717</v>
      </c>
      <c r="V827" s="9">
        <v>0.0</v>
      </c>
      <c r="W827" s="2" t="s">
        <v>1821</v>
      </c>
      <c r="X827" s="2" t="s">
        <v>517</v>
      </c>
      <c r="Y827" s="2" t="s">
        <v>4555</v>
      </c>
      <c r="Z827" s="9">
        <v>0.4444</v>
      </c>
      <c r="AA827" s="9">
        <v>0.5431</v>
      </c>
      <c r="AB827" s="9">
        <v>0.0</v>
      </c>
      <c r="AC827" s="9">
        <v>0.7739</v>
      </c>
      <c r="AD827" s="9" t="str">
        <f t="shared" si="1"/>
        <v>#REF!</v>
      </c>
    </row>
    <row r="828" hidden="1">
      <c r="A828" s="2" t="s">
        <v>281</v>
      </c>
      <c r="B828" s="2" t="s">
        <v>1019</v>
      </c>
      <c r="C828" s="2" t="s">
        <v>119</v>
      </c>
      <c r="D828" s="2" t="s">
        <v>64</v>
      </c>
      <c r="E828" s="7" t="b">
        <v>1</v>
      </c>
      <c r="F828" s="9">
        <v>511.0</v>
      </c>
      <c r="G828" s="9">
        <v>2.658981692780463</v>
      </c>
      <c r="H828" s="9">
        <v>0.0015475107632093</v>
      </c>
      <c r="I828" s="7" t="b">
        <v>1</v>
      </c>
      <c r="J828" s="9">
        <v>0.0</v>
      </c>
      <c r="K828" s="7" t="b">
        <v>0</v>
      </c>
      <c r="L828" s="9">
        <v>281.0</v>
      </c>
      <c r="M828" s="9">
        <v>0.5499</v>
      </c>
      <c r="N828" s="2" t="s">
        <v>414</v>
      </c>
      <c r="O828" s="2" t="s">
        <v>2380</v>
      </c>
      <c r="P828" s="9">
        <v>49.29</v>
      </c>
      <c r="Q828" s="9">
        <v>45.0</v>
      </c>
      <c r="R828" s="9">
        <v>0.0</v>
      </c>
      <c r="S828" s="9">
        <v>0.5154</v>
      </c>
      <c r="T828" s="9">
        <v>0.5376</v>
      </c>
      <c r="U828" s="2" t="s">
        <v>3013</v>
      </c>
      <c r="V828" s="9">
        <v>0.131</v>
      </c>
      <c r="W828" s="2" t="s">
        <v>198</v>
      </c>
      <c r="X828" s="2" t="s">
        <v>1521</v>
      </c>
      <c r="Y828" s="2" t="s">
        <v>1536</v>
      </c>
      <c r="Z828" s="9">
        <v>0.4269</v>
      </c>
      <c r="AA828" s="9">
        <v>0.5154</v>
      </c>
      <c r="AB828" s="9">
        <v>0.131</v>
      </c>
      <c r="AC828" s="9">
        <v>0.2496</v>
      </c>
      <c r="AD828" s="9" t="str">
        <f t="shared" si="1"/>
        <v>#REF!</v>
      </c>
    </row>
    <row r="829" hidden="1">
      <c r="A829" s="2" t="s">
        <v>281</v>
      </c>
      <c r="B829" s="2" t="s">
        <v>1027</v>
      </c>
      <c r="C829" s="2" t="s">
        <v>119</v>
      </c>
      <c r="D829" s="2" t="s">
        <v>64</v>
      </c>
      <c r="E829" s="7" t="b">
        <v>1</v>
      </c>
      <c r="F829" s="9">
        <v>165.0</v>
      </c>
      <c r="G829" s="9">
        <v>13.91876425432881</v>
      </c>
      <c r="H829" s="9">
        <v>0.0033297757575757</v>
      </c>
      <c r="I829" s="7" t="b">
        <v>1</v>
      </c>
      <c r="J829" s="9">
        <v>0.0</v>
      </c>
      <c r="K829" s="7" t="b">
        <v>0</v>
      </c>
      <c r="L829" s="9">
        <v>63.0</v>
      </c>
      <c r="M829" s="9">
        <v>0.3818</v>
      </c>
      <c r="N829" s="2" t="s">
        <v>1394</v>
      </c>
      <c r="O829" s="2" t="s">
        <v>2330</v>
      </c>
      <c r="P829" s="9">
        <v>47.59</v>
      </c>
      <c r="Q829" s="9">
        <v>40.0</v>
      </c>
      <c r="R829" s="9">
        <v>0.111111</v>
      </c>
      <c r="S829" s="9">
        <v>0.3009</v>
      </c>
      <c r="T829" s="9">
        <v>0.5626</v>
      </c>
      <c r="U829" s="2" t="s">
        <v>4407</v>
      </c>
      <c r="V829" s="9">
        <v>0.0</v>
      </c>
      <c r="W829" s="2" t="s">
        <v>82</v>
      </c>
      <c r="X829" s="2" t="s">
        <v>1466</v>
      </c>
      <c r="Y829" s="2" t="s">
        <v>2393</v>
      </c>
      <c r="Z829" s="9">
        <v>0.2351</v>
      </c>
      <c r="AA829" s="9">
        <v>0.3009</v>
      </c>
      <c r="AB829" s="9">
        <v>0.0</v>
      </c>
      <c r="AC829" s="9">
        <v>0.0974</v>
      </c>
      <c r="AD829" s="9" t="str">
        <f t="shared" si="1"/>
        <v>#REF!</v>
      </c>
    </row>
    <row r="830" hidden="1">
      <c r="A830" s="2" t="s">
        <v>281</v>
      </c>
      <c r="B830" s="2" t="s">
        <v>1053</v>
      </c>
      <c r="C830" s="2" t="s">
        <v>119</v>
      </c>
      <c r="D830" s="2" t="s">
        <v>64</v>
      </c>
      <c r="E830" s="7" t="b">
        <v>1</v>
      </c>
      <c r="F830" s="9">
        <v>51.0</v>
      </c>
      <c r="G830" s="9">
        <v>3.534405647891725</v>
      </c>
      <c r="H830" s="9">
        <v>0.0010567058823529</v>
      </c>
      <c r="I830" s="7" t="b">
        <v>1</v>
      </c>
      <c r="J830" s="9">
        <v>0.0</v>
      </c>
      <c r="K830" s="7" t="b">
        <v>0</v>
      </c>
      <c r="L830" s="9">
        <v>6814.0</v>
      </c>
      <c r="M830" s="9">
        <v>133.6078</v>
      </c>
      <c r="N830" s="2" t="s">
        <v>4594</v>
      </c>
      <c r="O830" s="2" t="s">
        <v>4595</v>
      </c>
      <c r="P830" s="9">
        <v>42.17</v>
      </c>
      <c r="Q830" s="9">
        <v>37.0</v>
      </c>
      <c r="R830" s="9">
        <v>0.006314</v>
      </c>
      <c r="S830" s="9">
        <v>0.7023</v>
      </c>
      <c r="T830" s="9">
        <v>0.2473</v>
      </c>
      <c r="U830" s="2" t="s">
        <v>3436</v>
      </c>
      <c r="V830" s="9">
        <v>0.8641</v>
      </c>
      <c r="W830" s="2" t="s">
        <v>1771</v>
      </c>
      <c r="X830" s="2" t="s">
        <v>1466</v>
      </c>
      <c r="Y830" s="2" t="s">
        <v>2821</v>
      </c>
      <c r="Z830" s="9">
        <v>0.616</v>
      </c>
      <c r="AA830" s="9">
        <v>0.7023</v>
      </c>
      <c r="AB830" s="9">
        <v>0.8641</v>
      </c>
      <c r="AC830" s="9">
        <v>0.1361</v>
      </c>
      <c r="AD830" s="9" t="str">
        <f t="shared" si="1"/>
        <v>#REF!</v>
      </c>
    </row>
    <row r="831" hidden="1">
      <c r="A831" s="2" t="s">
        <v>1185</v>
      </c>
      <c r="B831" s="2" t="s">
        <v>503</v>
      </c>
      <c r="C831" s="2" t="s">
        <v>119</v>
      </c>
      <c r="D831" s="2" t="s">
        <v>64</v>
      </c>
      <c r="E831" s="7" t="b">
        <v>1</v>
      </c>
      <c r="F831" s="9">
        <v>100.0</v>
      </c>
      <c r="G831" s="9">
        <v>29.47644894728002</v>
      </c>
      <c r="H831" s="9">
        <v>0.00771328</v>
      </c>
      <c r="I831" s="7" t="b">
        <v>1</v>
      </c>
      <c r="J831" s="9">
        <v>0.0</v>
      </c>
      <c r="K831" s="7" t="b">
        <v>0</v>
      </c>
      <c r="L831" s="9">
        <v>101.0</v>
      </c>
      <c r="M831" s="9">
        <v>1.01</v>
      </c>
      <c r="N831" s="2" t="s">
        <v>1394</v>
      </c>
      <c r="O831" s="2" t="s">
        <v>1396</v>
      </c>
      <c r="P831" s="9">
        <v>64.38</v>
      </c>
      <c r="Q831" s="9">
        <v>61.0</v>
      </c>
      <c r="R831" s="9">
        <v>0.043478</v>
      </c>
      <c r="S831" s="9">
        <v>0.5104</v>
      </c>
      <c r="T831" s="9">
        <v>0.9256</v>
      </c>
      <c r="U831" s="2" t="s">
        <v>1540</v>
      </c>
      <c r="V831" s="9">
        <v>0.0</v>
      </c>
      <c r="W831" s="2" t="s">
        <v>82</v>
      </c>
      <c r="X831" s="2" t="s">
        <v>495</v>
      </c>
      <c r="Y831" s="2" t="s">
        <v>2571</v>
      </c>
      <c r="Z831" s="9">
        <v>0.4021</v>
      </c>
      <c r="AA831" s="9">
        <v>0.5104</v>
      </c>
      <c r="AB831" s="9">
        <v>0.0</v>
      </c>
      <c r="AC831" s="9">
        <v>0.156</v>
      </c>
      <c r="AD831" s="9" t="str">
        <f t="shared" si="1"/>
        <v>#REF!</v>
      </c>
    </row>
    <row r="832" hidden="1">
      <c r="A832" s="2" t="s">
        <v>2228</v>
      </c>
      <c r="B832" s="2" t="s">
        <v>441</v>
      </c>
      <c r="C832" s="2" t="s">
        <v>1439</v>
      </c>
      <c r="D832" s="2" t="s">
        <v>64</v>
      </c>
      <c r="E832" s="7" t="b">
        <v>1</v>
      </c>
      <c r="F832" s="9">
        <v>429.0</v>
      </c>
      <c r="G832" s="9">
        <v>21.86037459111633</v>
      </c>
      <c r="H832" s="9">
        <v>0.070091282051282</v>
      </c>
      <c r="I832" s="7" t="b">
        <v>1</v>
      </c>
      <c r="J832" s="9">
        <v>0.0</v>
      </c>
      <c r="K832" s="7" t="b">
        <v>0</v>
      </c>
      <c r="L832" s="9">
        <v>191.0</v>
      </c>
      <c r="M832" s="9">
        <v>0.4452</v>
      </c>
      <c r="N832" s="2" t="s">
        <v>3394</v>
      </c>
      <c r="O832" s="2" t="s">
        <v>416</v>
      </c>
      <c r="P832" s="9">
        <v>87.19</v>
      </c>
      <c r="Q832" s="9">
        <v>100.0</v>
      </c>
      <c r="R832" s="9">
        <v>0.0</v>
      </c>
      <c r="S832" s="9">
        <v>0.6411</v>
      </c>
      <c r="T832" s="9">
        <v>0.9908</v>
      </c>
      <c r="U832" s="2" t="s">
        <v>2102</v>
      </c>
      <c r="V832" s="9">
        <v>0.3</v>
      </c>
      <c r="W832" s="2" t="s">
        <v>181</v>
      </c>
      <c r="X832" s="2" t="s">
        <v>1521</v>
      </c>
      <c r="Y832" s="2" t="s">
        <v>1491</v>
      </c>
      <c r="Z832" s="9">
        <v>0.5017</v>
      </c>
      <c r="AA832" s="9">
        <v>0.6411</v>
      </c>
      <c r="AB832" s="9">
        <v>0.3</v>
      </c>
      <c r="AC832" s="9">
        <v>0.517</v>
      </c>
      <c r="AD832" s="9" t="str">
        <f t="shared" si="1"/>
        <v>#REF!</v>
      </c>
    </row>
    <row r="833" hidden="1">
      <c r="A833" s="2" t="s">
        <v>2228</v>
      </c>
      <c r="B833" s="2" t="s">
        <v>611</v>
      </c>
      <c r="C833" s="2" t="s">
        <v>1439</v>
      </c>
      <c r="D833" s="2" t="s">
        <v>64</v>
      </c>
      <c r="E833" s="7" t="b">
        <v>1</v>
      </c>
      <c r="F833" s="9">
        <v>956.0</v>
      </c>
      <c r="G833" s="9">
        <v>7.618463828159706</v>
      </c>
      <c r="H833" s="9">
        <v>0.0044793564853556</v>
      </c>
      <c r="I833" s="7" t="b">
        <v>1</v>
      </c>
      <c r="J833" s="9">
        <v>0.0</v>
      </c>
      <c r="K833" s="7" t="b">
        <v>0</v>
      </c>
      <c r="L833" s="9">
        <v>0.0</v>
      </c>
      <c r="M833" s="9">
        <v>0.0</v>
      </c>
      <c r="N833" s="15"/>
      <c r="O833" s="15"/>
      <c r="P833" s="15"/>
      <c r="Q833" s="15"/>
      <c r="R833" s="15"/>
      <c r="S833" s="9">
        <v>0.0</v>
      </c>
      <c r="T833" s="9">
        <v>0.0</v>
      </c>
      <c r="U833" s="15"/>
      <c r="V833" s="15"/>
      <c r="W833" s="2" t="s">
        <v>82</v>
      </c>
      <c r="X833" s="2" t="s">
        <v>1787</v>
      </c>
      <c r="Y833" s="2" t="s">
        <v>2211</v>
      </c>
      <c r="Z833" s="9">
        <v>0.0</v>
      </c>
      <c r="AA833" s="9">
        <v>0.0</v>
      </c>
      <c r="AB833" s="15"/>
      <c r="AC833" s="15"/>
      <c r="AD833" s="9" t="str">
        <f t="shared" si="1"/>
        <v>#REF!</v>
      </c>
    </row>
    <row r="834" hidden="1">
      <c r="A834" s="2" t="s">
        <v>2228</v>
      </c>
      <c r="B834" s="2" t="s">
        <v>1009</v>
      </c>
      <c r="C834" s="2" t="s">
        <v>1439</v>
      </c>
      <c r="D834" s="2" t="s">
        <v>64</v>
      </c>
      <c r="E834" s="7" t="b">
        <v>1</v>
      </c>
      <c r="F834" s="9">
        <v>1113.0</v>
      </c>
      <c r="G834" s="9">
        <v>21.41377084762273</v>
      </c>
      <c r="H834" s="9">
        <v>0.131113451931716</v>
      </c>
      <c r="I834" s="7" t="b">
        <v>1</v>
      </c>
      <c r="J834" s="9">
        <v>0.0</v>
      </c>
      <c r="K834" s="7" t="b">
        <v>0</v>
      </c>
      <c r="L834" s="9">
        <v>17.0</v>
      </c>
      <c r="M834" s="9">
        <v>0.0153</v>
      </c>
      <c r="N834" s="2" t="s">
        <v>2474</v>
      </c>
      <c r="O834" s="2" t="s">
        <v>2475</v>
      </c>
      <c r="P834" s="9">
        <v>57.59</v>
      </c>
      <c r="Q834" s="9">
        <v>58.0</v>
      </c>
      <c r="R834" s="9">
        <v>0.0</v>
      </c>
      <c r="S834" s="9">
        <v>0.3404</v>
      </c>
      <c r="T834" s="9">
        <v>0.9747</v>
      </c>
      <c r="U834" s="2" t="s">
        <v>1599</v>
      </c>
      <c r="V834" s="15"/>
      <c r="W834" s="2" t="s">
        <v>134</v>
      </c>
      <c r="X834" s="2" t="s">
        <v>182</v>
      </c>
      <c r="Y834" s="2" t="s">
        <v>1491</v>
      </c>
      <c r="Z834" s="9">
        <v>0.2712</v>
      </c>
      <c r="AA834" s="9">
        <v>0.3404</v>
      </c>
      <c r="AB834" s="15"/>
      <c r="AC834" s="9">
        <v>0.0999</v>
      </c>
      <c r="AD834" s="9" t="str">
        <f t="shared" si="1"/>
        <v>#REF!</v>
      </c>
    </row>
    <row r="835" hidden="1">
      <c r="A835" s="2" t="s">
        <v>2228</v>
      </c>
      <c r="B835" s="2" t="s">
        <v>1015</v>
      </c>
      <c r="C835" s="2" t="s">
        <v>1439</v>
      </c>
      <c r="D835" s="2" t="s">
        <v>64</v>
      </c>
      <c r="E835" s="7" t="b">
        <v>1</v>
      </c>
      <c r="F835" s="9">
        <v>562.0</v>
      </c>
      <c r="G835" s="9">
        <v>4.568918442917309</v>
      </c>
      <c r="H835" s="9">
        <v>0.0029089252669039</v>
      </c>
      <c r="I835" s="7" t="b">
        <v>1</v>
      </c>
      <c r="J835" s="9">
        <v>0.0</v>
      </c>
      <c r="K835" s="7" t="b">
        <v>0</v>
      </c>
      <c r="L835" s="9">
        <v>42.0</v>
      </c>
      <c r="M835" s="9">
        <v>0.0747</v>
      </c>
      <c r="N835" s="2" t="s">
        <v>1984</v>
      </c>
      <c r="O835" s="2" t="s">
        <v>2330</v>
      </c>
      <c r="P835" s="9">
        <v>72.64</v>
      </c>
      <c r="Q835" s="9">
        <v>69.0</v>
      </c>
      <c r="R835" s="9">
        <v>0.0</v>
      </c>
      <c r="S835" s="9">
        <v>0.3726</v>
      </c>
      <c r="T835" s="9">
        <v>0.7965</v>
      </c>
      <c r="U835" s="2" t="s">
        <v>4596</v>
      </c>
      <c r="V835" s="9">
        <v>0.0</v>
      </c>
      <c r="W835" s="2" t="s">
        <v>1124</v>
      </c>
      <c r="X835" s="2" t="s">
        <v>4183</v>
      </c>
      <c r="Y835" s="2" t="s">
        <v>1788</v>
      </c>
      <c r="Z835" s="9">
        <v>0.3328</v>
      </c>
      <c r="AA835" s="9">
        <v>0.3726</v>
      </c>
      <c r="AB835" s="9">
        <v>0.0</v>
      </c>
      <c r="AC835" s="9">
        <v>0.0577</v>
      </c>
      <c r="AD835" s="9" t="str">
        <f t="shared" si="1"/>
        <v>#REF!</v>
      </c>
    </row>
    <row r="836" hidden="1">
      <c r="A836" s="2" t="s">
        <v>2228</v>
      </c>
      <c r="B836" s="2" t="s">
        <v>1024</v>
      </c>
      <c r="C836" s="2" t="s">
        <v>1439</v>
      </c>
      <c r="D836" s="2" t="s">
        <v>64</v>
      </c>
      <c r="E836" s="7" t="b">
        <v>1</v>
      </c>
      <c r="F836" s="9">
        <v>3763.0</v>
      </c>
      <c r="G836" s="9">
        <v>6.776009764779688</v>
      </c>
      <c r="H836" s="9">
        <v>0.0057351902205686</v>
      </c>
      <c r="I836" s="7" t="b">
        <v>1</v>
      </c>
      <c r="J836" s="9">
        <v>0.0</v>
      </c>
      <c r="K836" s="7" t="b">
        <v>0</v>
      </c>
      <c r="L836" s="9">
        <v>176.0</v>
      </c>
      <c r="M836" s="9">
        <v>0.0468</v>
      </c>
      <c r="N836" s="2" t="s">
        <v>1425</v>
      </c>
      <c r="O836" s="2" t="s">
        <v>1943</v>
      </c>
      <c r="P836" s="9">
        <v>76.45</v>
      </c>
      <c r="Q836" s="9">
        <v>78.0</v>
      </c>
      <c r="R836" s="9">
        <v>0.0</v>
      </c>
      <c r="S836" s="9">
        <v>0.5687</v>
      </c>
      <c r="T836" s="9">
        <v>0.8621</v>
      </c>
      <c r="U836" s="2" t="s">
        <v>2878</v>
      </c>
      <c r="V836" s="9">
        <v>0.0</v>
      </c>
      <c r="W836" s="2" t="s">
        <v>82</v>
      </c>
      <c r="X836" s="2" t="s">
        <v>1466</v>
      </c>
      <c r="Y836" s="2" t="s">
        <v>1542</v>
      </c>
      <c r="Z836" s="9">
        <v>0.4674</v>
      </c>
      <c r="AA836" s="9">
        <v>0.5687</v>
      </c>
      <c r="AB836" s="9">
        <v>0.0</v>
      </c>
      <c r="AC836" s="9">
        <v>0.1125</v>
      </c>
      <c r="AD836" s="9" t="str">
        <f t="shared" si="1"/>
        <v>#REF!</v>
      </c>
    </row>
    <row r="837" hidden="1">
      <c r="A837" s="2" t="s">
        <v>206</v>
      </c>
      <c r="B837" s="2" t="s">
        <v>997</v>
      </c>
      <c r="C837" s="2" t="s">
        <v>119</v>
      </c>
      <c r="D837" s="2" t="s">
        <v>64</v>
      </c>
      <c r="E837" s="7" t="b">
        <v>1</v>
      </c>
      <c r="F837" s="9">
        <v>185.0</v>
      </c>
      <c r="G837" s="9">
        <v>21.86060854688724</v>
      </c>
      <c r="H837" s="9">
        <v>0.0059624372972972</v>
      </c>
      <c r="I837" s="7" t="b">
        <v>1</v>
      </c>
      <c r="J837" s="9">
        <v>0.0</v>
      </c>
      <c r="K837" s="7" t="b">
        <v>0</v>
      </c>
      <c r="L837" s="9">
        <v>112.0</v>
      </c>
      <c r="M837" s="9">
        <v>0.6054</v>
      </c>
      <c r="N837" s="2" t="s">
        <v>2282</v>
      </c>
      <c r="O837" s="2" t="s">
        <v>2284</v>
      </c>
      <c r="P837" s="9">
        <v>60.3</v>
      </c>
      <c r="Q837" s="9">
        <v>54.5</v>
      </c>
      <c r="R837" s="9">
        <v>0.105263</v>
      </c>
      <c r="S837" s="9">
        <v>0.5747</v>
      </c>
      <c r="T837" s="9">
        <v>0.996</v>
      </c>
      <c r="U837" s="2" t="s">
        <v>4367</v>
      </c>
      <c r="V837" s="9">
        <v>0.7824</v>
      </c>
      <c r="W837" s="2" t="s">
        <v>157</v>
      </c>
      <c r="X837" s="2" t="s">
        <v>237</v>
      </c>
      <c r="Y837" s="2" t="s">
        <v>1703</v>
      </c>
      <c r="Z837" s="9">
        <v>0.4523</v>
      </c>
      <c r="AA837" s="9">
        <v>0.5747</v>
      </c>
      <c r="AB837" s="9">
        <v>0.7824</v>
      </c>
      <c r="AC837" s="9">
        <v>0.7292</v>
      </c>
      <c r="AD837" s="9" t="str">
        <f t="shared" si="1"/>
        <v>#REF!</v>
      </c>
    </row>
    <row r="838" hidden="1">
      <c r="A838" s="2" t="s">
        <v>206</v>
      </c>
      <c r="B838" s="2" t="s">
        <v>1027</v>
      </c>
      <c r="C838" s="2" t="s">
        <v>119</v>
      </c>
      <c r="D838" s="2" t="s">
        <v>64</v>
      </c>
      <c r="E838" s="7" t="b">
        <v>1</v>
      </c>
      <c r="F838" s="9">
        <v>69.0</v>
      </c>
      <c r="G838" s="9">
        <v>19.82494991131836</v>
      </c>
      <c r="H838" s="9">
        <v>0.0028271144927536</v>
      </c>
      <c r="I838" s="7" t="b">
        <v>1</v>
      </c>
      <c r="J838" s="9">
        <v>0.0</v>
      </c>
      <c r="K838" s="7" t="b">
        <v>0</v>
      </c>
      <c r="L838" s="9">
        <v>23.0</v>
      </c>
      <c r="M838" s="9">
        <v>0.3333</v>
      </c>
      <c r="N838" s="2" t="s">
        <v>2619</v>
      </c>
      <c r="O838" s="2" t="s">
        <v>1552</v>
      </c>
      <c r="P838" s="9">
        <v>60.43</v>
      </c>
      <c r="Q838" s="9">
        <v>50.0</v>
      </c>
      <c r="R838" s="9">
        <v>0.0</v>
      </c>
      <c r="S838" s="9">
        <v>0.4</v>
      </c>
      <c r="T838" s="9">
        <v>0.9701</v>
      </c>
      <c r="U838" s="2" t="s">
        <v>4382</v>
      </c>
      <c r="V838" s="15"/>
      <c r="W838" s="2" t="s">
        <v>82</v>
      </c>
      <c r="X838" s="2" t="s">
        <v>1455</v>
      </c>
      <c r="Y838" s="2" t="s">
        <v>1542</v>
      </c>
      <c r="Z838" s="9">
        <v>0.3078</v>
      </c>
      <c r="AA838" s="9">
        <v>0.4</v>
      </c>
      <c r="AB838" s="15"/>
      <c r="AC838" s="9">
        <v>0.1778</v>
      </c>
      <c r="AD838" s="9" t="str">
        <f t="shared" si="1"/>
        <v>#REF!</v>
      </c>
    </row>
    <row r="839" hidden="1">
      <c r="A839" s="2" t="s">
        <v>223</v>
      </c>
      <c r="B839" s="2" t="s">
        <v>997</v>
      </c>
      <c r="C839" s="2" t="s">
        <v>119</v>
      </c>
      <c r="D839" s="2" t="s">
        <v>64</v>
      </c>
      <c r="E839" s="7" t="b">
        <v>1</v>
      </c>
      <c r="F839" s="9">
        <v>239.0</v>
      </c>
      <c r="G839" s="9">
        <v>28.37085446921648</v>
      </c>
      <c r="H839" s="9">
        <v>0.0129516527196652</v>
      </c>
      <c r="I839" s="7" t="b">
        <v>1</v>
      </c>
      <c r="J839" s="9">
        <v>0.0</v>
      </c>
      <c r="K839" s="7" t="b">
        <v>0</v>
      </c>
      <c r="L839" s="9">
        <v>170.0</v>
      </c>
      <c r="M839" s="9">
        <v>0.7113</v>
      </c>
      <c r="N839" s="2" t="s">
        <v>1724</v>
      </c>
      <c r="O839" s="2" t="s">
        <v>231</v>
      </c>
      <c r="P839" s="9">
        <v>65.59</v>
      </c>
      <c r="Q839" s="9">
        <v>62.5</v>
      </c>
      <c r="R839" s="9">
        <v>0.095238</v>
      </c>
      <c r="S839" s="9">
        <v>0.6248</v>
      </c>
      <c r="T839" s="9">
        <v>0.9949</v>
      </c>
      <c r="U839" s="2" t="s">
        <v>1957</v>
      </c>
      <c r="V839" s="9">
        <v>0.0</v>
      </c>
      <c r="W839" s="2" t="s">
        <v>157</v>
      </c>
      <c r="X839" s="2" t="s">
        <v>495</v>
      </c>
      <c r="Y839" s="2" t="s">
        <v>1418</v>
      </c>
      <c r="Z839" s="9">
        <v>0.492</v>
      </c>
      <c r="AA839" s="9">
        <v>0.6248</v>
      </c>
      <c r="AB839" s="9">
        <v>0.0</v>
      </c>
      <c r="AC839" s="9">
        <v>0.7974</v>
      </c>
      <c r="AD839" s="9" t="str">
        <f t="shared" si="1"/>
        <v>#REF!</v>
      </c>
    </row>
    <row r="840" hidden="1">
      <c r="A840" s="2" t="s">
        <v>2224</v>
      </c>
      <c r="B840" s="2" t="s">
        <v>503</v>
      </c>
      <c r="C840" s="2" t="s">
        <v>1439</v>
      </c>
      <c r="D840" s="2" t="s">
        <v>64</v>
      </c>
      <c r="E840" s="7" t="b">
        <v>1</v>
      </c>
      <c r="F840" s="9">
        <v>73.0</v>
      </c>
      <c r="G840" s="9">
        <v>36.35554788046391</v>
      </c>
      <c r="H840" s="9">
        <v>0.0085667246575342</v>
      </c>
      <c r="I840" s="7" t="b">
        <v>1</v>
      </c>
      <c r="J840" s="9">
        <v>0.0</v>
      </c>
      <c r="K840" s="7" t="b">
        <v>0</v>
      </c>
      <c r="L840" s="9">
        <v>42.0</v>
      </c>
      <c r="M840" s="9">
        <v>0.5753</v>
      </c>
      <c r="N840" s="2" t="s">
        <v>2329</v>
      </c>
      <c r="O840" s="2" t="s">
        <v>2330</v>
      </c>
      <c r="P840" s="9">
        <v>83.9</v>
      </c>
      <c r="Q840" s="9">
        <v>91.5</v>
      </c>
      <c r="R840" s="9">
        <v>0.0</v>
      </c>
      <c r="S840" s="9">
        <v>0.4398</v>
      </c>
      <c r="T840" s="9">
        <v>0.9904</v>
      </c>
      <c r="U840" s="2" t="s">
        <v>3042</v>
      </c>
      <c r="V840" s="9">
        <v>0.0</v>
      </c>
      <c r="W840" s="2" t="s">
        <v>82</v>
      </c>
      <c r="X840" s="2" t="s">
        <v>517</v>
      </c>
      <c r="Y840" s="2" t="s">
        <v>2057</v>
      </c>
      <c r="Z840" s="9">
        <v>0.3454</v>
      </c>
      <c r="AA840" s="9">
        <v>0.4398</v>
      </c>
      <c r="AB840" s="9">
        <v>0.0</v>
      </c>
      <c r="AC840" s="9">
        <v>0.24</v>
      </c>
      <c r="AD840" s="9" t="str">
        <f t="shared" si="1"/>
        <v>#REF!</v>
      </c>
    </row>
    <row r="841" hidden="1">
      <c r="A841" s="2" t="s">
        <v>2224</v>
      </c>
      <c r="B841" s="2" t="s">
        <v>611</v>
      </c>
      <c r="C841" s="2" t="s">
        <v>1439</v>
      </c>
      <c r="D841" s="2" t="s">
        <v>64</v>
      </c>
      <c r="E841" s="7" t="b">
        <v>1</v>
      </c>
      <c r="F841" s="9">
        <v>1422.0</v>
      </c>
      <c r="G841" s="9">
        <v>9.99850461293528</v>
      </c>
      <c r="H841" s="9">
        <v>0.0114162222222222</v>
      </c>
      <c r="I841" s="7" t="b">
        <v>1</v>
      </c>
      <c r="J841" s="9">
        <v>0.0</v>
      </c>
      <c r="K841" s="7" t="b">
        <v>0</v>
      </c>
      <c r="L841" s="9">
        <v>1.0</v>
      </c>
      <c r="M841" s="9">
        <v>7.0E-4</v>
      </c>
      <c r="N841" s="2" t="s">
        <v>175</v>
      </c>
      <c r="O841" s="2" t="s">
        <v>177</v>
      </c>
      <c r="P841" s="9">
        <v>88.0</v>
      </c>
      <c r="Q841" s="9">
        <v>88.0</v>
      </c>
      <c r="R841" s="9">
        <v>0.0</v>
      </c>
      <c r="S841" s="9">
        <v>0.0</v>
      </c>
      <c r="T841" s="9">
        <v>1.0</v>
      </c>
      <c r="U841" s="2" t="s">
        <v>4597</v>
      </c>
      <c r="V841" s="15"/>
      <c r="W841" s="2" t="s">
        <v>82</v>
      </c>
      <c r="X841" s="2" t="s">
        <v>1455</v>
      </c>
      <c r="Y841" s="2" t="s">
        <v>1542</v>
      </c>
      <c r="Z841" s="9">
        <v>0.0</v>
      </c>
      <c r="AA841" s="9">
        <v>0.0</v>
      </c>
      <c r="AB841" s="15"/>
      <c r="AC841" s="9">
        <v>0.55</v>
      </c>
      <c r="AD841" s="9" t="str">
        <f t="shared" si="1"/>
        <v>#REF!</v>
      </c>
    </row>
    <row r="842" hidden="1">
      <c r="A842" s="2" t="s">
        <v>2224</v>
      </c>
      <c r="B842" s="2" t="s">
        <v>1009</v>
      </c>
      <c r="C842" s="2" t="s">
        <v>1439</v>
      </c>
      <c r="D842" s="2" t="s">
        <v>64</v>
      </c>
      <c r="E842" s="7" t="b">
        <v>1</v>
      </c>
      <c r="F842" s="9">
        <v>3469.0</v>
      </c>
      <c r="G842" s="9">
        <v>1.053932357863947</v>
      </c>
      <c r="H842" s="9">
        <v>0.0010408232343614</v>
      </c>
      <c r="I842" s="7" t="b">
        <v>1</v>
      </c>
      <c r="J842" s="9">
        <v>0.0</v>
      </c>
      <c r="K842" s="7" t="b">
        <v>0</v>
      </c>
      <c r="L842" s="9">
        <v>64.0</v>
      </c>
      <c r="M842" s="9">
        <v>0.0184</v>
      </c>
      <c r="N842" s="2" t="s">
        <v>2651</v>
      </c>
      <c r="O842" s="2" t="s">
        <v>2025</v>
      </c>
      <c r="P842" s="9">
        <v>69.12</v>
      </c>
      <c r="Q842" s="9">
        <v>62.0</v>
      </c>
      <c r="R842" s="9">
        <v>0.0</v>
      </c>
      <c r="S842" s="9">
        <v>0.367</v>
      </c>
      <c r="T842" s="9">
        <v>0.5294</v>
      </c>
      <c r="U842" s="2" t="s">
        <v>2106</v>
      </c>
      <c r="V842" s="9">
        <v>0.3</v>
      </c>
      <c r="W842" s="2" t="s">
        <v>181</v>
      </c>
      <c r="X842" s="2" t="s">
        <v>4183</v>
      </c>
      <c r="Y842" s="2" t="s">
        <v>1788</v>
      </c>
      <c r="Z842" s="9">
        <v>0.3159</v>
      </c>
      <c r="AA842" s="9">
        <v>0.367</v>
      </c>
      <c r="AB842" s="9">
        <v>0.3</v>
      </c>
      <c r="AC842" s="9">
        <v>0.0</v>
      </c>
      <c r="AD842" s="9" t="str">
        <f t="shared" si="1"/>
        <v>#REF!</v>
      </c>
    </row>
    <row r="843" hidden="1">
      <c r="A843" s="2" t="s">
        <v>2224</v>
      </c>
      <c r="B843" s="2" t="s">
        <v>1015</v>
      </c>
      <c r="C843" s="2" t="s">
        <v>1439</v>
      </c>
      <c r="D843" s="2" t="s">
        <v>64</v>
      </c>
      <c r="E843" s="7" t="b">
        <v>1</v>
      </c>
      <c r="F843" s="9">
        <v>6406.0</v>
      </c>
      <c r="G843" s="9">
        <v>1.624776638576658</v>
      </c>
      <c r="H843" s="9">
        <v>0.0041173735560412</v>
      </c>
      <c r="I843" s="7" t="b">
        <v>1</v>
      </c>
      <c r="J843" s="9">
        <v>0.0</v>
      </c>
      <c r="K843" s="7" t="b">
        <v>0</v>
      </c>
      <c r="L843" s="9">
        <v>1191.0</v>
      </c>
      <c r="M843" s="9">
        <v>0.1859</v>
      </c>
      <c r="N843" s="2" t="s">
        <v>4588</v>
      </c>
      <c r="O843" s="2" t="s">
        <v>1880</v>
      </c>
      <c r="P843" s="9">
        <v>87.71</v>
      </c>
      <c r="Q843" s="9">
        <v>100.0</v>
      </c>
      <c r="R843" s="9">
        <v>0.051724</v>
      </c>
      <c r="S843" s="9">
        <v>0.3416</v>
      </c>
      <c r="T843" s="9">
        <v>0.1299</v>
      </c>
      <c r="U843" s="2" t="s">
        <v>2198</v>
      </c>
      <c r="V843" s="9">
        <v>0.0213</v>
      </c>
      <c r="W843" s="2" t="s">
        <v>1193</v>
      </c>
      <c r="X843" s="2" t="s">
        <v>1521</v>
      </c>
      <c r="Y843" s="2" t="s">
        <v>3037</v>
      </c>
      <c r="Z843" s="9">
        <v>0.3999</v>
      </c>
      <c r="AA843" s="9">
        <v>0.3416</v>
      </c>
      <c r="AB843" s="9">
        <v>0.0213</v>
      </c>
      <c r="AC843" s="9">
        <v>0.1616</v>
      </c>
      <c r="AD843" s="9" t="str">
        <f t="shared" si="1"/>
        <v>#REF!</v>
      </c>
    </row>
    <row r="844" hidden="1">
      <c r="A844" s="2" t="s">
        <v>2224</v>
      </c>
      <c r="B844" s="2" t="s">
        <v>1024</v>
      </c>
      <c r="C844" s="2" t="s">
        <v>1439</v>
      </c>
      <c r="D844" s="2" t="s">
        <v>64</v>
      </c>
      <c r="E844" s="7" t="b">
        <v>1</v>
      </c>
      <c r="F844" s="9">
        <v>39713.0</v>
      </c>
      <c r="G844" s="9">
        <v>2.35485010093201</v>
      </c>
      <c r="H844" s="9">
        <v>0.0071573526049404</v>
      </c>
      <c r="I844" s="7" t="b">
        <v>1</v>
      </c>
      <c r="J844" s="9">
        <v>0.0</v>
      </c>
      <c r="K844" s="7" t="b">
        <v>0</v>
      </c>
      <c r="L844" s="9">
        <v>1558.0</v>
      </c>
      <c r="M844" s="9">
        <v>0.0392</v>
      </c>
      <c r="N844" s="2" t="s">
        <v>4598</v>
      </c>
      <c r="O844" s="2" t="s">
        <v>3123</v>
      </c>
      <c r="P844" s="9">
        <v>83.94</v>
      </c>
      <c r="Q844" s="9">
        <v>98.0</v>
      </c>
      <c r="R844" s="9">
        <v>0.011236</v>
      </c>
      <c r="S844" s="9">
        <v>0.6699</v>
      </c>
      <c r="T844" s="9">
        <v>0.4756</v>
      </c>
      <c r="U844" s="2" t="s">
        <v>2809</v>
      </c>
      <c r="V844" s="9">
        <v>0.0722</v>
      </c>
      <c r="W844" s="2" t="s">
        <v>82</v>
      </c>
      <c r="X844" s="2" t="s">
        <v>1466</v>
      </c>
      <c r="Y844" s="2" t="s">
        <v>2393</v>
      </c>
      <c r="Z844" s="9">
        <v>0.5947</v>
      </c>
      <c r="AA844" s="9">
        <v>0.6699</v>
      </c>
      <c r="AB844" s="9">
        <v>0.0722</v>
      </c>
      <c r="AC844" s="9">
        <v>0.116</v>
      </c>
      <c r="AD844" s="9" t="str">
        <f t="shared" si="1"/>
        <v>#REF!</v>
      </c>
    </row>
    <row r="845" hidden="1">
      <c r="A845" s="2" t="s">
        <v>236</v>
      </c>
      <c r="B845" s="2" t="s">
        <v>856</v>
      </c>
      <c r="C845" s="2" t="s">
        <v>119</v>
      </c>
      <c r="D845" s="2" t="s">
        <v>64</v>
      </c>
      <c r="E845" s="7" t="b">
        <v>1</v>
      </c>
      <c r="F845" s="9">
        <v>616.0</v>
      </c>
      <c r="G845" s="9">
        <v>6.242459831991784</v>
      </c>
      <c r="H845" s="9">
        <v>0.0018395844155844</v>
      </c>
      <c r="I845" s="7" t="b">
        <v>1</v>
      </c>
      <c r="J845" s="9">
        <v>0.0</v>
      </c>
      <c r="K845" s="7" t="b">
        <v>0</v>
      </c>
      <c r="L845" s="9">
        <v>9.0</v>
      </c>
      <c r="M845" s="9">
        <v>0.0146</v>
      </c>
      <c r="N845" s="2" t="s">
        <v>175</v>
      </c>
      <c r="O845" s="2" t="s">
        <v>177</v>
      </c>
      <c r="P845" s="9">
        <v>78.44</v>
      </c>
      <c r="Q845" s="9">
        <v>82.0</v>
      </c>
      <c r="R845" s="9">
        <v>0.0</v>
      </c>
      <c r="S845" s="9">
        <v>0.0</v>
      </c>
      <c r="T845" s="9">
        <v>0.8768</v>
      </c>
      <c r="U845" s="2" t="s">
        <v>1636</v>
      </c>
      <c r="V845" s="15"/>
      <c r="W845" s="2" t="s">
        <v>82</v>
      </c>
      <c r="X845" s="2" t="s">
        <v>1455</v>
      </c>
      <c r="Y845" s="2" t="s">
        <v>1542</v>
      </c>
      <c r="Z845" s="9">
        <v>0.0</v>
      </c>
      <c r="AA845" s="9">
        <v>0.0</v>
      </c>
      <c r="AB845" s="15"/>
      <c r="AC845" s="9">
        <v>0.7364</v>
      </c>
      <c r="AD845" s="9" t="str">
        <f t="shared" si="1"/>
        <v>#REF!</v>
      </c>
    </row>
    <row r="846" hidden="1">
      <c r="A846" s="2" t="s">
        <v>236</v>
      </c>
      <c r="B846" s="2" t="s">
        <v>1024</v>
      </c>
      <c r="C846" s="2" t="s">
        <v>119</v>
      </c>
      <c r="D846" s="2" t="s">
        <v>64</v>
      </c>
      <c r="E846" s="7" t="b">
        <v>1</v>
      </c>
      <c r="F846" s="9">
        <v>4373.0</v>
      </c>
      <c r="G846" s="9">
        <v>5.610007926080688</v>
      </c>
      <c r="H846" s="9">
        <v>0.0045701798307797</v>
      </c>
      <c r="I846" s="7" t="b">
        <v>1</v>
      </c>
      <c r="J846" s="9">
        <v>0.0</v>
      </c>
      <c r="K846" s="7" t="b">
        <v>0</v>
      </c>
      <c r="L846" s="9">
        <v>449.0</v>
      </c>
      <c r="M846" s="9">
        <v>0.1027</v>
      </c>
      <c r="N846" s="2" t="s">
        <v>4599</v>
      </c>
      <c r="O846" s="2" t="s">
        <v>4600</v>
      </c>
      <c r="P846" s="9">
        <v>73.57</v>
      </c>
      <c r="Q846" s="9">
        <v>75.0</v>
      </c>
      <c r="R846" s="9">
        <v>0.059701</v>
      </c>
      <c r="S846" s="9">
        <v>0.7178</v>
      </c>
      <c r="T846" s="9">
        <v>0.9771</v>
      </c>
      <c r="U846" s="2" t="s">
        <v>2858</v>
      </c>
      <c r="V846" s="9">
        <v>0.6469</v>
      </c>
      <c r="W846" s="2" t="s">
        <v>82</v>
      </c>
      <c r="X846" s="2" t="s">
        <v>495</v>
      </c>
      <c r="Y846" s="2" t="s">
        <v>2508</v>
      </c>
      <c r="Z846" s="9">
        <v>0.5726</v>
      </c>
      <c r="AA846" s="9">
        <v>0.7178</v>
      </c>
      <c r="AB846" s="9">
        <v>0.6469</v>
      </c>
      <c r="AC846" s="9">
        <v>0.1719</v>
      </c>
      <c r="AD846" s="9" t="str">
        <f t="shared" si="1"/>
        <v>#REF!</v>
      </c>
    </row>
    <row r="847">
      <c r="A847" s="2" t="s">
        <v>250</v>
      </c>
      <c r="B847" s="2" t="s">
        <v>306</v>
      </c>
      <c r="C847" s="2" t="s">
        <v>119</v>
      </c>
      <c r="D847" s="2" t="s">
        <v>64</v>
      </c>
      <c r="E847" s="7" t="b">
        <v>1</v>
      </c>
      <c r="F847" s="9">
        <v>114.0</v>
      </c>
      <c r="G847" s="9">
        <v>18.02969409321886</v>
      </c>
      <c r="H847" s="9">
        <v>0.0136928561403508</v>
      </c>
      <c r="I847" s="7" t="b">
        <v>1</v>
      </c>
      <c r="J847" s="9">
        <v>0.0</v>
      </c>
      <c r="K847" s="7" t="b">
        <v>0</v>
      </c>
      <c r="L847" s="9">
        <v>120.0</v>
      </c>
      <c r="M847" s="9">
        <v>1.0526</v>
      </c>
      <c r="N847" s="2" t="s">
        <v>1724</v>
      </c>
      <c r="O847" s="2" t="s">
        <v>231</v>
      </c>
      <c r="P847" s="9">
        <v>48.55</v>
      </c>
      <c r="Q847" s="9">
        <v>45.5</v>
      </c>
      <c r="R847" s="9">
        <v>0.0</v>
      </c>
      <c r="S847" s="9">
        <v>0.6324</v>
      </c>
      <c r="T847" s="9">
        <v>0.9996</v>
      </c>
      <c r="U847" s="2" t="s">
        <v>4601</v>
      </c>
      <c r="V847" s="9">
        <v>0.0</v>
      </c>
      <c r="W847" s="2" t="s">
        <v>82</v>
      </c>
      <c r="X847" s="2" t="s">
        <v>495</v>
      </c>
      <c r="Y847" s="2" t="s">
        <v>1408</v>
      </c>
      <c r="Z847" s="9">
        <v>0.4883</v>
      </c>
      <c r="AA847" s="9">
        <v>0.6324</v>
      </c>
      <c r="AB847" s="9">
        <v>0.0</v>
      </c>
      <c r="AC847" s="9">
        <v>0.8685</v>
      </c>
      <c r="AD847" s="9" t="str">
        <f t="shared" si="1"/>
        <v>#REF!</v>
      </c>
    </row>
    <row r="848" hidden="1">
      <c r="A848" s="2" t="s">
        <v>259</v>
      </c>
      <c r="B848" s="2" t="s">
        <v>441</v>
      </c>
      <c r="C848" s="2" t="s">
        <v>119</v>
      </c>
      <c r="D848" s="2" t="s">
        <v>64</v>
      </c>
      <c r="E848" s="7" t="b">
        <v>1</v>
      </c>
      <c r="F848" s="9">
        <v>5126.0</v>
      </c>
      <c r="G848" s="9">
        <v>1.689274126860068</v>
      </c>
      <c r="H848" s="9">
        <v>0.0050129477175185</v>
      </c>
      <c r="I848" s="7" t="b">
        <v>1</v>
      </c>
      <c r="J848" s="9">
        <v>0.0</v>
      </c>
      <c r="K848" s="7" t="b">
        <v>0</v>
      </c>
      <c r="L848" s="9">
        <v>2329.0</v>
      </c>
      <c r="M848" s="9">
        <v>0.4544</v>
      </c>
      <c r="N848" s="2" t="s">
        <v>4602</v>
      </c>
      <c r="O848" s="2" t="s">
        <v>1998</v>
      </c>
      <c r="P848" s="9">
        <v>47.57</v>
      </c>
      <c r="Q848" s="9">
        <v>44.0</v>
      </c>
      <c r="R848" s="9">
        <v>0.067183</v>
      </c>
      <c r="S848" s="9">
        <v>0.6497</v>
      </c>
      <c r="T848" s="9">
        <v>0.3903</v>
      </c>
      <c r="U848" s="2" t="s">
        <v>4596</v>
      </c>
      <c r="V848" s="9">
        <v>0.8235</v>
      </c>
      <c r="W848" s="2" t="s">
        <v>1124</v>
      </c>
      <c r="X848" s="2" t="s">
        <v>1466</v>
      </c>
      <c r="Y848" s="2" t="s">
        <v>4310</v>
      </c>
      <c r="Z848" s="9">
        <v>0.5848</v>
      </c>
      <c r="AA848" s="9">
        <v>0.6497</v>
      </c>
      <c r="AB848" s="9">
        <v>0.8235</v>
      </c>
      <c r="AC848" s="9">
        <v>0.1619</v>
      </c>
      <c r="AD848" s="9" t="str">
        <f t="shared" si="1"/>
        <v>#REF!</v>
      </c>
    </row>
    <row r="849" hidden="1">
      <c r="A849" s="2" t="s">
        <v>259</v>
      </c>
      <c r="B849" s="2" t="s">
        <v>186</v>
      </c>
      <c r="C849" s="2" t="s">
        <v>119</v>
      </c>
      <c r="D849" s="2" t="s">
        <v>64</v>
      </c>
      <c r="E849" s="7" t="b">
        <v>1</v>
      </c>
      <c r="F849" s="9">
        <v>20.0</v>
      </c>
      <c r="G849" s="9">
        <v>2.955773300533495</v>
      </c>
      <c r="H849" s="9">
        <v>0.0012213</v>
      </c>
      <c r="I849" s="7" t="b">
        <v>1</v>
      </c>
      <c r="J849" s="9">
        <v>0.0</v>
      </c>
      <c r="K849" s="7" t="b">
        <v>0</v>
      </c>
      <c r="L849" s="9">
        <v>2118.0</v>
      </c>
      <c r="M849" s="9">
        <v>105.9</v>
      </c>
      <c r="N849" s="2" t="s">
        <v>3116</v>
      </c>
      <c r="O849" s="2" t="s">
        <v>1998</v>
      </c>
      <c r="P849" s="9">
        <v>40.43</v>
      </c>
      <c r="Q849" s="9">
        <v>37.0</v>
      </c>
      <c r="R849" s="9">
        <v>0.021631</v>
      </c>
      <c r="S849" s="9">
        <v>0.7225</v>
      </c>
      <c r="T849" s="9">
        <v>0.4857</v>
      </c>
      <c r="U849" s="2" t="s">
        <v>4041</v>
      </c>
      <c r="V849" s="9">
        <v>0.8673</v>
      </c>
      <c r="W849" s="2" t="s">
        <v>181</v>
      </c>
      <c r="X849" s="2" t="s">
        <v>517</v>
      </c>
      <c r="Y849" s="2" t="s">
        <v>3567</v>
      </c>
      <c r="Z849" s="9">
        <v>0.6155</v>
      </c>
      <c r="AA849" s="9">
        <v>0.7225</v>
      </c>
      <c r="AB849" s="9">
        <v>0.8673</v>
      </c>
      <c r="AC849" s="9">
        <v>0.1329</v>
      </c>
      <c r="AD849" s="9" t="str">
        <f t="shared" si="1"/>
        <v>#REF!</v>
      </c>
    </row>
    <row r="850" hidden="1">
      <c r="A850" s="2" t="s">
        <v>259</v>
      </c>
      <c r="B850" s="2" t="s">
        <v>534</v>
      </c>
      <c r="C850" s="2" t="s">
        <v>119</v>
      </c>
      <c r="D850" s="2" t="s">
        <v>64</v>
      </c>
      <c r="E850" s="7" t="b">
        <v>1</v>
      </c>
      <c r="F850" s="9">
        <v>575.0</v>
      </c>
      <c r="G850" s="9">
        <v>7.880997871447124</v>
      </c>
      <c r="H850" s="9">
        <v>0.002419104347826</v>
      </c>
      <c r="I850" s="7" t="b">
        <v>1</v>
      </c>
      <c r="J850" s="9">
        <v>0.0</v>
      </c>
      <c r="K850" s="7" t="b">
        <v>0</v>
      </c>
      <c r="L850" s="9">
        <v>240.0</v>
      </c>
      <c r="M850" s="9">
        <v>0.4174</v>
      </c>
      <c r="N850" s="2" t="s">
        <v>509</v>
      </c>
      <c r="O850" s="2" t="s">
        <v>1725</v>
      </c>
      <c r="P850" s="9">
        <v>49.82</v>
      </c>
      <c r="Q850" s="9">
        <v>45.5</v>
      </c>
      <c r="R850" s="9">
        <v>0.0</v>
      </c>
      <c r="S850" s="9">
        <v>0.5726</v>
      </c>
      <c r="T850" s="9">
        <v>0.7627</v>
      </c>
      <c r="U850" s="2" t="s">
        <v>1207</v>
      </c>
      <c r="V850" s="9">
        <v>0.6811</v>
      </c>
      <c r="W850" s="2" t="s">
        <v>1193</v>
      </c>
      <c r="X850" s="2" t="s">
        <v>1466</v>
      </c>
      <c r="Y850" s="2" t="s">
        <v>4603</v>
      </c>
      <c r="Z850" s="9">
        <v>0.4636</v>
      </c>
      <c r="AA850" s="9">
        <v>0.5726</v>
      </c>
      <c r="AB850" s="9">
        <v>0.6811</v>
      </c>
      <c r="AC850" s="9">
        <v>0.6303</v>
      </c>
      <c r="AD850" s="9" t="str">
        <f t="shared" si="1"/>
        <v>#REF!</v>
      </c>
    </row>
    <row r="851" hidden="1">
      <c r="A851" s="2" t="s">
        <v>259</v>
      </c>
      <c r="B851" s="2" t="s">
        <v>542</v>
      </c>
      <c r="C851" s="2" t="s">
        <v>119</v>
      </c>
      <c r="D851" s="2" t="s">
        <v>64</v>
      </c>
      <c r="E851" s="7" t="b">
        <v>1</v>
      </c>
      <c r="F851" s="9">
        <v>537.0</v>
      </c>
      <c r="G851" s="9">
        <v>10.4096558805761</v>
      </c>
      <c r="H851" s="9">
        <v>0.0078664581005586</v>
      </c>
      <c r="I851" s="7" t="b">
        <v>1</v>
      </c>
      <c r="J851" s="9">
        <v>0.0</v>
      </c>
      <c r="K851" s="7" t="b">
        <v>0</v>
      </c>
      <c r="L851" s="9">
        <v>1122.0</v>
      </c>
      <c r="M851" s="9">
        <v>2.0894</v>
      </c>
      <c r="N851" s="2" t="s">
        <v>4604</v>
      </c>
      <c r="O851" s="2" t="s">
        <v>4605</v>
      </c>
      <c r="P851" s="9">
        <v>53.73</v>
      </c>
      <c r="Q851" s="9">
        <v>51.0</v>
      </c>
      <c r="R851" s="9">
        <v>0.030769</v>
      </c>
      <c r="S851" s="9">
        <v>0.8404</v>
      </c>
      <c r="T851" s="9">
        <v>0.9689</v>
      </c>
      <c r="U851" s="2" t="s">
        <v>3676</v>
      </c>
      <c r="V851" s="9">
        <v>0.8385</v>
      </c>
      <c r="W851" s="2" t="s">
        <v>1193</v>
      </c>
      <c r="X851" s="2" t="s">
        <v>237</v>
      </c>
      <c r="Y851" s="2" t="s">
        <v>1752</v>
      </c>
      <c r="Z851" s="9">
        <v>0.6945</v>
      </c>
      <c r="AA851" s="9">
        <v>0.8404</v>
      </c>
      <c r="AB851" s="9">
        <v>0.8385</v>
      </c>
      <c r="AC851" s="9">
        <v>0.2207</v>
      </c>
      <c r="AD851" s="9" t="str">
        <f t="shared" si="1"/>
        <v>#REF!</v>
      </c>
    </row>
    <row r="852" hidden="1">
      <c r="A852" s="2" t="s">
        <v>259</v>
      </c>
      <c r="B852" s="2" t="s">
        <v>982</v>
      </c>
      <c r="C852" s="2" t="s">
        <v>119</v>
      </c>
      <c r="D852" s="2" t="s">
        <v>64</v>
      </c>
      <c r="E852" s="7" t="b">
        <v>1</v>
      </c>
      <c r="F852" s="9">
        <v>2665.0</v>
      </c>
      <c r="G852" s="9">
        <v>13.98973159792945</v>
      </c>
      <c r="H852" s="9">
        <v>0.2151960975609756</v>
      </c>
      <c r="I852" s="7" t="b">
        <v>1</v>
      </c>
      <c r="J852" s="9">
        <v>0.0</v>
      </c>
      <c r="K852" s="7" t="b">
        <v>0</v>
      </c>
      <c r="L852" s="9">
        <v>6135.0</v>
      </c>
      <c r="M852" s="9">
        <v>2.3021</v>
      </c>
      <c r="N852" s="2" t="s">
        <v>4606</v>
      </c>
      <c r="O852" s="2" t="s">
        <v>4607</v>
      </c>
      <c r="P852" s="9">
        <v>56.87</v>
      </c>
      <c r="Q852" s="9">
        <v>55.0</v>
      </c>
      <c r="R852" s="9">
        <v>0.082013</v>
      </c>
      <c r="S852" s="9">
        <v>0.9565</v>
      </c>
      <c r="T852" s="9">
        <v>0.9639</v>
      </c>
      <c r="U852" s="2" t="s">
        <v>1636</v>
      </c>
      <c r="V852" s="9">
        <v>0.8463</v>
      </c>
      <c r="W852" s="2" t="s">
        <v>157</v>
      </c>
      <c r="X852" s="2" t="s">
        <v>84</v>
      </c>
      <c r="Y852" s="2" t="s">
        <v>2675</v>
      </c>
      <c r="Z852" s="9">
        <v>0.8552</v>
      </c>
      <c r="AA852" s="9">
        <v>0.9565</v>
      </c>
      <c r="AB852" s="9">
        <v>0.8463</v>
      </c>
      <c r="AC852" s="9">
        <v>0.8089</v>
      </c>
      <c r="AD852" s="9" t="str">
        <f t="shared" si="1"/>
        <v>#REF!</v>
      </c>
    </row>
    <row r="853" hidden="1">
      <c r="A853" s="2" t="s">
        <v>259</v>
      </c>
      <c r="B853" s="2" t="s">
        <v>992</v>
      </c>
      <c r="C853" s="2" t="s">
        <v>119</v>
      </c>
      <c r="D853" s="2" t="s">
        <v>64</v>
      </c>
      <c r="E853" s="7" t="b">
        <v>1</v>
      </c>
      <c r="F853" s="9">
        <v>103.0</v>
      </c>
      <c r="G853" s="9">
        <v>9.741394071777025</v>
      </c>
      <c r="H853" s="9">
        <v>0.0048533922330097</v>
      </c>
      <c r="I853" s="7" t="b">
        <v>1</v>
      </c>
      <c r="J853" s="9">
        <v>0.0</v>
      </c>
      <c r="K853" s="7" t="b">
        <v>0</v>
      </c>
      <c r="L853" s="9">
        <v>466.0</v>
      </c>
      <c r="M853" s="9">
        <v>4.5243</v>
      </c>
      <c r="N853" s="2" t="s">
        <v>1737</v>
      </c>
      <c r="O853" s="2" t="s">
        <v>4608</v>
      </c>
      <c r="P853" s="9">
        <v>51.83</v>
      </c>
      <c r="Q853" s="9">
        <v>49.0</v>
      </c>
      <c r="R853" s="9">
        <v>0.061538</v>
      </c>
      <c r="S853" s="9">
        <v>0.6684</v>
      </c>
      <c r="T853" s="9">
        <v>0.8916</v>
      </c>
      <c r="U853" s="2" t="s">
        <v>1398</v>
      </c>
      <c r="V853" s="9">
        <v>0.718</v>
      </c>
      <c r="W853" s="2" t="s">
        <v>3996</v>
      </c>
      <c r="X853" s="2" t="s">
        <v>495</v>
      </c>
      <c r="Y853" s="2" t="s">
        <v>1980</v>
      </c>
      <c r="Z853" s="9">
        <v>0.5871</v>
      </c>
      <c r="AA853" s="9">
        <v>0.6684</v>
      </c>
      <c r="AB853" s="9">
        <v>0.718</v>
      </c>
      <c r="AC853" s="9">
        <v>0.2334</v>
      </c>
      <c r="AD853" s="9" t="str">
        <f t="shared" si="1"/>
        <v>#REF!</v>
      </c>
    </row>
    <row r="854" hidden="1">
      <c r="A854" s="2" t="s">
        <v>259</v>
      </c>
      <c r="B854" s="2" t="s">
        <v>997</v>
      </c>
      <c r="C854" s="2" t="s">
        <v>119</v>
      </c>
      <c r="D854" s="2" t="s">
        <v>64</v>
      </c>
      <c r="E854" s="7" t="b">
        <v>1</v>
      </c>
      <c r="F854" s="9">
        <v>325997.0</v>
      </c>
      <c r="G854" s="9">
        <v>18.37068619373791</v>
      </c>
      <c r="H854" s="9">
        <v>1.408473066316561</v>
      </c>
      <c r="I854" s="7" t="b">
        <v>1</v>
      </c>
      <c r="J854" s="9">
        <v>0.0</v>
      </c>
      <c r="K854" s="7" t="b">
        <v>0</v>
      </c>
      <c r="L854" s="9">
        <v>204803.0</v>
      </c>
      <c r="M854" s="9">
        <v>0.6282</v>
      </c>
      <c r="N854" s="2" t="s">
        <v>4609</v>
      </c>
      <c r="O854" s="2" t="s">
        <v>4610</v>
      </c>
      <c r="P854" s="9">
        <v>60.7</v>
      </c>
      <c r="Q854" s="9">
        <v>60.0</v>
      </c>
      <c r="R854" s="9">
        <v>0.067972</v>
      </c>
      <c r="S854" s="9">
        <v>0.9639</v>
      </c>
      <c r="T854" s="9">
        <v>0.7548</v>
      </c>
      <c r="U854" s="2" t="s">
        <v>758</v>
      </c>
      <c r="V854" s="9">
        <v>0.8075</v>
      </c>
      <c r="W854" s="2" t="s">
        <v>82</v>
      </c>
      <c r="X854" s="2" t="s">
        <v>84</v>
      </c>
      <c r="Y854" s="2" t="s">
        <v>4486</v>
      </c>
      <c r="Z854" s="9">
        <v>0.9554</v>
      </c>
      <c r="AA854" s="9">
        <v>0.9639</v>
      </c>
      <c r="AB854" s="9">
        <v>0.8075</v>
      </c>
      <c r="AC854" s="9">
        <v>0.7283</v>
      </c>
      <c r="AD854" s="9" t="str">
        <f t="shared" si="1"/>
        <v>#REF!</v>
      </c>
    </row>
    <row r="855" hidden="1">
      <c r="A855" s="2" t="s">
        <v>259</v>
      </c>
      <c r="B855" s="2" t="s">
        <v>1004</v>
      </c>
      <c r="C855" s="2" t="s">
        <v>119</v>
      </c>
      <c r="D855" s="2" t="s">
        <v>64</v>
      </c>
      <c r="E855" s="7" t="b">
        <v>1</v>
      </c>
      <c r="F855" s="9">
        <v>4246.0</v>
      </c>
      <c r="G855" s="9">
        <v>2.062570162782638</v>
      </c>
      <c r="H855" s="9">
        <v>0.0015766809232218</v>
      </c>
      <c r="I855" s="7" t="b">
        <v>1</v>
      </c>
      <c r="J855" s="9">
        <v>0.0</v>
      </c>
      <c r="K855" s="7" t="b">
        <v>0</v>
      </c>
      <c r="L855" s="9">
        <v>909.0</v>
      </c>
      <c r="M855" s="9">
        <v>0.2141</v>
      </c>
      <c r="N855" s="2" t="s">
        <v>4611</v>
      </c>
      <c r="O855" s="2" t="s">
        <v>2635</v>
      </c>
      <c r="P855" s="9">
        <v>46.8</v>
      </c>
      <c r="Q855" s="9">
        <v>42.0</v>
      </c>
      <c r="R855" s="9">
        <v>0.033557</v>
      </c>
      <c r="S855" s="9">
        <v>0.5875</v>
      </c>
      <c r="T855" s="9">
        <v>0.4703</v>
      </c>
      <c r="U855" s="2" t="s">
        <v>2759</v>
      </c>
      <c r="V855" s="9">
        <v>0.8503</v>
      </c>
      <c r="W855" s="2" t="s">
        <v>82</v>
      </c>
      <c r="X855" s="2" t="s">
        <v>517</v>
      </c>
      <c r="Y855" s="2" t="s">
        <v>3069</v>
      </c>
      <c r="Z855" s="9">
        <v>0.5206</v>
      </c>
      <c r="AA855" s="9">
        <v>0.5875</v>
      </c>
      <c r="AB855" s="9">
        <v>0.8503</v>
      </c>
      <c r="AC855" s="9">
        <v>0.1117</v>
      </c>
      <c r="AD855" s="9" t="str">
        <f t="shared" si="1"/>
        <v>#REF!</v>
      </c>
    </row>
    <row r="856" hidden="1">
      <c r="A856" s="2" t="s">
        <v>259</v>
      </c>
      <c r="B856" s="2" t="s">
        <v>1019</v>
      </c>
      <c r="C856" s="2" t="s">
        <v>119</v>
      </c>
      <c r="D856" s="2" t="s">
        <v>64</v>
      </c>
      <c r="E856" s="7" t="b">
        <v>1</v>
      </c>
      <c r="F856" s="9">
        <v>4707.0</v>
      </c>
      <c r="G856" s="9">
        <v>0.9990093489236264</v>
      </c>
      <c r="H856" s="9">
        <v>0.0019851174845974</v>
      </c>
      <c r="I856" s="7" t="b">
        <v>1</v>
      </c>
      <c r="J856" s="9">
        <v>0.0</v>
      </c>
      <c r="K856" s="7" t="b">
        <v>0</v>
      </c>
      <c r="L856" s="9">
        <v>2531.0</v>
      </c>
      <c r="M856" s="9">
        <v>0.5377</v>
      </c>
      <c r="N856" s="2" t="s">
        <v>4612</v>
      </c>
      <c r="O856" s="2" t="s">
        <v>4613</v>
      </c>
      <c r="P856" s="9">
        <v>48.03</v>
      </c>
      <c r="Q856" s="9">
        <v>44.0</v>
      </c>
      <c r="R856" s="9">
        <v>0.033408</v>
      </c>
      <c r="S856" s="9">
        <v>0.6475</v>
      </c>
      <c r="T856" s="9">
        <v>0.3082</v>
      </c>
      <c r="U856" s="2" t="s">
        <v>2193</v>
      </c>
      <c r="V856" s="9">
        <v>0.7342</v>
      </c>
      <c r="W856" s="2" t="s">
        <v>2753</v>
      </c>
      <c r="X856" s="2" t="s">
        <v>517</v>
      </c>
      <c r="Y856" s="2" t="s">
        <v>1593</v>
      </c>
      <c r="Z856" s="9">
        <v>0.5653</v>
      </c>
      <c r="AA856" s="9">
        <v>0.6475</v>
      </c>
      <c r="AB856" s="9">
        <v>0.7342</v>
      </c>
      <c r="AC856" s="9">
        <v>0.1842</v>
      </c>
      <c r="AD856" s="9" t="str">
        <f t="shared" si="1"/>
        <v>#REF!</v>
      </c>
    </row>
    <row r="857" hidden="1">
      <c r="A857" s="2" t="s">
        <v>271</v>
      </c>
      <c r="B857" s="2" t="s">
        <v>997</v>
      </c>
      <c r="C857" s="2" t="s">
        <v>119</v>
      </c>
      <c r="D857" s="2" t="s">
        <v>64</v>
      </c>
      <c r="E857" s="7" t="b">
        <v>1</v>
      </c>
      <c r="F857" s="9">
        <v>118.0</v>
      </c>
      <c r="G857" s="9">
        <v>21.81451804515261</v>
      </c>
      <c r="H857" s="9">
        <v>0.0037904305084745</v>
      </c>
      <c r="I857" s="7" t="b">
        <v>1</v>
      </c>
      <c r="J857" s="9">
        <v>0.0</v>
      </c>
      <c r="K857" s="7" t="b">
        <v>0</v>
      </c>
      <c r="L857" s="9">
        <v>85.0</v>
      </c>
      <c r="M857" s="9">
        <v>0.7203</v>
      </c>
      <c r="N857" s="2" t="s">
        <v>1394</v>
      </c>
      <c r="O857" s="2" t="s">
        <v>1539</v>
      </c>
      <c r="P857" s="9">
        <v>55.25</v>
      </c>
      <c r="Q857" s="9">
        <v>55.0</v>
      </c>
      <c r="R857" s="9">
        <v>0.0</v>
      </c>
      <c r="S857" s="9">
        <v>0.5443</v>
      </c>
      <c r="T857" s="9">
        <v>1.0007</v>
      </c>
      <c r="U857" s="2" t="s">
        <v>1693</v>
      </c>
      <c r="V857" s="9">
        <v>0.0</v>
      </c>
      <c r="W857" s="2" t="s">
        <v>157</v>
      </c>
      <c r="X857" s="2" t="s">
        <v>517</v>
      </c>
      <c r="Y857" s="2" t="s">
        <v>1375</v>
      </c>
      <c r="Z857" s="9">
        <v>0.427</v>
      </c>
      <c r="AA857" s="9">
        <v>0.5443</v>
      </c>
      <c r="AB857" s="9">
        <v>0.0</v>
      </c>
      <c r="AC857" s="9">
        <v>0.731</v>
      </c>
      <c r="AD857" s="9" t="str">
        <f t="shared" si="1"/>
        <v>#REF!</v>
      </c>
    </row>
    <row r="858" hidden="1">
      <c r="A858" s="2" t="s">
        <v>1136</v>
      </c>
      <c r="B858" s="2" t="s">
        <v>441</v>
      </c>
      <c r="C858" s="2" t="s">
        <v>119</v>
      </c>
      <c r="D858" s="2" t="s">
        <v>64</v>
      </c>
      <c r="E858" s="7" t="b">
        <v>1</v>
      </c>
      <c r="F858" s="9">
        <v>67.0</v>
      </c>
      <c r="G858" s="9">
        <v>12.94402233404069</v>
      </c>
      <c r="H858" s="9">
        <v>0.0039461164179104</v>
      </c>
      <c r="I858" s="7" t="b">
        <v>1</v>
      </c>
      <c r="J858" s="9">
        <v>0.0</v>
      </c>
      <c r="K858" s="7" t="b">
        <v>0</v>
      </c>
      <c r="L858" s="9">
        <v>64.0</v>
      </c>
      <c r="M858" s="9">
        <v>0.9552</v>
      </c>
      <c r="N858" s="2" t="s">
        <v>2024</v>
      </c>
      <c r="O858" s="2" t="s">
        <v>2025</v>
      </c>
      <c r="P858" s="9">
        <v>47.31</v>
      </c>
      <c r="Q858" s="9">
        <v>43.0</v>
      </c>
      <c r="R858" s="9">
        <v>0.0</v>
      </c>
      <c r="S858" s="9">
        <v>0.4935</v>
      </c>
      <c r="T858" s="9">
        <v>0.9671</v>
      </c>
      <c r="U858" s="2" t="s">
        <v>1528</v>
      </c>
      <c r="V858" s="9">
        <v>0.55</v>
      </c>
      <c r="W858" s="2" t="s">
        <v>1124</v>
      </c>
      <c r="X858" s="2" t="s">
        <v>495</v>
      </c>
      <c r="Y858" s="2" t="s">
        <v>1718</v>
      </c>
      <c r="Z858" s="9">
        <v>0.3887</v>
      </c>
      <c r="AA858" s="9">
        <v>0.4935</v>
      </c>
      <c r="AB858" s="9">
        <v>0.55</v>
      </c>
      <c r="AC858" s="9">
        <v>0.7164</v>
      </c>
      <c r="AD858" s="9" t="str">
        <f t="shared" si="1"/>
        <v>#REF!</v>
      </c>
    </row>
    <row r="859" hidden="1">
      <c r="A859" s="2" t="s">
        <v>1136</v>
      </c>
      <c r="B859" s="2" t="s">
        <v>542</v>
      </c>
      <c r="C859" s="2" t="s">
        <v>119</v>
      </c>
      <c r="D859" s="2" t="s">
        <v>64</v>
      </c>
      <c r="E859" s="7" t="b">
        <v>1</v>
      </c>
      <c r="F859" s="9">
        <v>117.0</v>
      </c>
      <c r="G859" s="9">
        <v>11.68547363653063</v>
      </c>
      <c r="H859" s="9">
        <v>0.0021715897435897</v>
      </c>
      <c r="I859" s="7" t="b">
        <v>1</v>
      </c>
      <c r="J859" s="9">
        <v>0.0</v>
      </c>
      <c r="K859" s="7" t="b">
        <v>0</v>
      </c>
      <c r="L859" s="9">
        <v>304.0</v>
      </c>
      <c r="M859" s="9">
        <v>2.5983</v>
      </c>
      <c r="N859" s="2" t="s">
        <v>1365</v>
      </c>
      <c r="O859" s="2" t="s">
        <v>3174</v>
      </c>
      <c r="P859" s="9">
        <v>55.4</v>
      </c>
      <c r="Q859" s="9">
        <v>52.0</v>
      </c>
      <c r="R859" s="9">
        <v>0.028986</v>
      </c>
      <c r="S859" s="9">
        <v>0.7211</v>
      </c>
      <c r="T859" s="9">
        <v>0.9848</v>
      </c>
      <c r="U859" s="2" t="s">
        <v>3676</v>
      </c>
      <c r="V859" s="9">
        <v>0.7544</v>
      </c>
      <c r="W859" s="2" t="s">
        <v>1124</v>
      </c>
      <c r="X859" s="2" t="s">
        <v>495</v>
      </c>
      <c r="Y859" s="2" t="s">
        <v>1980</v>
      </c>
      <c r="Z859" s="9">
        <v>0.5694</v>
      </c>
      <c r="AA859" s="9">
        <v>0.7211</v>
      </c>
      <c r="AB859" s="9">
        <v>0.7544</v>
      </c>
      <c r="AC859" s="9">
        <v>0.1762</v>
      </c>
      <c r="AD859" s="9" t="str">
        <f t="shared" si="1"/>
        <v>#REF!</v>
      </c>
    </row>
    <row r="860" hidden="1">
      <c r="A860" s="2" t="s">
        <v>1136</v>
      </c>
      <c r="B860" s="2" t="s">
        <v>937</v>
      </c>
      <c r="C860" s="2" t="s">
        <v>119</v>
      </c>
      <c r="D860" s="2" t="s">
        <v>64</v>
      </c>
      <c r="E860" s="7" t="b">
        <v>1</v>
      </c>
      <c r="F860" s="9">
        <v>301.0</v>
      </c>
      <c r="G860" s="9">
        <v>1.465445695281717</v>
      </c>
      <c r="H860" s="9">
        <v>0.0028702624584717</v>
      </c>
      <c r="I860" s="7" t="b">
        <v>1</v>
      </c>
      <c r="J860" s="9">
        <v>0.0</v>
      </c>
      <c r="K860" s="7" t="b">
        <v>0</v>
      </c>
      <c r="L860" s="9">
        <v>322019.0</v>
      </c>
      <c r="M860" s="9">
        <v>1069.8306</v>
      </c>
      <c r="N860" s="2" t="s">
        <v>4614</v>
      </c>
      <c r="O860" s="2" t="s">
        <v>4615</v>
      </c>
      <c r="P860" s="9">
        <v>52.09</v>
      </c>
      <c r="Q860" s="9">
        <v>46.0</v>
      </c>
      <c r="R860" s="9">
        <v>0.011177</v>
      </c>
      <c r="S860" s="9">
        <v>0.8759</v>
      </c>
      <c r="T860" s="9">
        <v>0.1598</v>
      </c>
      <c r="U860" s="2" t="s">
        <v>2106</v>
      </c>
      <c r="V860" s="9">
        <v>0.8028</v>
      </c>
      <c r="W860" s="2" t="s">
        <v>2879</v>
      </c>
      <c r="X860" s="2" t="s">
        <v>495</v>
      </c>
      <c r="Y860" s="2" t="s">
        <v>2880</v>
      </c>
      <c r="Z860" s="9">
        <v>0.8308</v>
      </c>
      <c r="AA860" s="9">
        <v>0.8759</v>
      </c>
      <c r="AB860" s="9">
        <v>0.8028</v>
      </c>
      <c r="AC860" s="9">
        <v>0.1402</v>
      </c>
      <c r="AD860" s="9" t="str">
        <f t="shared" si="1"/>
        <v>#REF!</v>
      </c>
    </row>
    <row r="861">
      <c r="A861" s="2" t="s">
        <v>1136</v>
      </c>
      <c r="B861" s="2" t="s">
        <v>306</v>
      </c>
      <c r="C861" s="2" t="s">
        <v>119</v>
      </c>
      <c r="D861" s="2" t="s">
        <v>64</v>
      </c>
      <c r="E861" s="7" t="b">
        <v>1</v>
      </c>
      <c r="F861" s="9">
        <v>153.0</v>
      </c>
      <c r="G861" s="9">
        <v>19.67184787513056</v>
      </c>
      <c r="H861" s="9">
        <v>0.0217994509803921</v>
      </c>
      <c r="I861" s="7" t="b">
        <v>1</v>
      </c>
      <c r="J861" s="9">
        <v>0.0</v>
      </c>
      <c r="K861" s="7" t="b">
        <v>0</v>
      </c>
      <c r="L861" s="9">
        <v>155.0</v>
      </c>
      <c r="M861" s="9">
        <v>1.0131</v>
      </c>
      <c r="N861" s="2" t="s">
        <v>1948</v>
      </c>
      <c r="O861" s="2" t="s">
        <v>2710</v>
      </c>
      <c r="P861" s="9">
        <v>51.14</v>
      </c>
      <c r="Q861" s="9">
        <v>48.0</v>
      </c>
      <c r="R861" s="9">
        <v>0.028571</v>
      </c>
      <c r="S861" s="9">
        <v>0.6506</v>
      </c>
      <c r="T861" s="9">
        <v>0.9752</v>
      </c>
      <c r="U861" s="2" t="s">
        <v>4333</v>
      </c>
      <c r="V861" s="9">
        <v>0.0</v>
      </c>
      <c r="W861" s="2" t="s">
        <v>82</v>
      </c>
      <c r="X861" s="2" t="s">
        <v>237</v>
      </c>
      <c r="Y861" s="2" t="s">
        <v>1810</v>
      </c>
      <c r="Z861" s="9">
        <v>0.5058</v>
      </c>
      <c r="AA861" s="9">
        <v>0.6506</v>
      </c>
      <c r="AB861" s="9">
        <v>0.0</v>
      </c>
      <c r="AC861" s="9">
        <v>0.8508</v>
      </c>
      <c r="AD861" s="9" t="str">
        <f t="shared" si="1"/>
        <v>#REF!</v>
      </c>
    </row>
    <row r="862" hidden="1">
      <c r="A862" s="2" t="s">
        <v>1136</v>
      </c>
      <c r="B862" s="2" t="s">
        <v>997</v>
      </c>
      <c r="C862" s="2" t="s">
        <v>119</v>
      </c>
      <c r="D862" s="2" t="s">
        <v>64</v>
      </c>
      <c r="E862" s="7" t="b">
        <v>1</v>
      </c>
      <c r="F862" s="9">
        <v>4150.0</v>
      </c>
      <c r="G862" s="9">
        <v>22.40535418468028</v>
      </c>
      <c r="H862" s="9">
        <v>0.1329818896385542</v>
      </c>
      <c r="I862" s="7" t="b">
        <v>1</v>
      </c>
      <c r="J862" s="9">
        <v>0.0</v>
      </c>
      <c r="K862" s="7" t="b">
        <v>0</v>
      </c>
      <c r="L862" s="9">
        <v>2974.0</v>
      </c>
      <c r="M862" s="9">
        <v>0.7166</v>
      </c>
      <c r="N862" s="2" t="s">
        <v>4616</v>
      </c>
      <c r="O862" s="2" t="s">
        <v>4617</v>
      </c>
      <c r="P862" s="9">
        <v>57.29</v>
      </c>
      <c r="Q862" s="9">
        <v>55.0</v>
      </c>
      <c r="R862" s="9">
        <v>0.018595</v>
      </c>
      <c r="S862" s="9">
        <v>0.8987</v>
      </c>
      <c r="T862" s="9">
        <v>0.9793</v>
      </c>
      <c r="U862" s="2" t="s">
        <v>3270</v>
      </c>
      <c r="V862" s="9">
        <v>0.7507</v>
      </c>
      <c r="W862" s="2" t="s">
        <v>157</v>
      </c>
      <c r="X862" s="2" t="s">
        <v>84</v>
      </c>
      <c r="Y862" s="2" t="s">
        <v>2675</v>
      </c>
      <c r="Z862" s="9">
        <v>0.7587</v>
      </c>
      <c r="AA862" s="9">
        <v>0.8987</v>
      </c>
      <c r="AB862" s="9">
        <v>0.7507</v>
      </c>
      <c r="AC862" s="9">
        <v>0.7618</v>
      </c>
      <c r="AD862" s="9" t="str">
        <f t="shared" si="1"/>
        <v>#REF!</v>
      </c>
    </row>
    <row r="863" hidden="1">
      <c r="A863" s="2" t="s">
        <v>1136</v>
      </c>
      <c r="B863" s="2" t="s">
        <v>1027</v>
      </c>
      <c r="C863" s="2" t="s">
        <v>119</v>
      </c>
      <c r="D863" s="2" t="s">
        <v>64</v>
      </c>
      <c r="E863" s="7" t="b">
        <v>1</v>
      </c>
      <c r="F863" s="9">
        <v>68.0</v>
      </c>
      <c r="G863" s="9">
        <v>18.30534380177108</v>
      </c>
      <c r="H863" s="9">
        <v>0.0023764058823529</v>
      </c>
      <c r="I863" s="7" t="b">
        <v>1</v>
      </c>
      <c r="J863" s="9">
        <v>0.0</v>
      </c>
      <c r="K863" s="7" t="b">
        <v>0</v>
      </c>
      <c r="L863" s="9">
        <v>99.0</v>
      </c>
      <c r="M863" s="9">
        <v>1.4559</v>
      </c>
      <c r="N863" s="2" t="s">
        <v>2282</v>
      </c>
      <c r="O863" s="2" t="s">
        <v>2025</v>
      </c>
      <c r="P863" s="9">
        <v>44.92</v>
      </c>
      <c r="Q863" s="9">
        <v>42.0</v>
      </c>
      <c r="R863" s="9">
        <v>0.0</v>
      </c>
      <c r="S863" s="9">
        <v>0.2917</v>
      </c>
      <c r="T863" s="9">
        <v>0.4239</v>
      </c>
      <c r="U863" s="2" t="s">
        <v>2820</v>
      </c>
      <c r="V863" s="9">
        <v>0.0</v>
      </c>
      <c r="W863" s="2" t="s">
        <v>82</v>
      </c>
      <c r="X863" s="2" t="s">
        <v>1466</v>
      </c>
      <c r="Y863" s="2" t="s">
        <v>1564</v>
      </c>
      <c r="Z863" s="9">
        <v>0.2244</v>
      </c>
      <c r="AA863" s="9">
        <v>0.2917</v>
      </c>
      <c r="AB863" s="9">
        <v>0.0</v>
      </c>
      <c r="AC863" s="9">
        <v>0.0</v>
      </c>
      <c r="AD863" s="9" t="str">
        <f t="shared" si="1"/>
        <v>#REF!</v>
      </c>
    </row>
    <row r="864" hidden="1">
      <c r="A864" s="2" t="s">
        <v>1772</v>
      </c>
      <c r="B864" s="2" t="s">
        <v>503</v>
      </c>
      <c r="C864" s="2" t="s">
        <v>1439</v>
      </c>
      <c r="D864" s="2" t="s">
        <v>64</v>
      </c>
      <c r="E864" s="7" t="b">
        <v>1</v>
      </c>
      <c r="F864" s="9">
        <v>84.0</v>
      </c>
      <c r="G864" s="9">
        <v>17.43929938549499</v>
      </c>
      <c r="H864" s="9">
        <v>0.0022709428571428</v>
      </c>
      <c r="I864" s="7" t="b">
        <v>1</v>
      </c>
      <c r="J864" s="9">
        <v>0.0</v>
      </c>
      <c r="K864" s="7" t="b">
        <v>0</v>
      </c>
      <c r="L864" s="9">
        <v>104.0</v>
      </c>
      <c r="M864" s="9">
        <v>1.2381</v>
      </c>
      <c r="N864" s="2" t="s">
        <v>400</v>
      </c>
      <c r="O864" s="2" t="s">
        <v>2025</v>
      </c>
      <c r="P864" s="9">
        <v>54.62</v>
      </c>
      <c r="Q864" s="9">
        <v>46.0</v>
      </c>
      <c r="R864" s="9">
        <v>0.0</v>
      </c>
      <c r="S864" s="9">
        <v>0.4348</v>
      </c>
      <c r="T864" s="9">
        <v>0.7459</v>
      </c>
      <c r="U864" s="2" t="s">
        <v>2443</v>
      </c>
      <c r="V864" s="9">
        <v>0.675</v>
      </c>
      <c r="W864" s="2" t="s">
        <v>134</v>
      </c>
      <c r="X864" s="2" t="s">
        <v>1466</v>
      </c>
      <c r="Y864" s="2" t="s">
        <v>2821</v>
      </c>
      <c r="Z864" s="9">
        <v>0.3475</v>
      </c>
      <c r="AA864" s="9">
        <v>0.4348</v>
      </c>
      <c r="AB864" s="9">
        <v>0.675</v>
      </c>
      <c r="AC864" s="9">
        <v>0.1979</v>
      </c>
      <c r="AD864" s="9" t="str">
        <f t="shared" si="1"/>
        <v>#REF!</v>
      </c>
    </row>
    <row r="865" hidden="1">
      <c r="A865" s="2" t="s">
        <v>1776</v>
      </c>
      <c r="B865" s="2" t="s">
        <v>942</v>
      </c>
      <c r="C865" s="2" t="s">
        <v>1439</v>
      </c>
      <c r="D865" s="2" t="s">
        <v>64</v>
      </c>
      <c r="E865" s="7" t="b">
        <v>1</v>
      </c>
      <c r="F865" s="9">
        <v>1735.0</v>
      </c>
      <c r="G865" s="9">
        <v>3.231985857181638</v>
      </c>
      <c r="H865" s="9">
        <v>0.0012797290489913</v>
      </c>
      <c r="I865" s="7" t="b">
        <v>1</v>
      </c>
      <c r="J865" s="9">
        <v>0.0</v>
      </c>
      <c r="K865" s="7" t="b">
        <v>0</v>
      </c>
      <c r="L865" s="9">
        <v>6389.0</v>
      </c>
      <c r="M865" s="9">
        <v>3.6824</v>
      </c>
      <c r="N865" s="2" t="s">
        <v>4618</v>
      </c>
      <c r="O865" s="2" t="s">
        <v>2819</v>
      </c>
      <c r="P865" s="9">
        <v>60.5</v>
      </c>
      <c r="Q865" s="9">
        <v>55.0</v>
      </c>
      <c r="R865" s="9">
        <v>0.011352</v>
      </c>
      <c r="S865" s="9">
        <v>0.8095</v>
      </c>
      <c r="T865" s="9">
        <v>0.5394</v>
      </c>
      <c r="U865" s="2" t="s">
        <v>1671</v>
      </c>
      <c r="V865" s="9">
        <v>0.7881</v>
      </c>
      <c r="W865" s="2" t="s">
        <v>1884</v>
      </c>
      <c r="X865" s="2" t="s">
        <v>495</v>
      </c>
      <c r="Y865" s="2" t="s">
        <v>2889</v>
      </c>
      <c r="Z865" s="9">
        <v>0.7275</v>
      </c>
      <c r="AA865" s="9">
        <v>0.8095</v>
      </c>
      <c r="AB865" s="9">
        <v>0.7881</v>
      </c>
      <c r="AC865" s="9">
        <v>0.1666</v>
      </c>
      <c r="AD865" s="9" t="str">
        <f t="shared" si="1"/>
        <v>#REF!</v>
      </c>
    </row>
    <row r="866" hidden="1">
      <c r="A866" s="2" t="s">
        <v>1766</v>
      </c>
      <c r="B866" s="2" t="s">
        <v>942</v>
      </c>
      <c r="C866" s="2" t="s">
        <v>1439</v>
      </c>
      <c r="D866" s="2" t="s">
        <v>64</v>
      </c>
      <c r="E866" s="7" t="b">
        <v>1</v>
      </c>
      <c r="F866" s="9">
        <v>2204.0</v>
      </c>
      <c r="G866" s="9">
        <v>2.664477814205591</v>
      </c>
      <c r="H866" s="9">
        <v>0.0011046549001814</v>
      </c>
      <c r="I866" s="7" t="b">
        <v>1</v>
      </c>
      <c r="J866" s="9">
        <v>0.0</v>
      </c>
      <c r="K866" s="7" t="b">
        <v>0</v>
      </c>
      <c r="L866" s="9">
        <v>8027.0</v>
      </c>
      <c r="M866" s="9">
        <v>3.642</v>
      </c>
      <c r="N866" s="2" t="s">
        <v>4619</v>
      </c>
      <c r="O866" s="2" t="s">
        <v>4620</v>
      </c>
      <c r="P866" s="9">
        <v>63.29</v>
      </c>
      <c r="Q866" s="9">
        <v>58.0</v>
      </c>
      <c r="R866" s="9">
        <v>0.008478</v>
      </c>
      <c r="S866" s="9">
        <v>0.806</v>
      </c>
      <c r="T866" s="9">
        <v>0.462</v>
      </c>
      <c r="U866" s="2" t="s">
        <v>1671</v>
      </c>
      <c r="V866" s="9">
        <v>0.742</v>
      </c>
      <c r="W866" s="2" t="s">
        <v>2760</v>
      </c>
      <c r="X866" s="2" t="s">
        <v>517</v>
      </c>
      <c r="Y866" s="2" t="s">
        <v>4174</v>
      </c>
      <c r="Z866" s="9">
        <v>0.7307</v>
      </c>
      <c r="AA866" s="9">
        <v>0.806</v>
      </c>
      <c r="AB866" s="9">
        <v>0.742</v>
      </c>
      <c r="AC866" s="9">
        <v>0.1643</v>
      </c>
      <c r="AD866" s="9" t="str">
        <f t="shared" si="1"/>
        <v>#REF!</v>
      </c>
    </row>
    <row r="867" hidden="1">
      <c r="A867" s="2" t="s">
        <v>1799</v>
      </c>
      <c r="B867" s="2" t="s">
        <v>503</v>
      </c>
      <c r="C867" s="2" t="s">
        <v>1439</v>
      </c>
      <c r="D867" s="2" t="s">
        <v>64</v>
      </c>
      <c r="E867" s="7" t="b">
        <v>1</v>
      </c>
      <c r="F867" s="9">
        <v>127.0</v>
      </c>
      <c r="G867" s="9">
        <v>29.01332867060149</v>
      </c>
      <c r="H867" s="9">
        <v>0.0094842881889763</v>
      </c>
      <c r="I867" s="7" t="b">
        <v>1</v>
      </c>
      <c r="J867" s="9">
        <v>0.0</v>
      </c>
      <c r="K867" s="7" t="b">
        <v>0</v>
      </c>
      <c r="L867" s="9">
        <v>82.0</v>
      </c>
      <c r="M867" s="9">
        <v>0.6457</v>
      </c>
      <c r="N867" s="2" t="s">
        <v>400</v>
      </c>
      <c r="O867" s="2" t="s">
        <v>1985</v>
      </c>
      <c r="P867" s="9">
        <v>66.65</v>
      </c>
      <c r="Q867" s="9">
        <v>60.5</v>
      </c>
      <c r="R867" s="9">
        <v>0.0</v>
      </c>
      <c r="S867" s="9">
        <v>0.4708</v>
      </c>
      <c r="T867" s="9">
        <v>0.9112</v>
      </c>
      <c r="U867" s="2" t="s">
        <v>3005</v>
      </c>
      <c r="V867" s="9">
        <v>0.4193</v>
      </c>
      <c r="W867" s="2" t="s">
        <v>82</v>
      </c>
      <c r="X867" s="2" t="s">
        <v>517</v>
      </c>
      <c r="Y867" s="2" t="s">
        <v>2057</v>
      </c>
      <c r="Z867" s="9">
        <v>0.3729</v>
      </c>
      <c r="AA867" s="9">
        <v>0.4708</v>
      </c>
      <c r="AB867" s="9">
        <v>0.4193</v>
      </c>
      <c r="AC867" s="9">
        <v>0.1521</v>
      </c>
      <c r="AD867" s="9" t="str">
        <f t="shared" si="1"/>
        <v>#REF!</v>
      </c>
    </row>
    <row r="868" hidden="1">
      <c r="A868" s="2" t="s">
        <v>1685</v>
      </c>
      <c r="B868" s="2" t="s">
        <v>534</v>
      </c>
      <c r="C868" s="2" t="s">
        <v>1439</v>
      </c>
      <c r="D868" s="2" t="s">
        <v>64</v>
      </c>
      <c r="E868" s="7" t="b">
        <v>1</v>
      </c>
      <c r="F868" s="9">
        <v>256.0</v>
      </c>
      <c r="G868" s="9">
        <v>8.928412386798962</v>
      </c>
      <c r="H868" s="9">
        <v>0.0013837828125</v>
      </c>
      <c r="I868" s="7" t="b">
        <v>1</v>
      </c>
      <c r="J868" s="9">
        <v>0.0</v>
      </c>
      <c r="K868" s="7" t="b">
        <v>0</v>
      </c>
      <c r="L868" s="9">
        <v>43.0</v>
      </c>
      <c r="M868" s="9">
        <v>0.168</v>
      </c>
      <c r="N868" s="2" t="s">
        <v>1984</v>
      </c>
      <c r="O868" s="2" t="s">
        <v>1985</v>
      </c>
      <c r="P868" s="9">
        <v>73.33</v>
      </c>
      <c r="Q868" s="9">
        <v>76.0</v>
      </c>
      <c r="R868" s="9">
        <v>0.0</v>
      </c>
      <c r="S868" s="9">
        <v>0.4693</v>
      </c>
      <c r="T868" s="9">
        <v>0.9888</v>
      </c>
      <c r="U868" s="2" t="s">
        <v>1717</v>
      </c>
      <c r="V868" s="9">
        <v>0.3</v>
      </c>
      <c r="W868" s="2" t="s">
        <v>134</v>
      </c>
      <c r="X868" s="2" t="s">
        <v>1521</v>
      </c>
      <c r="Y868" s="2" t="s">
        <v>3170</v>
      </c>
      <c r="Z868" s="9">
        <v>0.3639</v>
      </c>
      <c r="AA868" s="9">
        <v>0.4693</v>
      </c>
      <c r="AB868" s="9">
        <v>0.3</v>
      </c>
      <c r="AC868" s="9">
        <v>0.2327</v>
      </c>
      <c r="AD868" s="9" t="str">
        <f t="shared" si="1"/>
        <v>#REF!</v>
      </c>
    </row>
    <row r="869" hidden="1">
      <c r="A869" s="2" t="s">
        <v>1695</v>
      </c>
      <c r="B869" s="2" t="s">
        <v>942</v>
      </c>
      <c r="C869" s="2" t="s">
        <v>1439</v>
      </c>
      <c r="D869" s="2" t="s">
        <v>64</v>
      </c>
      <c r="E869" s="7" t="b">
        <v>1</v>
      </c>
      <c r="F869" s="9">
        <v>2596.0</v>
      </c>
      <c r="G869" s="9">
        <v>2.379326355388928</v>
      </c>
      <c r="H869" s="9">
        <v>0.0010373850539291</v>
      </c>
      <c r="I869" s="7" t="b">
        <v>1</v>
      </c>
      <c r="J869" s="9">
        <v>0.0</v>
      </c>
      <c r="K869" s="7" t="b">
        <v>0</v>
      </c>
      <c r="L869" s="9">
        <v>9630.0</v>
      </c>
      <c r="M869" s="9">
        <v>3.7096</v>
      </c>
      <c r="N869" s="2" t="s">
        <v>4621</v>
      </c>
      <c r="O869" s="2" t="s">
        <v>4622</v>
      </c>
      <c r="P869" s="9">
        <v>57.3</v>
      </c>
      <c r="Q869" s="9">
        <v>48.0</v>
      </c>
      <c r="R869" s="9">
        <v>0.009405</v>
      </c>
      <c r="S869" s="9">
        <v>0.8097</v>
      </c>
      <c r="T869" s="9">
        <v>0.4566</v>
      </c>
      <c r="U869" s="2" t="s">
        <v>2285</v>
      </c>
      <c r="V869" s="9">
        <v>0.4519</v>
      </c>
      <c r="W869" s="2" t="s">
        <v>2760</v>
      </c>
      <c r="X869" s="2" t="s">
        <v>1466</v>
      </c>
      <c r="Y869" s="2" t="s">
        <v>4391</v>
      </c>
      <c r="Z869" s="9">
        <v>0.7363</v>
      </c>
      <c r="AA869" s="9">
        <v>0.8097</v>
      </c>
      <c r="AB869" s="9">
        <v>0.4519</v>
      </c>
      <c r="AC869" s="9">
        <v>0.1561</v>
      </c>
      <c r="AD869" s="9" t="str">
        <f t="shared" si="1"/>
        <v>#REF!</v>
      </c>
    </row>
    <row r="870" hidden="1">
      <c r="A870" s="2" t="s">
        <v>1695</v>
      </c>
      <c r="B870" s="2" t="s">
        <v>997</v>
      </c>
      <c r="C870" s="2" t="s">
        <v>1439</v>
      </c>
      <c r="D870" s="2" t="s">
        <v>64</v>
      </c>
      <c r="E870" s="7" t="b">
        <v>1</v>
      </c>
      <c r="F870" s="9">
        <v>50.0</v>
      </c>
      <c r="G870" s="9">
        <v>17.54491272304884</v>
      </c>
      <c r="H870" s="9">
        <v>0.0010401219999999</v>
      </c>
      <c r="I870" s="7" t="b">
        <v>1</v>
      </c>
      <c r="J870" s="9">
        <v>0.0</v>
      </c>
      <c r="K870" s="7" t="b">
        <v>0</v>
      </c>
      <c r="L870" s="9">
        <v>34.0</v>
      </c>
      <c r="M870" s="9">
        <v>0.68</v>
      </c>
      <c r="N870" s="2" t="s">
        <v>2619</v>
      </c>
      <c r="O870" s="2" t="s">
        <v>1552</v>
      </c>
      <c r="P870" s="9">
        <v>55.5</v>
      </c>
      <c r="Q870" s="9">
        <v>56.5</v>
      </c>
      <c r="R870" s="9">
        <v>0.0</v>
      </c>
      <c r="S870" s="9">
        <v>0.4316</v>
      </c>
      <c r="T870" s="9">
        <v>1.0003</v>
      </c>
      <c r="U870" s="2" t="s">
        <v>4501</v>
      </c>
      <c r="V870" s="15"/>
      <c r="W870" s="2" t="s">
        <v>1657</v>
      </c>
      <c r="X870" s="2" t="s">
        <v>1455</v>
      </c>
      <c r="Y870" s="2" t="s">
        <v>1456</v>
      </c>
      <c r="Z870" s="9">
        <v>0.3361</v>
      </c>
      <c r="AA870" s="9">
        <v>0.4316</v>
      </c>
      <c r="AB870" s="15"/>
      <c r="AC870" s="9">
        <v>0.8465</v>
      </c>
      <c r="AD870" s="9" t="str">
        <f t="shared" si="1"/>
        <v>#REF!</v>
      </c>
    </row>
    <row r="871" hidden="1">
      <c r="A871" s="2" t="s">
        <v>1699</v>
      </c>
      <c r="B871" s="2" t="s">
        <v>997</v>
      </c>
      <c r="C871" s="2" t="s">
        <v>1439</v>
      </c>
      <c r="D871" s="2" t="s">
        <v>64</v>
      </c>
      <c r="E871" s="7" t="b">
        <v>1</v>
      </c>
      <c r="F871" s="9">
        <v>62.0</v>
      </c>
      <c r="G871" s="9">
        <v>19.34611598202047</v>
      </c>
      <c r="H871" s="9">
        <v>0.0015679825806451</v>
      </c>
      <c r="I871" s="7" t="b">
        <v>1</v>
      </c>
      <c r="J871" s="9">
        <v>0.0</v>
      </c>
      <c r="K871" s="7" t="b">
        <v>0</v>
      </c>
      <c r="L871" s="9">
        <v>38.0</v>
      </c>
      <c r="M871" s="9">
        <v>0.6129</v>
      </c>
      <c r="N871" s="2" t="s">
        <v>2619</v>
      </c>
      <c r="O871" s="2" t="s">
        <v>1552</v>
      </c>
      <c r="P871" s="9">
        <v>54.95</v>
      </c>
      <c r="Q871" s="9">
        <v>53.0</v>
      </c>
      <c r="R871" s="9">
        <v>0.0</v>
      </c>
      <c r="S871" s="9">
        <v>0.44</v>
      </c>
      <c r="T871" s="9">
        <v>1.0003</v>
      </c>
      <c r="U871" s="2" t="s">
        <v>1151</v>
      </c>
      <c r="V871" s="9">
        <v>0.3</v>
      </c>
      <c r="W871" s="2" t="s">
        <v>134</v>
      </c>
      <c r="X871" s="2" t="s">
        <v>1466</v>
      </c>
      <c r="Y871" s="2" t="s">
        <v>1456</v>
      </c>
      <c r="Z871" s="9">
        <v>0.3496</v>
      </c>
      <c r="AA871" s="9">
        <v>0.44</v>
      </c>
      <c r="AB871" s="9">
        <v>0.3</v>
      </c>
      <c r="AC871" s="9">
        <v>0.277</v>
      </c>
      <c r="AD871" s="9" t="str">
        <f t="shared" si="1"/>
        <v>#REF!</v>
      </c>
    </row>
    <row r="872" hidden="1">
      <c r="A872" s="2" t="s">
        <v>1329</v>
      </c>
      <c r="B872" s="2" t="s">
        <v>534</v>
      </c>
      <c r="C872" s="2" t="s">
        <v>119</v>
      </c>
      <c r="D872" s="2" t="s">
        <v>64</v>
      </c>
      <c r="E872" s="7" t="b">
        <v>1</v>
      </c>
      <c r="F872" s="9">
        <v>212.0</v>
      </c>
      <c r="G872" s="9">
        <v>12.68072972653267</v>
      </c>
      <c r="H872" s="9">
        <v>0.0023109735849056</v>
      </c>
      <c r="I872" s="7" t="b">
        <v>1</v>
      </c>
      <c r="J872" s="9">
        <v>0.0</v>
      </c>
      <c r="K872" s="7" t="b">
        <v>0</v>
      </c>
      <c r="L872" s="9">
        <v>55.0</v>
      </c>
      <c r="M872" s="9">
        <v>0.2594</v>
      </c>
      <c r="N872" s="2" t="s">
        <v>1394</v>
      </c>
      <c r="O872" s="2" t="s">
        <v>1539</v>
      </c>
      <c r="P872" s="9">
        <v>72.18</v>
      </c>
      <c r="Q872" s="9">
        <v>66.0</v>
      </c>
      <c r="R872" s="9">
        <v>0.0</v>
      </c>
      <c r="S872" s="9">
        <v>0.5012</v>
      </c>
      <c r="T872" s="9">
        <v>1.0007</v>
      </c>
      <c r="U872" s="2" t="s">
        <v>4042</v>
      </c>
      <c r="V872" s="15"/>
      <c r="W872" s="2" t="s">
        <v>1657</v>
      </c>
      <c r="X872" s="2" t="s">
        <v>182</v>
      </c>
      <c r="Y872" s="2" t="s">
        <v>3170</v>
      </c>
      <c r="Z872" s="9">
        <v>0.3911</v>
      </c>
      <c r="AA872" s="9">
        <v>0.5012</v>
      </c>
      <c r="AB872" s="15"/>
      <c r="AC872" s="9">
        <v>0.7644</v>
      </c>
      <c r="AD872" s="9" t="str">
        <f t="shared" si="1"/>
        <v>#REF!</v>
      </c>
    </row>
    <row r="873" hidden="1">
      <c r="A873" s="2" t="s">
        <v>1329</v>
      </c>
      <c r="B873" s="2" t="s">
        <v>542</v>
      </c>
      <c r="C873" s="2" t="s">
        <v>119</v>
      </c>
      <c r="D873" s="2" t="s">
        <v>64</v>
      </c>
      <c r="E873" s="7" t="b">
        <v>1</v>
      </c>
      <c r="F873" s="9">
        <v>130.0</v>
      </c>
      <c r="G873" s="9">
        <v>13.99326270578218</v>
      </c>
      <c r="H873" s="9">
        <v>0.0034578907692307</v>
      </c>
      <c r="I873" s="7" t="b">
        <v>1</v>
      </c>
      <c r="J873" s="9">
        <v>0.0</v>
      </c>
      <c r="K873" s="7" t="b">
        <v>0</v>
      </c>
      <c r="L873" s="9">
        <v>115.0</v>
      </c>
      <c r="M873" s="9">
        <v>0.8846</v>
      </c>
      <c r="N873" s="2" t="s">
        <v>3394</v>
      </c>
      <c r="O873" s="2" t="s">
        <v>416</v>
      </c>
      <c r="P873" s="9">
        <v>90.1</v>
      </c>
      <c r="Q873" s="9">
        <v>86.0</v>
      </c>
      <c r="R873" s="9">
        <v>0.0</v>
      </c>
      <c r="S873" s="9">
        <v>0.6082</v>
      </c>
      <c r="T873" s="9">
        <v>0.9878</v>
      </c>
      <c r="U873" s="2" t="s">
        <v>3095</v>
      </c>
      <c r="V873" s="9">
        <v>0.65</v>
      </c>
      <c r="W873" s="2" t="s">
        <v>134</v>
      </c>
      <c r="X873" s="2" t="s">
        <v>517</v>
      </c>
      <c r="Y873" s="2" t="s">
        <v>1711</v>
      </c>
      <c r="Z873" s="9">
        <v>0.4753</v>
      </c>
      <c r="AA873" s="9">
        <v>0.6082</v>
      </c>
      <c r="AB873" s="9">
        <v>0.65</v>
      </c>
      <c r="AC873" s="9">
        <v>0.1427</v>
      </c>
      <c r="AD873" s="9" t="str">
        <f t="shared" si="1"/>
        <v>#REF!</v>
      </c>
    </row>
    <row r="874" hidden="1">
      <c r="A874" s="2" t="s">
        <v>1329</v>
      </c>
      <c r="B874" s="2" t="s">
        <v>942</v>
      </c>
      <c r="C874" s="2" t="s">
        <v>119</v>
      </c>
      <c r="D874" s="2" t="s">
        <v>64</v>
      </c>
      <c r="E874" s="7" t="b">
        <v>1</v>
      </c>
      <c r="F874" s="9">
        <v>1281.0</v>
      </c>
      <c r="G874" s="9">
        <v>4.010000420118518</v>
      </c>
      <c r="H874" s="9">
        <v>0.0014551350507416</v>
      </c>
      <c r="I874" s="7" t="b">
        <v>1</v>
      </c>
      <c r="J874" s="9">
        <v>0.0</v>
      </c>
      <c r="K874" s="7" t="b">
        <v>0</v>
      </c>
      <c r="L874" s="9">
        <v>2971.0</v>
      </c>
      <c r="M874" s="9">
        <v>2.3193</v>
      </c>
      <c r="N874" s="2" t="s">
        <v>4623</v>
      </c>
      <c r="O874" s="2" t="s">
        <v>4624</v>
      </c>
      <c r="P874" s="9">
        <v>51.8</v>
      </c>
      <c r="Q874" s="9">
        <v>42.0</v>
      </c>
      <c r="R874" s="9">
        <v>0.009464</v>
      </c>
      <c r="S874" s="9">
        <v>0.7657</v>
      </c>
      <c r="T874" s="9">
        <v>0.6599</v>
      </c>
      <c r="U874" s="2" t="s">
        <v>2193</v>
      </c>
      <c r="V874" s="9">
        <v>0.8419</v>
      </c>
      <c r="W874" s="2" t="s">
        <v>2760</v>
      </c>
      <c r="X874" s="2" t="s">
        <v>1466</v>
      </c>
      <c r="Y874" s="2" t="s">
        <v>2937</v>
      </c>
      <c r="Z874" s="9">
        <v>0.6701</v>
      </c>
      <c r="AA874" s="9">
        <v>0.7657</v>
      </c>
      <c r="AB874" s="9">
        <v>0.8419</v>
      </c>
      <c r="AC874" s="9">
        <v>0.1718</v>
      </c>
      <c r="AD874" s="9" t="str">
        <f t="shared" si="1"/>
        <v>#REF!</v>
      </c>
    </row>
    <row r="875" hidden="1">
      <c r="A875" s="2" t="s">
        <v>1329</v>
      </c>
      <c r="B875" s="2" t="s">
        <v>997</v>
      </c>
      <c r="C875" s="2" t="s">
        <v>119</v>
      </c>
      <c r="D875" s="2" t="s">
        <v>64</v>
      </c>
      <c r="E875" s="7" t="b">
        <v>1</v>
      </c>
      <c r="F875" s="9">
        <v>75.0</v>
      </c>
      <c r="G875" s="9">
        <v>29.31389778747189</v>
      </c>
      <c r="H875" s="9">
        <v>0.0043529893333333</v>
      </c>
      <c r="I875" s="7" t="b">
        <v>1</v>
      </c>
      <c r="J875" s="9">
        <v>0.0</v>
      </c>
      <c r="K875" s="7" t="b">
        <v>0</v>
      </c>
      <c r="L875" s="9">
        <v>36.0</v>
      </c>
      <c r="M875" s="9">
        <v>0.48</v>
      </c>
      <c r="N875" s="2" t="s">
        <v>2024</v>
      </c>
      <c r="O875" s="2" t="s">
        <v>2025</v>
      </c>
      <c r="P875" s="9">
        <v>82.03</v>
      </c>
      <c r="Q875" s="9">
        <v>78.5</v>
      </c>
      <c r="R875" s="9">
        <v>0.0</v>
      </c>
      <c r="S875" s="9">
        <v>0.4423</v>
      </c>
      <c r="T875" s="9">
        <v>1.0004</v>
      </c>
      <c r="U875" s="2" t="s">
        <v>758</v>
      </c>
      <c r="V875" s="15"/>
      <c r="W875" s="2" t="s">
        <v>157</v>
      </c>
      <c r="X875" s="2" t="s">
        <v>182</v>
      </c>
      <c r="Y875" s="2" t="s">
        <v>1491</v>
      </c>
      <c r="Z875" s="9">
        <v>0.3444</v>
      </c>
      <c r="AA875" s="9">
        <v>0.4423</v>
      </c>
      <c r="AB875" s="15"/>
      <c r="AC875" s="9">
        <v>0.6797</v>
      </c>
      <c r="AD875" s="9" t="str">
        <f t="shared" si="1"/>
        <v>#REF!</v>
      </c>
    </row>
    <row r="876" hidden="1">
      <c r="A876" s="2" t="s">
        <v>809</v>
      </c>
      <c r="B876" s="2" t="s">
        <v>997</v>
      </c>
      <c r="C876" s="2" t="s">
        <v>119</v>
      </c>
      <c r="D876" s="2" t="s">
        <v>64</v>
      </c>
      <c r="E876" s="7" t="b">
        <v>1</v>
      </c>
      <c r="F876" s="9">
        <v>106.0</v>
      </c>
      <c r="G876" s="9">
        <v>40.12041690549762</v>
      </c>
      <c r="H876" s="9">
        <v>0.0115069660377358</v>
      </c>
      <c r="I876" s="7" t="b">
        <v>1</v>
      </c>
      <c r="J876" s="9">
        <v>0.0</v>
      </c>
      <c r="K876" s="7" t="b">
        <v>0</v>
      </c>
      <c r="L876" s="9">
        <v>63.0</v>
      </c>
      <c r="M876" s="9">
        <v>0.5943</v>
      </c>
      <c r="N876" s="2" t="s">
        <v>1551</v>
      </c>
      <c r="O876" s="2" t="s">
        <v>1890</v>
      </c>
      <c r="P876" s="9">
        <v>84.59</v>
      </c>
      <c r="Q876" s="9">
        <v>94.0</v>
      </c>
      <c r="R876" s="9">
        <v>0.0</v>
      </c>
      <c r="S876" s="9">
        <v>0.5087</v>
      </c>
      <c r="T876" s="9">
        <v>0.9935</v>
      </c>
      <c r="U876" s="2" t="s">
        <v>234</v>
      </c>
      <c r="V876" s="9">
        <v>0.55</v>
      </c>
      <c r="W876" s="2" t="s">
        <v>157</v>
      </c>
      <c r="X876" s="2" t="s">
        <v>495</v>
      </c>
      <c r="Y876" s="2" t="s">
        <v>1718</v>
      </c>
      <c r="Z876" s="9">
        <v>0.3961</v>
      </c>
      <c r="AA876" s="9">
        <v>0.5087</v>
      </c>
      <c r="AB876" s="9">
        <v>0.55</v>
      </c>
      <c r="AC876" s="9">
        <v>0.6728</v>
      </c>
      <c r="AD876" s="9" t="str">
        <f t="shared" si="1"/>
        <v>#REF!</v>
      </c>
    </row>
    <row r="877" hidden="1">
      <c r="A877" s="2" t="s">
        <v>1735</v>
      </c>
      <c r="B877" s="2" t="s">
        <v>534</v>
      </c>
      <c r="C877" s="2" t="s">
        <v>1439</v>
      </c>
      <c r="D877" s="2" t="s">
        <v>64</v>
      </c>
      <c r="E877" s="7" t="b">
        <v>1</v>
      </c>
      <c r="F877" s="9">
        <v>239.0</v>
      </c>
      <c r="G877" s="9">
        <v>32.72195111085747</v>
      </c>
      <c r="H877" s="9">
        <v>0.0172960246861924</v>
      </c>
      <c r="I877" s="7" t="b">
        <v>1</v>
      </c>
      <c r="J877" s="9">
        <v>0.0</v>
      </c>
      <c r="K877" s="7" t="b">
        <v>0</v>
      </c>
      <c r="L877" s="9">
        <v>146.0</v>
      </c>
      <c r="M877" s="9">
        <v>0.6109</v>
      </c>
      <c r="N877" s="2" t="s">
        <v>2074</v>
      </c>
      <c r="O877" s="2" t="s">
        <v>1579</v>
      </c>
      <c r="P877" s="9">
        <v>84.0</v>
      </c>
      <c r="Q877" s="9">
        <v>99.0</v>
      </c>
      <c r="R877" s="9">
        <v>0.0</v>
      </c>
      <c r="S877" s="9">
        <v>0.6184</v>
      </c>
      <c r="T877" s="9">
        <v>0.9998</v>
      </c>
      <c r="U877" s="2" t="s">
        <v>4206</v>
      </c>
      <c r="V877" s="9">
        <v>0.0</v>
      </c>
      <c r="W877" s="2" t="s">
        <v>134</v>
      </c>
      <c r="X877" s="2" t="s">
        <v>517</v>
      </c>
      <c r="Y877" s="2" t="s">
        <v>1744</v>
      </c>
      <c r="Z877" s="9">
        <v>0.4863</v>
      </c>
      <c r="AA877" s="9">
        <v>0.6184</v>
      </c>
      <c r="AB877" s="9">
        <v>0.0</v>
      </c>
      <c r="AC877" s="9">
        <v>0.8105</v>
      </c>
      <c r="AD877" s="9" t="str">
        <f t="shared" si="1"/>
        <v>#REF!</v>
      </c>
    </row>
    <row r="878" hidden="1">
      <c r="A878" s="2" t="s">
        <v>2151</v>
      </c>
      <c r="B878" s="2" t="s">
        <v>997</v>
      </c>
      <c r="C878" s="2" t="s">
        <v>1439</v>
      </c>
      <c r="D878" s="2" t="s">
        <v>64</v>
      </c>
      <c r="E878" s="7" t="b">
        <v>1</v>
      </c>
      <c r="F878" s="9">
        <v>57.0</v>
      </c>
      <c r="G878" s="9">
        <v>22.34241407393502</v>
      </c>
      <c r="H878" s="9">
        <v>0.0019224533333333</v>
      </c>
      <c r="I878" s="7" t="b">
        <v>1</v>
      </c>
      <c r="J878" s="9">
        <v>0.0</v>
      </c>
      <c r="K878" s="7" t="b">
        <v>0</v>
      </c>
      <c r="L878" s="9">
        <v>45.0</v>
      </c>
      <c r="M878" s="9">
        <v>0.7895</v>
      </c>
      <c r="N878" s="2" t="s">
        <v>2329</v>
      </c>
      <c r="O878" s="2" t="s">
        <v>2330</v>
      </c>
      <c r="P878" s="9">
        <v>58.96</v>
      </c>
      <c r="Q878" s="9">
        <v>58.0</v>
      </c>
      <c r="R878" s="9">
        <v>0.2</v>
      </c>
      <c r="S878" s="9">
        <v>0.4671</v>
      </c>
      <c r="T878" s="9">
        <v>1.0004</v>
      </c>
      <c r="U878" s="2" t="s">
        <v>1092</v>
      </c>
      <c r="V878" s="9">
        <v>0.0</v>
      </c>
      <c r="W878" s="2" t="s">
        <v>82</v>
      </c>
      <c r="X878" s="2" t="s">
        <v>237</v>
      </c>
      <c r="Y878" s="2" t="s">
        <v>1810</v>
      </c>
      <c r="Z878" s="9">
        <v>0.3637</v>
      </c>
      <c r="AA878" s="9">
        <v>0.4671</v>
      </c>
      <c r="AB878" s="9">
        <v>0.0</v>
      </c>
      <c r="AC878" s="9">
        <v>0.7215</v>
      </c>
      <c r="AD878" s="9" t="str">
        <f t="shared" si="1"/>
        <v>#REF!</v>
      </c>
    </row>
    <row r="879" hidden="1">
      <c r="A879" s="2" t="s">
        <v>166</v>
      </c>
      <c r="B879" s="2" t="s">
        <v>997</v>
      </c>
      <c r="C879" s="2" t="s">
        <v>119</v>
      </c>
      <c r="D879" s="2" t="s">
        <v>64</v>
      </c>
      <c r="E879" s="7" t="b">
        <v>1</v>
      </c>
      <c r="F879" s="9">
        <v>25378.0</v>
      </c>
      <c r="G879" s="9">
        <v>27.52082358173309</v>
      </c>
      <c r="H879" s="9">
        <v>0.8972427472614075</v>
      </c>
      <c r="I879" s="7" t="b">
        <v>1</v>
      </c>
      <c r="J879" s="9">
        <v>0.0</v>
      </c>
      <c r="K879" s="7" t="b">
        <v>0</v>
      </c>
      <c r="L879" s="9">
        <v>17523.0</v>
      </c>
      <c r="M879" s="9">
        <v>0.6905</v>
      </c>
      <c r="N879" s="2" t="s">
        <v>4625</v>
      </c>
      <c r="O879" s="2" t="s">
        <v>4626</v>
      </c>
      <c r="P879" s="9">
        <v>63.0</v>
      </c>
      <c r="Q879" s="9">
        <v>65.0</v>
      </c>
      <c r="R879" s="9">
        <v>0.044477</v>
      </c>
      <c r="S879" s="9">
        <v>0.9608</v>
      </c>
      <c r="T879" s="9">
        <v>0.9156</v>
      </c>
      <c r="U879" s="2" t="s">
        <v>758</v>
      </c>
      <c r="V879" s="9">
        <v>0.6879</v>
      </c>
      <c r="W879" s="2" t="s">
        <v>82</v>
      </c>
      <c r="X879" s="2" t="s">
        <v>99</v>
      </c>
      <c r="Y879" s="2" t="s">
        <v>1515</v>
      </c>
      <c r="Z879" s="9">
        <v>0.8911</v>
      </c>
      <c r="AA879" s="9">
        <v>0.9608</v>
      </c>
      <c r="AB879" s="9">
        <v>0.6879</v>
      </c>
      <c r="AC879" s="9">
        <v>0.7149</v>
      </c>
      <c r="AD879" s="9" t="str">
        <f t="shared" si="1"/>
        <v>#REF!</v>
      </c>
    </row>
    <row r="880" hidden="1">
      <c r="A880" s="2" t="s">
        <v>1669</v>
      </c>
      <c r="B880" s="2" t="s">
        <v>942</v>
      </c>
      <c r="C880" s="2" t="s">
        <v>1439</v>
      </c>
      <c r="D880" s="2" t="s">
        <v>64</v>
      </c>
      <c r="E880" s="7" t="b">
        <v>1</v>
      </c>
      <c r="F880" s="9">
        <v>639.0</v>
      </c>
      <c r="G880" s="9">
        <v>5.637457759938268</v>
      </c>
      <c r="H880" s="9">
        <v>0.0014358215962441</v>
      </c>
      <c r="I880" s="7" t="b">
        <v>1</v>
      </c>
      <c r="J880" s="9">
        <v>0.0</v>
      </c>
      <c r="K880" s="7" t="b">
        <v>0</v>
      </c>
      <c r="L880" s="9">
        <v>2765.0</v>
      </c>
      <c r="M880" s="9">
        <v>4.3271</v>
      </c>
      <c r="N880" s="2" t="s">
        <v>4627</v>
      </c>
      <c r="O880" s="2" t="s">
        <v>4628</v>
      </c>
      <c r="P880" s="9">
        <v>60.38</v>
      </c>
      <c r="Q880" s="9">
        <v>55.0</v>
      </c>
      <c r="R880" s="9">
        <v>0.008264</v>
      </c>
      <c r="S880" s="9">
        <v>0.78</v>
      </c>
      <c r="T880" s="9">
        <v>0.6941</v>
      </c>
      <c r="U880" s="2" t="s">
        <v>3089</v>
      </c>
      <c r="V880" s="9">
        <v>0.7755</v>
      </c>
      <c r="W880" s="2" t="s">
        <v>1884</v>
      </c>
      <c r="X880" s="2" t="s">
        <v>1466</v>
      </c>
      <c r="Y880" s="2" t="s">
        <v>2937</v>
      </c>
      <c r="Z880" s="9">
        <v>0.6852</v>
      </c>
      <c r="AA880" s="9">
        <v>0.78</v>
      </c>
      <c r="AB880" s="9">
        <v>0.7755</v>
      </c>
      <c r="AC880" s="9">
        <v>0.172</v>
      </c>
      <c r="AD880" s="9" t="str">
        <f t="shared" si="1"/>
        <v>#REF!</v>
      </c>
    </row>
    <row r="881" hidden="1">
      <c r="A881" s="2" t="s">
        <v>1652</v>
      </c>
      <c r="B881" s="2" t="s">
        <v>942</v>
      </c>
      <c r="C881" s="2" t="s">
        <v>1439</v>
      </c>
      <c r="D881" s="2" t="s">
        <v>64</v>
      </c>
      <c r="E881" s="7" t="b">
        <v>1</v>
      </c>
      <c r="F881" s="9">
        <v>603.0</v>
      </c>
      <c r="G881" s="9">
        <v>6.128628119790484</v>
      </c>
      <c r="H881" s="9">
        <v>0.0016012696517412</v>
      </c>
      <c r="I881" s="7" t="b">
        <v>1</v>
      </c>
      <c r="J881" s="9">
        <v>0.0</v>
      </c>
      <c r="K881" s="7" t="b">
        <v>0</v>
      </c>
      <c r="L881" s="9">
        <v>2703.0</v>
      </c>
      <c r="M881" s="9">
        <v>4.4826</v>
      </c>
      <c r="N881" s="2" t="s">
        <v>4629</v>
      </c>
      <c r="O881" s="2" t="s">
        <v>3101</v>
      </c>
      <c r="P881" s="9">
        <v>58.46</v>
      </c>
      <c r="Q881" s="9">
        <v>51.0</v>
      </c>
      <c r="R881" s="9">
        <v>0.011338</v>
      </c>
      <c r="S881" s="9">
        <v>0.7855</v>
      </c>
      <c r="T881" s="9">
        <v>0.717</v>
      </c>
      <c r="U881" s="2" t="s">
        <v>2987</v>
      </c>
      <c r="V881" s="9">
        <v>0.7462</v>
      </c>
      <c r="W881" s="2" t="s">
        <v>1884</v>
      </c>
      <c r="X881" s="2" t="s">
        <v>517</v>
      </c>
      <c r="Y881" s="2" t="s">
        <v>2719</v>
      </c>
      <c r="Z881" s="9">
        <v>0.6869</v>
      </c>
      <c r="AA881" s="9">
        <v>0.7855</v>
      </c>
      <c r="AB881" s="9">
        <v>0.7462</v>
      </c>
      <c r="AC881" s="9">
        <v>0.1732</v>
      </c>
      <c r="AD881" s="9" t="str">
        <f t="shared" si="1"/>
        <v>#REF!</v>
      </c>
    </row>
    <row r="882" hidden="1">
      <c r="A882" s="2" t="s">
        <v>1646</v>
      </c>
      <c r="B882" s="2" t="s">
        <v>534</v>
      </c>
      <c r="C882" s="2" t="s">
        <v>1439</v>
      </c>
      <c r="D882" s="2" t="s">
        <v>64</v>
      </c>
      <c r="E882" s="7" t="b">
        <v>1</v>
      </c>
      <c r="F882" s="9">
        <v>741.0</v>
      </c>
      <c r="G882" s="9">
        <v>5.670244695020976</v>
      </c>
      <c r="H882" s="9">
        <v>0.0016138461538461</v>
      </c>
      <c r="I882" s="7" t="b">
        <v>1</v>
      </c>
      <c r="J882" s="9">
        <v>0.0</v>
      </c>
      <c r="K882" s="7" t="b">
        <v>0</v>
      </c>
      <c r="L882" s="9">
        <v>82.0</v>
      </c>
      <c r="M882" s="9">
        <v>0.1107</v>
      </c>
      <c r="N882" s="2" t="s">
        <v>1475</v>
      </c>
      <c r="O882" s="2" t="s">
        <v>511</v>
      </c>
      <c r="P882" s="9">
        <v>80.73</v>
      </c>
      <c r="Q882" s="9">
        <v>90.0</v>
      </c>
      <c r="R882" s="9">
        <v>0.0</v>
      </c>
      <c r="S882" s="9">
        <v>0.5381</v>
      </c>
      <c r="T882" s="9">
        <v>0.9662</v>
      </c>
      <c r="U882" s="2" t="s">
        <v>1553</v>
      </c>
      <c r="V882" s="15"/>
      <c r="W882" s="2" t="s">
        <v>1193</v>
      </c>
      <c r="X882" s="2" t="s">
        <v>182</v>
      </c>
      <c r="Y882" s="2" t="s">
        <v>3170</v>
      </c>
      <c r="Z882" s="9">
        <v>0.4251</v>
      </c>
      <c r="AA882" s="9">
        <v>0.5381</v>
      </c>
      <c r="AB882" s="15"/>
      <c r="AC882" s="9">
        <v>0.7635</v>
      </c>
      <c r="AD882" s="9" t="str">
        <f t="shared" si="1"/>
        <v>#REF!</v>
      </c>
    </row>
    <row r="883" hidden="1">
      <c r="A883" s="2" t="s">
        <v>1646</v>
      </c>
      <c r="B883" s="2" t="s">
        <v>542</v>
      </c>
      <c r="C883" s="2" t="s">
        <v>1439</v>
      </c>
      <c r="D883" s="2" t="s">
        <v>64</v>
      </c>
      <c r="E883" s="7" t="b">
        <v>1</v>
      </c>
      <c r="F883" s="9">
        <v>89.0</v>
      </c>
      <c r="G883" s="9">
        <v>13.05468728477777</v>
      </c>
      <c r="H883" s="9">
        <v>0.0020624056179775</v>
      </c>
      <c r="I883" s="7" t="b">
        <v>1</v>
      </c>
      <c r="J883" s="9">
        <v>0.0</v>
      </c>
      <c r="K883" s="7" t="b">
        <v>0</v>
      </c>
      <c r="L883" s="9">
        <v>131.0</v>
      </c>
      <c r="M883" s="9">
        <v>1.4719</v>
      </c>
      <c r="N883" s="2" t="s">
        <v>414</v>
      </c>
      <c r="O883" s="2" t="s">
        <v>1527</v>
      </c>
      <c r="P883" s="9">
        <v>77.47</v>
      </c>
      <c r="Q883" s="9">
        <v>83.0</v>
      </c>
      <c r="R883" s="9">
        <v>0.0</v>
      </c>
      <c r="S883" s="9">
        <v>0.6189</v>
      </c>
      <c r="T883" s="9">
        <v>0.9787</v>
      </c>
      <c r="U883" s="2" t="s">
        <v>2398</v>
      </c>
      <c r="V883" s="9">
        <v>0.3</v>
      </c>
      <c r="W883" s="2" t="s">
        <v>1657</v>
      </c>
      <c r="X883" s="2" t="s">
        <v>1466</v>
      </c>
      <c r="Y883" s="2" t="s">
        <v>1456</v>
      </c>
      <c r="Z883" s="9">
        <v>0.4843</v>
      </c>
      <c r="AA883" s="9">
        <v>0.6189</v>
      </c>
      <c r="AB883" s="9">
        <v>0.3</v>
      </c>
      <c r="AC883" s="9">
        <v>0.1346</v>
      </c>
      <c r="AD883" s="9" t="str">
        <f t="shared" si="1"/>
        <v>#REF!</v>
      </c>
    </row>
    <row r="884" hidden="1">
      <c r="A884" s="2" t="s">
        <v>1646</v>
      </c>
      <c r="B884" s="2" t="s">
        <v>937</v>
      </c>
      <c r="C884" s="2" t="s">
        <v>1439</v>
      </c>
      <c r="D884" s="2" t="s">
        <v>64</v>
      </c>
      <c r="E884" s="7" t="b">
        <v>1</v>
      </c>
      <c r="F884" s="9">
        <v>89.0</v>
      </c>
      <c r="G884" s="9">
        <v>2.188827107235287</v>
      </c>
      <c r="H884" s="9">
        <v>0.0019127528089887</v>
      </c>
      <c r="I884" s="7" t="b">
        <v>1</v>
      </c>
      <c r="J884" s="9">
        <v>0.0</v>
      </c>
      <c r="K884" s="7" t="b">
        <v>0</v>
      </c>
      <c r="L884" s="9">
        <v>57403.0</v>
      </c>
      <c r="M884" s="9">
        <v>644.9775</v>
      </c>
      <c r="N884" s="2" t="s">
        <v>4630</v>
      </c>
      <c r="O884" s="2" t="s">
        <v>654</v>
      </c>
      <c r="P884" s="9">
        <v>63.59</v>
      </c>
      <c r="Q884" s="9">
        <v>58.0</v>
      </c>
      <c r="R884" s="9">
        <v>0.011418</v>
      </c>
      <c r="S884" s="9">
        <v>0.8351</v>
      </c>
      <c r="T884" s="9">
        <v>0.1851</v>
      </c>
      <c r="U884" s="2" t="s">
        <v>2878</v>
      </c>
      <c r="V884" s="9">
        <v>0.7291</v>
      </c>
      <c r="W884" s="2" t="s">
        <v>2879</v>
      </c>
      <c r="X884" s="2" t="s">
        <v>495</v>
      </c>
      <c r="Y884" s="2" t="s">
        <v>2880</v>
      </c>
      <c r="Z884" s="9">
        <v>0.7793</v>
      </c>
      <c r="AA884" s="9">
        <v>0.8351</v>
      </c>
      <c r="AB884" s="9">
        <v>0.7291</v>
      </c>
      <c r="AC884" s="9">
        <v>0.1533</v>
      </c>
      <c r="AD884" s="9" t="str">
        <f t="shared" si="1"/>
        <v>#REF!</v>
      </c>
    </row>
    <row r="885" hidden="1">
      <c r="A885" s="2" t="s">
        <v>1646</v>
      </c>
      <c r="B885" s="2" t="s">
        <v>997</v>
      </c>
      <c r="C885" s="2" t="s">
        <v>1439</v>
      </c>
      <c r="D885" s="2" t="s">
        <v>64</v>
      </c>
      <c r="E885" s="7" t="b">
        <v>1</v>
      </c>
      <c r="F885" s="9">
        <v>226.0</v>
      </c>
      <c r="G885" s="9">
        <v>19.14143085979385</v>
      </c>
      <c r="H885" s="9">
        <v>0.0055835044247787</v>
      </c>
      <c r="I885" s="7" t="b">
        <v>1</v>
      </c>
      <c r="J885" s="9">
        <v>0.0</v>
      </c>
      <c r="K885" s="7" t="b">
        <v>0</v>
      </c>
      <c r="L885" s="9">
        <v>90.0</v>
      </c>
      <c r="M885" s="9">
        <v>0.3982</v>
      </c>
      <c r="N885" s="2" t="s">
        <v>1450</v>
      </c>
      <c r="O885" s="2" t="s">
        <v>1451</v>
      </c>
      <c r="P885" s="9">
        <v>68.06</v>
      </c>
      <c r="Q885" s="9">
        <v>67.5</v>
      </c>
      <c r="R885" s="9">
        <v>0.1875</v>
      </c>
      <c r="S885" s="9">
        <v>0.5497</v>
      </c>
      <c r="T885" s="9">
        <v>1.0009</v>
      </c>
      <c r="U885" s="2" t="s">
        <v>3270</v>
      </c>
      <c r="V885" s="9">
        <v>0.8625</v>
      </c>
      <c r="W885" s="2" t="s">
        <v>157</v>
      </c>
      <c r="X885" s="2" t="s">
        <v>495</v>
      </c>
      <c r="Y885" s="2" t="s">
        <v>2967</v>
      </c>
      <c r="Z885" s="9">
        <v>0.4325</v>
      </c>
      <c r="AA885" s="9">
        <v>0.5497</v>
      </c>
      <c r="AB885" s="9">
        <v>0.8625</v>
      </c>
      <c r="AC885" s="9">
        <v>0.683</v>
      </c>
      <c r="AD885" s="9" t="str">
        <f t="shared" si="1"/>
        <v>#REF!</v>
      </c>
    </row>
    <row r="886" hidden="1">
      <c r="A886" s="2" t="s">
        <v>1646</v>
      </c>
      <c r="B886" s="2" t="s">
        <v>1093</v>
      </c>
      <c r="C886" s="2" t="s">
        <v>1439</v>
      </c>
      <c r="D886" s="2" t="s">
        <v>64</v>
      </c>
      <c r="E886" s="7" t="b">
        <v>1</v>
      </c>
      <c r="F886" s="9">
        <v>67.0</v>
      </c>
      <c r="G886" s="9">
        <v>3.826628915396054</v>
      </c>
      <c r="H886" s="9">
        <v>0.0012131343283582</v>
      </c>
      <c r="I886" s="7" t="b">
        <v>1</v>
      </c>
      <c r="J886" s="9">
        <v>0.0</v>
      </c>
      <c r="K886" s="7" t="b">
        <v>0</v>
      </c>
      <c r="L886" s="9">
        <v>692.0</v>
      </c>
      <c r="M886" s="9">
        <v>10.3284</v>
      </c>
      <c r="N886" s="2" t="s">
        <v>4631</v>
      </c>
      <c r="O886" s="2" t="s">
        <v>1533</v>
      </c>
      <c r="P886" s="9">
        <v>55.5</v>
      </c>
      <c r="Q886" s="9">
        <v>50.0</v>
      </c>
      <c r="R886" s="9">
        <v>0.015152</v>
      </c>
      <c r="S886" s="9">
        <v>0.0</v>
      </c>
      <c r="T886" s="9">
        <v>0.0882</v>
      </c>
      <c r="U886" s="2" t="s">
        <v>4447</v>
      </c>
      <c r="V886" s="9">
        <v>0.6072</v>
      </c>
      <c r="W886" s="2" t="s">
        <v>82</v>
      </c>
      <c r="X886" s="2" t="s">
        <v>495</v>
      </c>
      <c r="Y886" s="2" t="s">
        <v>1479</v>
      </c>
      <c r="Z886" s="9">
        <v>0.0</v>
      </c>
      <c r="AA886" s="9">
        <v>0.0</v>
      </c>
      <c r="AB886" s="9">
        <v>0.6072</v>
      </c>
      <c r="AC886" s="9">
        <v>0.1388</v>
      </c>
      <c r="AD886" s="9" t="str">
        <f t="shared" si="1"/>
        <v>#REF!</v>
      </c>
    </row>
    <row r="887" hidden="1">
      <c r="A887" s="2" t="s">
        <v>1361</v>
      </c>
      <c r="B887" s="2" t="s">
        <v>997</v>
      </c>
      <c r="C887" s="2" t="s">
        <v>119</v>
      </c>
      <c r="D887" s="2" t="s">
        <v>64</v>
      </c>
      <c r="E887" s="7" t="b">
        <v>1</v>
      </c>
      <c r="F887" s="9">
        <v>161.0</v>
      </c>
      <c r="G887" s="9">
        <v>17.03974950847114</v>
      </c>
      <c r="H887" s="9">
        <v>0.003154703726708</v>
      </c>
      <c r="I887" s="7" t="b">
        <v>1</v>
      </c>
      <c r="J887" s="9">
        <v>0.0</v>
      </c>
      <c r="K887" s="7" t="b">
        <v>0</v>
      </c>
      <c r="L887" s="9">
        <v>12.0</v>
      </c>
      <c r="M887" s="9">
        <v>0.0745</v>
      </c>
      <c r="N887" s="2" t="s">
        <v>1485</v>
      </c>
      <c r="O887" s="2" t="s">
        <v>1486</v>
      </c>
      <c r="P887" s="9">
        <v>66.83</v>
      </c>
      <c r="Q887" s="9">
        <v>64.5</v>
      </c>
      <c r="R887" s="9">
        <v>0.0</v>
      </c>
      <c r="S887" s="9">
        <v>0.3067</v>
      </c>
      <c r="T887" s="9">
        <v>1.0001</v>
      </c>
      <c r="U887" s="2" t="s">
        <v>4447</v>
      </c>
      <c r="V887" s="9">
        <v>0.3</v>
      </c>
      <c r="W887" s="2" t="s">
        <v>157</v>
      </c>
      <c r="X887" s="2" t="s">
        <v>1521</v>
      </c>
      <c r="Y887" s="2" t="s">
        <v>1491</v>
      </c>
      <c r="Z887" s="9">
        <v>0.2388</v>
      </c>
      <c r="AA887" s="9">
        <v>0.3067</v>
      </c>
      <c r="AB887" s="9">
        <v>0.3</v>
      </c>
      <c r="AC887" s="9">
        <v>0.5864</v>
      </c>
      <c r="AD887" s="9" t="str">
        <f t="shared" si="1"/>
        <v>#REF!</v>
      </c>
    </row>
    <row r="888" hidden="1">
      <c r="A888" s="2" t="s">
        <v>1361</v>
      </c>
      <c r="B888" s="2" t="s">
        <v>1009</v>
      </c>
      <c r="C888" s="2" t="s">
        <v>119</v>
      </c>
      <c r="D888" s="2" t="s">
        <v>64</v>
      </c>
      <c r="E888" s="7" t="b">
        <v>1</v>
      </c>
      <c r="F888" s="9">
        <v>55.0</v>
      </c>
      <c r="G888" s="9">
        <v>26.86916901089175</v>
      </c>
      <c r="H888" s="9">
        <v>0.0107862727272727</v>
      </c>
      <c r="I888" s="7" t="b">
        <v>1</v>
      </c>
      <c r="J888" s="9">
        <v>0.0</v>
      </c>
      <c r="K888" s="7" t="b">
        <v>0</v>
      </c>
      <c r="L888" s="9">
        <v>2.0</v>
      </c>
      <c r="M888" s="9">
        <v>0.0364</v>
      </c>
      <c r="N888" s="2" t="s">
        <v>1664</v>
      </c>
      <c r="O888" s="2" t="s">
        <v>1665</v>
      </c>
      <c r="P888" s="9">
        <v>72.0</v>
      </c>
      <c r="Q888" s="9">
        <v>72.0</v>
      </c>
      <c r="R888" s="9">
        <v>0.0</v>
      </c>
      <c r="S888" s="9">
        <v>0.0884</v>
      </c>
      <c r="T888" s="9">
        <v>1.0</v>
      </c>
      <c r="U888" s="2" t="s">
        <v>4632</v>
      </c>
      <c r="V888" s="15"/>
      <c r="W888" s="2" t="s">
        <v>1657</v>
      </c>
      <c r="X888" s="2" t="s">
        <v>182</v>
      </c>
      <c r="Y888" s="2" t="s">
        <v>1491</v>
      </c>
      <c r="Z888" s="9">
        <v>0.0683</v>
      </c>
      <c r="AA888" s="9">
        <v>0.0884</v>
      </c>
      <c r="AB888" s="15"/>
      <c r="AC888" s="9">
        <v>0.3</v>
      </c>
      <c r="AD888" s="9" t="str">
        <f t="shared" si="1"/>
        <v>#REF!</v>
      </c>
    </row>
    <row r="889" hidden="1">
      <c r="A889" s="2" t="s">
        <v>1666</v>
      </c>
      <c r="B889" s="2" t="s">
        <v>942</v>
      </c>
      <c r="C889" s="2" t="s">
        <v>1439</v>
      </c>
      <c r="D889" s="2" t="s">
        <v>64</v>
      </c>
      <c r="E889" s="7" t="b">
        <v>1</v>
      </c>
      <c r="F889" s="9">
        <v>288.0</v>
      </c>
      <c r="G889" s="9">
        <v>7.780134346436352</v>
      </c>
      <c r="H889" s="9">
        <v>0.0012337822916666</v>
      </c>
      <c r="I889" s="7" t="b">
        <v>1</v>
      </c>
      <c r="J889" s="9">
        <v>0.0</v>
      </c>
      <c r="K889" s="7" t="b">
        <v>0</v>
      </c>
      <c r="L889" s="9">
        <v>1094.0</v>
      </c>
      <c r="M889" s="9">
        <v>3.7986</v>
      </c>
      <c r="N889" s="2" t="s">
        <v>3292</v>
      </c>
      <c r="O889" s="2" t="s">
        <v>1807</v>
      </c>
      <c r="P889" s="9">
        <v>57.53</v>
      </c>
      <c r="Q889" s="9">
        <v>51.0</v>
      </c>
      <c r="R889" s="9">
        <v>0.015106</v>
      </c>
      <c r="S889" s="9">
        <v>0.7418</v>
      </c>
      <c r="T889" s="9">
        <v>0.8676</v>
      </c>
      <c r="U889" s="2" t="s">
        <v>3947</v>
      </c>
      <c r="V889" s="9">
        <v>0.794</v>
      </c>
      <c r="W889" s="2" t="s">
        <v>2760</v>
      </c>
      <c r="X889" s="2" t="s">
        <v>495</v>
      </c>
      <c r="Y889" s="2" t="s">
        <v>4633</v>
      </c>
      <c r="Z889" s="9">
        <v>0.626</v>
      </c>
      <c r="AA889" s="9">
        <v>0.7418</v>
      </c>
      <c r="AB889" s="9">
        <v>0.794</v>
      </c>
      <c r="AC889" s="9">
        <v>0.1608</v>
      </c>
      <c r="AD889" s="9" t="str">
        <f t="shared" si="1"/>
        <v>#REF!</v>
      </c>
    </row>
    <row r="890" hidden="1">
      <c r="A890" s="2" t="s">
        <v>2103</v>
      </c>
      <c r="B890" s="2" t="s">
        <v>503</v>
      </c>
      <c r="C890" s="2" t="s">
        <v>1439</v>
      </c>
      <c r="D890" s="2" t="s">
        <v>64</v>
      </c>
      <c r="E890" s="7" t="b">
        <v>1</v>
      </c>
      <c r="F890" s="9">
        <v>83.0</v>
      </c>
      <c r="G890" s="9">
        <v>12.05325778184666</v>
      </c>
      <c r="H890" s="9">
        <v>0.0010722891566265</v>
      </c>
      <c r="I890" s="7" t="b">
        <v>1</v>
      </c>
      <c r="J890" s="9">
        <v>0.0</v>
      </c>
      <c r="K890" s="7" t="b">
        <v>0</v>
      </c>
      <c r="L890" s="9">
        <v>143.0</v>
      </c>
      <c r="M890" s="9">
        <v>1.7229</v>
      </c>
      <c r="N890" s="2" t="s">
        <v>1394</v>
      </c>
      <c r="O890" s="2" t="s">
        <v>1552</v>
      </c>
      <c r="P890" s="9">
        <v>45.76</v>
      </c>
      <c r="Q890" s="9">
        <v>41.0</v>
      </c>
      <c r="R890" s="9">
        <v>0.0</v>
      </c>
      <c r="S890" s="9">
        <v>0.3424</v>
      </c>
      <c r="T890" s="9">
        <v>0.4162</v>
      </c>
      <c r="U890" s="2" t="s">
        <v>4263</v>
      </c>
      <c r="V890" s="9">
        <v>0.851</v>
      </c>
      <c r="W890" s="2" t="s">
        <v>134</v>
      </c>
      <c r="X890" s="2" t="s">
        <v>1466</v>
      </c>
      <c r="Y890" s="2" t="s">
        <v>2821</v>
      </c>
      <c r="Z890" s="9">
        <v>0.2733</v>
      </c>
      <c r="AA890" s="9">
        <v>0.3424</v>
      </c>
      <c r="AB890" s="9">
        <v>0.851</v>
      </c>
      <c r="AC890" s="9">
        <v>0.1981</v>
      </c>
      <c r="AD890" s="9" t="str">
        <f t="shared" si="1"/>
        <v>#REF!</v>
      </c>
    </row>
    <row r="891" hidden="1">
      <c r="A891" s="2" t="s">
        <v>2103</v>
      </c>
      <c r="B891" s="2" t="s">
        <v>534</v>
      </c>
      <c r="C891" s="2" t="s">
        <v>1439</v>
      </c>
      <c r="D891" s="2" t="s">
        <v>64</v>
      </c>
      <c r="E891" s="7" t="b">
        <v>1</v>
      </c>
      <c r="F891" s="9">
        <v>1092.0</v>
      </c>
      <c r="G891" s="9">
        <v>10.51562678733626</v>
      </c>
      <c r="H891" s="9">
        <v>0.0081417592490842</v>
      </c>
      <c r="I891" s="7" t="b">
        <v>1</v>
      </c>
      <c r="J891" s="9">
        <v>0.0</v>
      </c>
      <c r="K891" s="7" t="b">
        <v>0</v>
      </c>
      <c r="L891" s="9">
        <v>428.0</v>
      </c>
      <c r="M891" s="9">
        <v>0.3919</v>
      </c>
      <c r="N891" s="2" t="s">
        <v>322</v>
      </c>
      <c r="O891" s="2" t="s">
        <v>4531</v>
      </c>
      <c r="P891" s="9">
        <v>74.38</v>
      </c>
      <c r="Q891" s="9">
        <v>75.0</v>
      </c>
      <c r="R891" s="9">
        <v>0.0</v>
      </c>
      <c r="S891" s="9">
        <v>0.5536</v>
      </c>
      <c r="T891" s="9">
        <v>0.6621</v>
      </c>
      <c r="U891" s="2" t="s">
        <v>4517</v>
      </c>
      <c r="V891" s="9">
        <v>0.0</v>
      </c>
      <c r="W891" s="2" t="s">
        <v>134</v>
      </c>
      <c r="X891" s="2" t="s">
        <v>1521</v>
      </c>
      <c r="Y891" s="2" t="s">
        <v>4634</v>
      </c>
      <c r="Z891" s="9">
        <v>0.4984</v>
      </c>
      <c r="AA891" s="9">
        <v>0.5536</v>
      </c>
      <c r="AB891" s="9">
        <v>0.0</v>
      </c>
      <c r="AC891" s="9">
        <v>0.7468</v>
      </c>
      <c r="AD891" s="9" t="str">
        <f t="shared" si="1"/>
        <v>#REF!</v>
      </c>
    </row>
    <row r="892" hidden="1">
      <c r="A892" s="2" t="s">
        <v>2103</v>
      </c>
      <c r="B892" s="2" t="s">
        <v>1093</v>
      </c>
      <c r="C892" s="2" t="s">
        <v>1439</v>
      </c>
      <c r="D892" s="2" t="s">
        <v>64</v>
      </c>
      <c r="E892" s="7" t="b">
        <v>1</v>
      </c>
      <c r="F892" s="9">
        <v>91.0</v>
      </c>
      <c r="G892" s="9">
        <v>5.886517427040417</v>
      </c>
      <c r="H892" s="9">
        <v>0.0038870505494505</v>
      </c>
      <c r="I892" s="7" t="b">
        <v>1</v>
      </c>
      <c r="J892" s="9">
        <v>0.0</v>
      </c>
      <c r="K892" s="7" t="b">
        <v>0</v>
      </c>
      <c r="L892" s="9">
        <v>1148.0</v>
      </c>
      <c r="M892" s="9">
        <v>12.6154</v>
      </c>
      <c r="N892" s="2" t="s">
        <v>4635</v>
      </c>
      <c r="O892" s="2" t="s">
        <v>1725</v>
      </c>
      <c r="P892" s="9">
        <v>55.92</v>
      </c>
      <c r="Q892" s="9">
        <v>51.0</v>
      </c>
      <c r="R892" s="9">
        <v>0.0</v>
      </c>
      <c r="S892" s="9">
        <v>0.2672</v>
      </c>
      <c r="T892" s="9">
        <v>0.0796</v>
      </c>
      <c r="U892" s="2" t="s">
        <v>4466</v>
      </c>
      <c r="V892" s="9">
        <v>0.2382</v>
      </c>
      <c r="W892" s="2" t="s">
        <v>134</v>
      </c>
      <c r="X892" s="2" t="s">
        <v>1521</v>
      </c>
      <c r="Y892" s="2" t="s">
        <v>1536</v>
      </c>
      <c r="Z892" s="9">
        <v>0.1717</v>
      </c>
      <c r="AA892" s="9">
        <v>0.2672</v>
      </c>
      <c r="AB892" s="9">
        <v>0.2382</v>
      </c>
      <c r="AC892" s="9">
        <v>0.1247</v>
      </c>
      <c r="AD892" s="9" t="str">
        <f t="shared" si="1"/>
        <v>#REF!</v>
      </c>
    </row>
    <row r="893" hidden="1">
      <c r="A893" s="2" t="s">
        <v>1659</v>
      </c>
      <c r="B893" s="2" t="s">
        <v>942</v>
      </c>
      <c r="C893" s="2" t="s">
        <v>1439</v>
      </c>
      <c r="D893" s="2" t="s">
        <v>64</v>
      </c>
      <c r="E893" s="7" t="b">
        <v>1</v>
      </c>
      <c r="F893" s="9">
        <v>1939.0</v>
      </c>
      <c r="G893" s="9">
        <v>2.976855037434015</v>
      </c>
      <c r="H893" s="9">
        <v>0.0012134050541516</v>
      </c>
      <c r="I893" s="7" t="b">
        <v>1</v>
      </c>
      <c r="J893" s="9">
        <v>0.0</v>
      </c>
      <c r="K893" s="7" t="b">
        <v>0</v>
      </c>
      <c r="L893" s="9">
        <v>7678.0</v>
      </c>
      <c r="M893" s="9">
        <v>3.9598</v>
      </c>
      <c r="N893" s="2" t="s">
        <v>4636</v>
      </c>
      <c r="O893" s="2" t="s">
        <v>4481</v>
      </c>
      <c r="P893" s="9">
        <v>59.43</v>
      </c>
      <c r="Q893" s="9">
        <v>51.0</v>
      </c>
      <c r="R893" s="9">
        <v>0.011272</v>
      </c>
      <c r="S893" s="9">
        <v>0.8102</v>
      </c>
      <c r="T893" s="9">
        <v>0.5003</v>
      </c>
      <c r="U893" s="2" t="s">
        <v>2759</v>
      </c>
      <c r="V893" s="9">
        <v>0.7813</v>
      </c>
      <c r="W893" s="2" t="s">
        <v>1884</v>
      </c>
      <c r="X893" s="2" t="s">
        <v>495</v>
      </c>
      <c r="Y893" s="2" t="s">
        <v>2889</v>
      </c>
      <c r="Z893" s="9">
        <v>0.7338</v>
      </c>
      <c r="AA893" s="9">
        <v>0.8102</v>
      </c>
      <c r="AB893" s="9">
        <v>0.7813</v>
      </c>
      <c r="AC893" s="9">
        <v>0.1552</v>
      </c>
      <c r="AD893" s="9" t="str">
        <f t="shared" si="1"/>
        <v>#REF!</v>
      </c>
    </row>
    <row r="894" hidden="1">
      <c r="A894" s="2" t="s">
        <v>4637</v>
      </c>
      <c r="B894" s="2" t="s">
        <v>997</v>
      </c>
      <c r="C894" s="2" t="s">
        <v>119</v>
      </c>
      <c r="D894" s="2" t="s">
        <v>64</v>
      </c>
      <c r="E894" s="7" t="b">
        <v>1</v>
      </c>
      <c r="F894" s="9">
        <v>172.0</v>
      </c>
      <c r="G894" s="9">
        <v>36.64329175594653</v>
      </c>
      <c r="H894" s="9">
        <v>0.0155531220930232</v>
      </c>
      <c r="I894" s="7" t="b">
        <v>1</v>
      </c>
      <c r="J894" s="9">
        <v>0.0</v>
      </c>
      <c r="K894" s="7" t="b">
        <v>0</v>
      </c>
      <c r="L894" s="9">
        <v>91.0</v>
      </c>
      <c r="M894" s="9">
        <v>0.5291</v>
      </c>
      <c r="N894" s="2" t="s">
        <v>1794</v>
      </c>
      <c r="O894" s="2" t="s">
        <v>1795</v>
      </c>
      <c r="P894" s="9">
        <v>81.11</v>
      </c>
      <c r="Q894" s="9">
        <v>78.0</v>
      </c>
      <c r="R894" s="9">
        <v>0.25</v>
      </c>
      <c r="S894" s="9">
        <v>0.5568</v>
      </c>
      <c r="T894" s="9">
        <v>1.0011</v>
      </c>
      <c r="U894" s="2" t="s">
        <v>3790</v>
      </c>
      <c r="V894" s="9">
        <v>0.0977</v>
      </c>
      <c r="W894" s="2" t="s">
        <v>157</v>
      </c>
      <c r="X894" s="2" t="s">
        <v>517</v>
      </c>
      <c r="Y894" s="2" t="s">
        <v>1399</v>
      </c>
      <c r="Z894" s="9">
        <v>0.4335</v>
      </c>
      <c r="AA894" s="9">
        <v>0.5568</v>
      </c>
      <c r="AB894" s="9">
        <v>0.0977</v>
      </c>
      <c r="AC894" s="9">
        <v>0.3608</v>
      </c>
      <c r="AD894" s="9" t="str">
        <f t="shared" si="1"/>
        <v>#REF!</v>
      </c>
    </row>
    <row r="895" hidden="1">
      <c r="A895" s="2" t="s">
        <v>1641</v>
      </c>
      <c r="B895" s="2" t="s">
        <v>937</v>
      </c>
      <c r="C895" s="2" t="s">
        <v>1439</v>
      </c>
      <c r="D895" s="2" t="s">
        <v>64</v>
      </c>
      <c r="E895" s="7" t="b">
        <v>1</v>
      </c>
      <c r="F895" s="9">
        <v>54.0</v>
      </c>
      <c r="G895" s="9">
        <v>2.1162578251254</v>
      </c>
      <c r="H895" s="9">
        <v>0.0010884888888888</v>
      </c>
      <c r="I895" s="7" t="b">
        <v>1</v>
      </c>
      <c r="J895" s="9">
        <v>0.0</v>
      </c>
      <c r="K895" s="7" t="b">
        <v>0</v>
      </c>
      <c r="L895" s="9">
        <v>26921.0</v>
      </c>
      <c r="M895" s="9">
        <v>498.537</v>
      </c>
      <c r="N895" s="2" t="s">
        <v>4638</v>
      </c>
      <c r="O895" s="2" t="s">
        <v>4639</v>
      </c>
      <c r="P895" s="9">
        <v>64.7</v>
      </c>
      <c r="Q895" s="9">
        <v>59.0</v>
      </c>
      <c r="R895" s="9">
        <v>0.010555</v>
      </c>
      <c r="S895" s="9">
        <v>0.8234</v>
      </c>
      <c r="T895" s="9">
        <v>0.2528</v>
      </c>
      <c r="U895" s="2" t="s">
        <v>2106</v>
      </c>
      <c r="V895" s="9">
        <v>0.725</v>
      </c>
      <c r="W895" s="2" t="s">
        <v>2879</v>
      </c>
      <c r="X895" s="2" t="s">
        <v>495</v>
      </c>
      <c r="Y895" s="2" t="s">
        <v>2880</v>
      </c>
      <c r="Z895" s="9">
        <v>0.7645</v>
      </c>
      <c r="AA895" s="9">
        <v>0.8234</v>
      </c>
      <c r="AB895" s="9">
        <v>0.725</v>
      </c>
      <c r="AC895" s="9">
        <v>0.1496</v>
      </c>
      <c r="AD895" s="9" t="str">
        <f t="shared" si="1"/>
        <v>#REF!</v>
      </c>
    </row>
    <row r="896" hidden="1">
      <c r="A896" s="2" t="s">
        <v>1369</v>
      </c>
      <c r="B896" s="2" t="s">
        <v>997</v>
      </c>
      <c r="C896" s="2" t="s">
        <v>119</v>
      </c>
      <c r="D896" s="2" t="s">
        <v>64</v>
      </c>
      <c r="E896" s="7" t="b">
        <v>1</v>
      </c>
      <c r="F896" s="9">
        <v>72.0</v>
      </c>
      <c r="G896" s="9">
        <v>29.13059838722105</v>
      </c>
      <c r="H896" s="9">
        <v>0.0041250444444444</v>
      </c>
      <c r="I896" s="7" t="b">
        <v>1</v>
      </c>
      <c r="J896" s="9">
        <v>0.0</v>
      </c>
      <c r="K896" s="7" t="b">
        <v>0</v>
      </c>
      <c r="L896" s="9">
        <v>3.0</v>
      </c>
      <c r="M896" s="9">
        <v>0.0417</v>
      </c>
      <c r="N896" s="2" t="s">
        <v>1664</v>
      </c>
      <c r="O896" s="2" t="s">
        <v>1665</v>
      </c>
      <c r="P896" s="9">
        <v>58.67</v>
      </c>
      <c r="Q896" s="9">
        <v>46.0</v>
      </c>
      <c r="R896" s="9">
        <v>0.0</v>
      </c>
      <c r="S896" s="9">
        <v>0.1356</v>
      </c>
      <c r="T896" s="9">
        <v>1.0</v>
      </c>
      <c r="U896" s="2" t="s">
        <v>3270</v>
      </c>
      <c r="V896" s="15"/>
      <c r="W896" s="2" t="s">
        <v>157</v>
      </c>
      <c r="X896" s="2" t="s">
        <v>182</v>
      </c>
      <c r="Y896" s="2" t="s">
        <v>1491</v>
      </c>
      <c r="Z896" s="9">
        <v>0.1056</v>
      </c>
      <c r="AA896" s="9">
        <v>0.1356</v>
      </c>
      <c r="AB896" s="15"/>
      <c r="AC896" s="9">
        <v>0.0432</v>
      </c>
      <c r="AD896" s="9" t="str">
        <f t="shared" si="1"/>
        <v>#REF!</v>
      </c>
    </row>
    <row r="897" hidden="1">
      <c r="A897" s="2" t="s">
        <v>4640</v>
      </c>
      <c r="B897" s="2" t="s">
        <v>997</v>
      </c>
      <c r="C897" s="2" t="s">
        <v>119</v>
      </c>
      <c r="D897" s="2" t="s">
        <v>64</v>
      </c>
      <c r="E897" s="7" t="b">
        <v>1</v>
      </c>
      <c r="F897" s="9">
        <v>422.0</v>
      </c>
      <c r="G897" s="9">
        <v>50.77993726551031</v>
      </c>
      <c r="H897" s="9">
        <v>0.0725774312796208</v>
      </c>
      <c r="I897" s="7" t="b">
        <v>1</v>
      </c>
      <c r="J897" s="9">
        <v>0.0</v>
      </c>
      <c r="K897" s="7" t="b">
        <v>0</v>
      </c>
      <c r="L897" s="9">
        <v>160.0</v>
      </c>
      <c r="M897" s="9">
        <v>0.3791</v>
      </c>
      <c r="N897" s="2" t="s">
        <v>4408</v>
      </c>
      <c r="O897" s="2" t="s">
        <v>78</v>
      </c>
      <c r="P897" s="9">
        <v>135.57</v>
      </c>
      <c r="Q897" s="9">
        <v>130.0</v>
      </c>
      <c r="R897" s="9">
        <v>0.258065</v>
      </c>
      <c r="S897" s="9">
        <v>0.6151</v>
      </c>
      <c r="T897" s="9">
        <v>0.9928</v>
      </c>
      <c r="U897" s="2" t="s">
        <v>1139</v>
      </c>
      <c r="V897" s="9">
        <v>0.2798</v>
      </c>
      <c r="W897" s="2" t="s">
        <v>157</v>
      </c>
      <c r="X897" s="2" t="s">
        <v>1466</v>
      </c>
      <c r="Y897" s="2" t="s">
        <v>3229</v>
      </c>
      <c r="Z897" s="9">
        <v>0.4849</v>
      </c>
      <c r="AA897" s="9">
        <v>0.6151</v>
      </c>
      <c r="AB897" s="9">
        <v>0.2798</v>
      </c>
      <c r="AC897" s="9">
        <v>0.1321</v>
      </c>
      <c r="AD897" s="9" t="str">
        <f t="shared" si="1"/>
        <v>#REF!</v>
      </c>
    </row>
    <row r="898" hidden="1">
      <c r="A898" s="2" t="s">
        <v>4640</v>
      </c>
      <c r="B898" s="2" t="s">
        <v>1004</v>
      </c>
      <c r="C898" s="2" t="s">
        <v>119</v>
      </c>
      <c r="D898" s="2" t="s">
        <v>64</v>
      </c>
      <c r="E898" s="7" t="b">
        <v>1</v>
      </c>
      <c r="F898" s="9">
        <v>94.0</v>
      </c>
      <c r="G898" s="9">
        <v>12.52739829920172</v>
      </c>
      <c r="H898" s="9">
        <v>0.0012959521276595</v>
      </c>
      <c r="I898" s="7" t="b">
        <v>1</v>
      </c>
      <c r="J898" s="9">
        <v>0.0</v>
      </c>
      <c r="K898" s="7" t="b">
        <v>0</v>
      </c>
      <c r="L898" s="9">
        <v>5.0</v>
      </c>
      <c r="M898" s="9">
        <v>0.0532</v>
      </c>
      <c r="N898" s="2" t="s">
        <v>175</v>
      </c>
      <c r="O898" s="2" t="s">
        <v>177</v>
      </c>
      <c r="P898" s="9">
        <v>40.4</v>
      </c>
      <c r="Q898" s="9">
        <v>40.0</v>
      </c>
      <c r="R898" s="9">
        <v>0.0</v>
      </c>
      <c r="S898" s="9">
        <v>0.0</v>
      </c>
      <c r="T898" s="9">
        <v>0.2376</v>
      </c>
      <c r="U898" s="2" t="s">
        <v>1636</v>
      </c>
      <c r="V898" s="15"/>
      <c r="W898" s="2" t="s">
        <v>82</v>
      </c>
      <c r="X898" s="2" t="s">
        <v>182</v>
      </c>
      <c r="Y898" s="2" t="s">
        <v>1498</v>
      </c>
      <c r="Z898" s="9">
        <v>0.0471</v>
      </c>
      <c r="AA898" s="9">
        <v>0.0</v>
      </c>
      <c r="AB898" s="15"/>
      <c r="AC898" s="9">
        <v>0.718</v>
      </c>
      <c r="AD898" s="9" t="str">
        <f t="shared" si="1"/>
        <v>#REF!</v>
      </c>
    </row>
    <row r="899" hidden="1">
      <c r="A899" s="2" t="s">
        <v>4640</v>
      </c>
      <c r="B899" s="2" t="s">
        <v>1024</v>
      </c>
      <c r="C899" s="2" t="s">
        <v>119</v>
      </c>
      <c r="D899" s="2" t="s">
        <v>64</v>
      </c>
      <c r="E899" s="7" t="b">
        <v>1</v>
      </c>
      <c r="F899" s="9">
        <v>2113.0</v>
      </c>
      <c r="G899" s="9">
        <v>28.72885247857898</v>
      </c>
      <c r="H899" s="9">
        <v>0.0572558258400378</v>
      </c>
      <c r="I899" s="7" t="b">
        <v>1</v>
      </c>
      <c r="J899" s="9">
        <v>0.0</v>
      </c>
      <c r="K899" s="7" t="b">
        <v>0</v>
      </c>
      <c r="L899" s="9">
        <v>182.0</v>
      </c>
      <c r="M899" s="9">
        <v>0.0861</v>
      </c>
      <c r="N899" s="2" t="s">
        <v>4368</v>
      </c>
      <c r="O899" s="2" t="s">
        <v>4548</v>
      </c>
      <c r="P899" s="9">
        <v>133.86</v>
      </c>
      <c r="Q899" s="9">
        <v>123.5</v>
      </c>
      <c r="R899" s="9">
        <v>0.107143</v>
      </c>
      <c r="S899" s="9">
        <v>0.6054</v>
      </c>
      <c r="T899" s="9">
        <v>0.9758</v>
      </c>
      <c r="U899" s="2" t="s">
        <v>3058</v>
      </c>
      <c r="V899" s="9">
        <v>0.2658</v>
      </c>
      <c r="W899" s="2" t="s">
        <v>82</v>
      </c>
      <c r="X899" s="2" t="s">
        <v>517</v>
      </c>
      <c r="Y899" s="2" t="s">
        <v>1437</v>
      </c>
      <c r="Z899" s="9">
        <v>0.4893</v>
      </c>
      <c r="AA899" s="9">
        <v>0.6054</v>
      </c>
      <c r="AB899" s="9">
        <v>0.2658</v>
      </c>
      <c r="AC899" s="9">
        <v>0.072</v>
      </c>
      <c r="AD899" s="9" t="str">
        <f t="shared" si="1"/>
        <v>#REF!</v>
      </c>
    </row>
    <row r="900" hidden="1">
      <c r="A900" s="2" t="s">
        <v>4641</v>
      </c>
      <c r="B900" s="2" t="s">
        <v>997</v>
      </c>
      <c r="C900" s="2" t="s">
        <v>119</v>
      </c>
      <c r="D900" s="2" t="s">
        <v>64</v>
      </c>
      <c r="E900" s="7" t="b">
        <v>1</v>
      </c>
      <c r="F900" s="9">
        <v>59.0</v>
      </c>
      <c r="G900" s="9">
        <v>47.31330842277794</v>
      </c>
      <c r="H900" s="9">
        <v>0.0089153457627118</v>
      </c>
      <c r="I900" s="7" t="b">
        <v>1</v>
      </c>
      <c r="J900" s="9">
        <v>0.0</v>
      </c>
      <c r="K900" s="7" t="b">
        <v>0</v>
      </c>
      <c r="L900" s="9">
        <v>21.0</v>
      </c>
      <c r="M900" s="9">
        <v>0.3559</v>
      </c>
      <c r="N900" s="2" t="s">
        <v>2329</v>
      </c>
      <c r="O900" s="2" t="s">
        <v>2330</v>
      </c>
      <c r="P900" s="9">
        <v>127.0</v>
      </c>
      <c r="Q900" s="9">
        <v>120.0</v>
      </c>
      <c r="R900" s="9">
        <v>0.0</v>
      </c>
      <c r="S900" s="9">
        <v>0.3758</v>
      </c>
      <c r="T900" s="9">
        <v>1.0004</v>
      </c>
      <c r="U900" s="2" t="s">
        <v>740</v>
      </c>
      <c r="V900" s="15"/>
      <c r="W900" s="2" t="s">
        <v>157</v>
      </c>
      <c r="X900" s="2" t="s">
        <v>182</v>
      </c>
      <c r="Y900" s="2" t="s">
        <v>1491</v>
      </c>
      <c r="Z900" s="9">
        <v>0.2926</v>
      </c>
      <c r="AA900" s="9">
        <v>0.3758</v>
      </c>
      <c r="AB900" s="15"/>
      <c r="AC900" s="9">
        <v>0.1645</v>
      </c>
      <c r="AD900" s="9" t="str">
        <f t="shared" si="1"/>
        <v>#REF!</v>
      </c>
    </row>
    <row r="901" hidden="1">
      <c r="A901" s="2" t="s">
        <v>4641</v>
      </c>
      <c r="B901" s="2" t="s">
        <v>1024</v>
      </c>
      <c r="C901" s="2" t="s">
        <v>119</v>
      </c>
      <c r="D901" s="2" t="s">
        <v>64</v>
      </c>
      <c r="E901" s="7" t="b">
        <v>1</v>
      </c>
      <c r="F901" s="9">
        <v>305.0</v>
      </c>
      <c r="G901" s="9">
        <v>31.88824979446688</v>
      </c>
      <c r="H901" s="9">
        <v>0.0103477868852459</v>
      </c>
      <c r="I901" s="7" t="b">
        <v>1</v>
      </c>
      <c r="J901" s="9">
        <v>0.0</v>
      </c>
      <c r="K901" s="7" t="b">
        <v>0</v>
      </c>
      <c r="L901" s="9">
        <v>31.0</v>
      </c>
      <c r="M901" s="9">
        <v>0.1016</v>
      </c>
      <c r="N901" s="2" t="s">
        <v>1984</v>
      </c>
      <c r="O901" s="2" t="s">
        <v>1985</v>
      </c>
      <c r="P901" s="9">
        <v>132.35</v>
      </c>
      <c r="Q901" s="9">
        <v>142.0</v>
      </c>
      <c r="R901" s="9">
        <v>0.0</v>
      </c>
      <c r="S901" s="9">
        <v>0.4046</v>
      </c>
      <c r="T901" s="9">
        <v>1.0005</v>
      </c>
      <c r="U901" s="2" t="s">
        <v>4541</v>
      </c>
      <c r="V901" s="9">
        <v>0.55</v>
      </c>
      <c r="W901" s="2" t="s">
        <v>82</v>
      </c>
      <c r="X901" s="2" t="s">
        <v>517</v>
      </c>
      <c r="Y901" s="2" t="s">
        <v>1835</v>
      </c>
      <c r="Z901" s="9">
        <v>0.3249</v>
      </c>
      <c r="AA901" s="9">
        <v>0.4046</v>
      </c>
      <c r="AB901" s="9">
        <v>0.55</v>
      </c>
      <c r="AC901" s="9">
        <v>0.1563</v>
      </c>
      <c r="AD901" s="9" t="str">
        <f t="shared" si="1"/>
        <v>#REF!</v>
      </c>
    </row>
    <row r="902" hidden="1">
      <c r="A902" s="2" t="s">
        <v>1869</v>
      </c>
      <c r="B902" s="2" t="s">
        <v>997</v>
      </c>
      <c r="C902" s="2" t="s">
        <v>1439</v>
      </c>
      <c r="D902" s="2" t="s">
        <v>64</v>
      </c>
      <c r="E902" s="7" t="b">
        <v>1</v>
      </c>
      <c r="F902" s="9">
        <v>98.0</v>
      </c>
      <c r="G902" s="9">
        <v>48.34849735219828</v>
      </c>
      <c r="H902" s="9">
        <v>0.0154433357142857</v>
      </c>
      <c r="I902" s="7" t="b">
        <v>1</v>
      </c>
      <c r="J902" s="9">
        <v>0.0</v>
      </c>
      <c r="K902" s="7" t="b">
        <v>0</v>
      </c>
      <c r="L902" s="9">
        <v>54.0</v>
      </c>
      <c r="M902" s="9">
        <v>0.551</v>
      </c>
      <c r="N902" s="2" t="s">
        <v>1551</v>
      </c>
      <c r="O902" s="2" t="s">
        <v>1890</v>
      </c>
      <c r="P902" s="9">
        <v>97.78</v>
      </c>
      <c r="Q902" s="9">
        <v>77.5</v>
      </c>
      <c r="R902" s="9">
        <v>0.0</v>
      </c>
      <c r="S902" s="9">
        <v>0.4868</v>
      </c>
      <c r="T902" s="9">
        <v>1.0008</v>
      </c>
      <c r="U902" s="2" t="s">
        <v>704</v>
      </c>
      <c r="V902" s="15"/>
      <c r="W902" s="2" t="s">
        <v>82</v>
      </c>
      <c r="X902" s="2" t="s">
        <v>1621</v>
      </c>
      <c r="Y902" s="2" t="s">
        <v>2057</v>
      </c>
      <c r="Z902" s="9">
        <v>0.3816</v>
      </c>
      <c r="AA902" s="9">
        <v>0.4868</v>
      </c>
      <c r="AB902" s="15"/>
      <c r="AC902" s="9">
        <v>0.3238</v>
      </c>
      <c r="AD902" s="9" t="str">
        <f t="shared" si="1"/>
        <v>#REF!</v>
      </c>
    </row>
    <row r="903" hidden="1">
      <c r="A903" s="2" t="s">
        <v>4642</v>
      </c>
      <c r="B903" s="2" t="s">
        <v>997</v>
      </c>
      <c r="C903" s="2" t="s">
        <v>119</v>
      </c>
      <c r="D903" s="2" t="s">
        <v>64</v>
      </c>
      <c r="E903" s="7" t="b">
        <v>1</v>
      </c>
      <c r="F903" s="9">
        <v>564.0</v>
      </c>
      <c r="G903" s="9">
        <v>30.81325811861119</v>
      </c>
      <c r="H903" s="9">
        <v>0.0358223882978723</v>
      </c>
      <c r="I903" s="7" t="b">
        <v>1</v>
      </c>
      <c r="J903" s="9">
        <v>0.0</v>
      </c>
      <c r="K903" s="7" t="b">
        <v>0</v>
      </c>
      <c r="L903" s="9">
        <v>106.0</v>
      </c>
      <c r="M903" s="9">
        <v>0.1879</v>
      </c>
      <c r="N903" s="2" t="s">
        <v>414</v>
      </c>
      <c r="O903" s="2" t="s">
        <v>1587</v>
      </c>
      <c r="P903" s="9">
        <v>151.59</v>
      </c>
      <c r="Q903" s="9">
        <v>151.0</v>
      </c>
      <c r="R903" s="9">
        <v>0.0</v>
      </c>
      <c r="S903" s="9">
        <v>0.5575</v>
      </c>
      <c r="T903" s="9">
        <v>0.9517</v>
      </c>
      <c r="U903" s="2" t="s">
        <v>825</v>
      </c>
      <c r="V903" s="9">
        <v>0.3</v>
      </c>
      <c r="W903" s="2" t="s">
        <v>157</v>
      </c>
      <c r="X903" s="2" t="s">
        <v>1466</v>
      </c>
      <c r="Y903" s="2" t="s">
        <v>2849</v>
      </c>
      <c r="Z903" s="9">
        <v>0.4422</v>
      </c>
      <c r="AA903" s="9">
        <v>0.5575</v>
      </c>
      <c r="AB903" s="9">
        <v>0.3</v>
      </c>
      <c r="AC903" s="9">
        <v>0.6101</v>
      </c>
      <c r="AD903" s="9" t="str">
        <f t="shared" si="1"/>
        <v>#REF!</v>
      </c>
    </row>
    <row r="904" hidden="1">
      <c r="A904" s="2" t="s">
        <v>4642</v>
      </c>
      <c r="B904" s="2" t="s">
        <v>1024</v>
      </c>
      <c r="C904" s="2" t="s">
        <v>119</v>
      </c>
      <c r="D904" s="2" t="s">
        <v>64</v>
      </c>
      <c r="E904" s="7" t="b">
        <v>1</v>
      </c>
      <c r="F904" s="9">
        <v>7586.0</v>
      </c>
      <c r="G904" s="9">
        <v>8.168053295961652</v>
      </c>
      <c r="H904" s="9">
        <v>0.0166072165831795</v>
      </c>
      <c r="I904" s="7" t="b">
        <v>1</v>
      </c>
      <c r="J904" s="9">
        <v>0.0</v>
      </c>
      <c r="K904" s="7" t="b">
        <v>0</v>
      </c>
      <c r="L904" s="9">
        <v>166.0</v>
      </c>
      <c r="M904" s="9">
        <v>0.0219</v>
      </c>
      <c r="N904" s="2" t="s">
        <v>4304</v>
      </c>
      <c r="O904" s="2" t="s">
        <v>78</v>
      </c>
      <c r="P904" s="9">
        <v>160.47</v>
      </c>
      <c r="Q904" s="9">
        <v>151.0</v>
      </c>
      <c r="R904" s="9">
        <v>0.12</v>
      </c>
      <c r="S904" s="9">
        <v>0.5965</v>
      </c>
      <c r="T904" s="9">
        <v>0.9352</v>
      </c>
      <c r="U904" s="2" t="s">
        <v>2735</v>
      </c>
      <c r="V904" s="9">
        <v>0.1385</v>
      </c>
      <c r="W904" s="2" t="s">
        <v>82</v>
      </c>
      <c r="X904" s="2" t="s">
        <v>517</v>
      </c>
      <c r="Y904" s="2" t="s">
        <v>1437</v>
      </c>
      <c r="Z904" s="9">
        <v>0.4763</v>
      </c>
      <c r="AA904" s="9">
        <v>0.5965</v>
      </c>
      <c r="AB904" s="9">
        <v>0.1385</v>
      </c>
      <c r="AC904" s="9">
        <v>0.0814</v>
      </c>
      <c r="AD904" s="9" t="str">
        <f t="shared" si="1"/>
        <v>#REF!</v>
      </c>
    </row>
    <row r="905" hidden="1">
      <c r="A905" s="2" t="s">
        <v>1910</v>
      </c>
      <c r="B905" s="2" t="s">
        <v>441</v>
      </c>
      <c r="C905" s="2" t="s">
        <v>2773</v>
      </c>
      <c r="D905" s="2" t="s">
        <v>64</v>
      </c>
      <c r="E905" s="7" t="b">
        <v>1</v>
      </c>
      <c r="F905" s="9">
        <v>161.0</v>
      </c>
      <c r="G905" s="9">
        <v>25.75363223982736</v>
      </c>
      <c r="H905" s="9">
        <v>0.0371387329192546</v>
      </c>
      <c r="I905" s="7" t="b">
        <v>1</v>
      </c>
      <c r="J905" s="9">
        <v>0.0</v>
      </c>
      <c r="K905" s="7" t="b">
        <v>0</v>
      </c>
      <c r="L905" s="9">
        <v>108.0</v>
      </c>
      <c r="M905" s="9">
        <v>0.6708</v>
      </c>
      <c r="N905" s="2" t="s">
        <v>1475</v>
      </c>
      <c r="O905" s="2" t="s">
        <v>511</v>
      </c>
      <c r="P905" s="9">
        <v>73.93</v>
      </c>
      <c r="Q905" s="9">
        <v>61.0</v>
      </c>
      <c r="R905" s="9">
        <v>0.0</v>
      </c>
      <c r="S905" s="9">
        <v>0.5747</v>
      </c>
      <c r="T905" s="9">
        <v>1.0012</v>
      </c>
      <c r="U905" s="2" t="s">
        <v>1733</v>
      </c>
      <c r="V905" s="15"/>
      <c r="W905" s="2" t="s">
        <v>2753</v>
      </c>
      <c r="X905" s="2" t="s">
        <v>1455</v>
      </c>
      <c r="Y905" s="2" t="s">
        <v>1456</v>
      </c>
      <c r="Z905" s="9">
        <v>0.4478</v>
      </c>
      <c r="AA905" s="9">
        <v>0.5747</v>
      </c>
      <c r="AB905" s="15"/>
      <c r="AC905" s="9">
        <v>0.8722</v>
      </c>
      <c r="AD905" s="9" t="str">
        <f t="shared" si="1"/>
        <v>#REF!</v>
      </c>
    </row>
    <row r="906" hidden="1">
      <c r="A906" s="2" t="s">
        <v>1910</v>
      </c>
      <c r="B906" s="2" t="s">
        <v>227</v>
      </c>
      <c r="C906" s="2" t="s">
        <v>2773</v>
      </c>
      <c r="D906" s="2" t="s">
        <v>64</v>
      </c>
      <c r="E906" s="7" t="b">
        <v>1</v>
      </c>
      <c r="F906" s="9">
        <v>127.0</v>
      </c>
      <c r="G906" s="9">
        <v>34.69023360446393</v>
      </c>
      <c r="H906" s="9">
        <v>0.0559065196850393</v>
      </c>
      <c r="I906" s="7" t="b">
        <v>1</v>
      </c>
      <c r="J906" s="9">
        <v>0.0</v>
      </c>
      <c r="K906" s="7" t="b">
        <v>0</v>
      </c>
      <c r="L906" s="9">
        <v>351.0</v>
      </c>
      <c r="M906" s="9">
        <v>2.7638</v>
      </c>
      <c r="N906" s="2" t="s">
        <v>1775</v>
      </c>
      <c r="O906" s="2" t="s">
        <v>1579</v>
      </c>
      <c r="P906" s="9">
        <v>50.74</v>
      </c>
      <c r="Q906" s="9">
        <v>41.0</v>
      </c>
      <c r="R906" s="9">
        <v>0.021978</v>
      </c>
      <c r="S906" s="9">
        <v>0.3908</v>
      </c>
      <c r="T906" s="9">
        <v>0.4975</v>
      </c>
      <c r="U906" s="2" t="s">
        <v>1067</v>
      </c>
      <c r="V906" s="9">
        <v>0.8929</v>
      </c>
      <c r="W906" s="2" t="s">
        <v>157</v>
      </c>
      <c r="X906" s="2" t="s">
        <v>517</v>
      </c>
      <c r="Y906" s="2" t="s">
        <v>1593</v>
      </c>
      <c r="Z906" s="9">
        <v>0.3861</v>
      </c>
      <c r="AA906" s="9">
        <v>0.3908</v>
      </c>
      <c r="AB906" s="9">
        <v>0.8929</v>
      </c>
      <c r="AC906" s="9">
        <v>0.2222</v>
      </c>
      <c r="AD906" s="9" t="str">
        <f t="shared" si="1"/>
        <v>#REF!</v>
      </c>
    </row>
    <row r="907" hidden="1">
      <c r="A907" s="2" t="s">
        <v>1910</v>
      </c>
      <c r="B907" s="2" t="s">
        <v>526</v>
      </c>
      <c r="C907" s="2" t="s">
        <v>2773</v>
      </c>
      <c r="D907" s="2" t="s">
        <v>64</v>
      </c>
      <c r="E907" s="7" t="b">
        <v>1</v>
      </c>
      <c r="F907" s="9">
        <v>2188.0</v>
      </c>
      <c r="G907" s="9">
        <v>12.97506932790272</v>
      </c>
      <c r="H907" s="9">
        <v>0.0057475717550274</v>
      </c>
      <c r="I907" s="7" t="b">
        <v>1</v>
      </c>
      <c r="J907" s="9">
        <v>0.0</v>
      </c>
      <c r="K907" s="7" t="b">
        <v>0</v>
      </c>
      <c r="L907" s="9">
        <v>5335.0</v>
      </c>
      <c r="M907" s="9">
        <v>2.4383</v>
      </c>
      <c r="N907" s="2" t="s">
        <v>4643</v>
      </c>
      <c r="O907" s="2" t="s">
        <v>4644</v>
      </c>
      <c r="P907" s="9">
        <v>60.19</v>
      </c>
      <c r="Q907" s="9">
        <v>48.0</v>
      </c>
      <c r="R907" s="9">
        <v>0.04182</v>
      </c>
      <c r="S907" s="9">
        <v>0.9113</v>
      </c>
      <c r="T907" s="9">
        <v>0.9818</v>
      </c>
      <c r="U907" s="2" t="s">
        <v>4367</v>
      </c>
      <c r="V907" s="9">
        <v>0.8685</v>
      </c>
      <c r="W907" s="2" t="s">
        <v>82</v>
      </c>
      <c r="X907" s="2" t="s">
        <v>99</v>
      </c>
      <c r="Y907" s="2" t="s">
        <v>4317</v>
      </c>
      <c r="Z907" s="9">
        <v>0.7761</v>
      </c>
      <c r="AA907" s="9">
        <v>0.9113</v>
      </c>
      <c r="AB907" s="9">
        <v>0.8685</v>
      </c>
      <c r="AC907" s="9">
        <v>0.7476</v>
      </c>
      <c r="AD907" s="9" t="str">
        <f t="shared" si="1"/>
        <v>#REF!</v>
      </c>
    </row>
    <row r="908" hidden="1">
      <c r="A908" s="2" t="s">
        <v>1910</v>
      </c>
      <c r="B908" s="2" t="s">
        <v>534</v>
      </c>
      <c r="C908" s="2" t="s">
        <v>2773</v>
      </c>
      <c r="D908" s="2" t="s">
        <v>64</v>
      </c>
      <c r="E908" s="7" t="b">
        <v>1</v>
      </c>
      <c r="F908" s="9">
        <v>730.0</v>
      </c>
      <c r="G908" s="9">
        <v>10.64424146356046</v>
      </c>
      <c r="H908" s="9">
        <v>0.0055902760273972</v>
      </c>
      <c r="I908" s="7" t="b">
        <v>1</v>
      </c>
      <c r="J908" s="9">
        <v>0.0</v>
      </c>
      <c r="K908" s="7" t="b">
        <v>0</v>
      </c>
      <c r="L908" s="9">
        <v>347.0</v>
      </c>
      <c r="M908" s="9">
        <v>0.4753</v>
      </c>
      <c r="N908" s="2" t="s">
        <v>4645</v>
      </c>
      <c r="O908" s="2" t="s">
        <v>3257</v>
      </c>
      <c r="P908" s="9">
        <v>49.71</v>
      </c>
      <c r="Q908" s="9">
        <v>42.0</v>
      </c>
      <c r="R908" s="9">
        <v>0.039474</v>
      </c>
      <c r="S908" s="9">
        <v>0.6626</v>
      </c>
      <c r="T908" s="9">
        <v>0.8975</v>
      </c>
      <c r="U908" s="2" t="s">
        <v>704</v>
      </c>
      <c r="V908" s="9">
        <v>0.8897</v>
      </c>
      <c r="W908" s="2" t="s">
        <v>2753</v>
      </c>
      <c r="X908" s="2" t="s">
        <v>495</v>
      </c>
      <c r="Y908" s="2" t="s">
        <v>4462</v>
      </c>
      <c r="Z908" s="9">
        <v>0.5428</v>
      </c>
      <c r="AA908" s="9">
        <v>0.6626</v>
      </c>
      <c r="AB908" s="9">
        <v>0.8897</v>
      </c>
      <c r="AC908" s="9">
        <v>0.6895</v>
      </c>
      <c r="AD908" s="9" t="str">
        <f t="shared" si="1"/>
        <v>#REF!</v>
      </c>
    </row>
    <row r="909" hidden="1">
      <c r="A909" s="2" t="s">
        <v>1910</v>
      </c>
      <c r="B909" s="2" t="s">
        <v>542</v>
      </c>
      <c r="C909" s="2" t="s">
        <v>2773</v>
      </c>
      <c r="D909" s="2" t="s">
        <v>64</v>
      </c>
      <c r="E909" s="7" t="b">
        <v>1</v>
      </c>
      <c r="F909" s="9">
        <v>289.0</v>
      </c>
      <c r="G909" s="9">
        <v>15.88404982255201</v>
      </c>
      <c r="H909" s="9">
        <v>0.009869849134948</v>
      </c>
      <c r="I909" s="7" t="b">
        <v>1</v>
      </c>
      <c r="J909" s="9">
        <v>0.0</v>
      </c>
      <c r="K909" s="7" t="b">
        <v>0</v>
      </c>
      <c r="L909" s="9">
        <v>431.0</v>
      </c>
      <c r="M909" s="9">
        <v>1.4913</v>
      </c>
      <c r="N909" s="2" t="s">
        <v>4646</v>
      </c>
      <c r="O909" s="2" t="s">
        <v>4647</v>
      </c>
      <c r="P909" s="9">
        <v>56.95</v>
      </c>
      <c r="Q909" s="9">
        <v>44.0</v>
      </c>
      <c r="R909" s="9">
        <v>0.079646</v>
      </c>
      <c r="S909" s="9">
        <v>0.7587</v>
      </c>
      <c r="T909" s="9">
        <v>0.9823</v>
      </c>
      <c r="U909" s="2" t="s">
        <v>704</v>
      </c>
      <c r="V909" s="9">
        <v>0.8927</v>
      </c>
      <c r="W909" s="2" t="s">
        <v>134</v>
      </c>
      <c r="X909" s="2" t="s">
        <v>237</v>
      </c>
      <c r="Y909" s="2" t="s">
        <v>1703</v>
      </c>
      <c r="Z909" s="9">
        <v>0.6016</v>
      </c>
      <c r="AA909" s="9">
        <v>0.7587</v>
      </c>
      <c r="AB909" s="9">
        <v>0.8927</v>
      </c>
      <c r="AC909" s="9">
        <v>0.7306</v>
      </c>
      <c r="AD909" s="9" t="str">
        <f t="shared" si="1"/>
        <v>#REF!</v>
      </c>
    </row>
    <row r="910" hidden="1">
      <c r="A910" s="2" t="s">
        <v>1910</v>
      </c>
      <c r="B910" s="2" t="s">
        <v>558</v>
      </c>
      <c r="C910" s="2" t="s">
        <v>2773</v>
      </c>
      <c r="D910" s="2" t="s">
        <v>64</v>
      </c>
      <c r="E910" s="7" t="b">
        <v>1</v>
      </c>
      <c r="F910" s="9">
        <v>536.0</v>
      </c>
      <c r="G910" s="9">
        <v>12.32181993547444</v>
      </c>
      <c r="H910" s="9">
        <v>0.0013805449626865</v>
      </c>
      <c r="I910" s="7" t="b">
        <v>1</v>
      </c>
      <c r="J910" s="9">
        <v>0.0</v>
      </c>
      <c r="K910" s="7" t="b">
        <v>0</v>
      </c>
      <c r="L910" s="9">
        <v>510.0</v>
      </c>
      <c r="M910" s="9">
        <v>0.9515</v>
      </c>
      <c r="N910" s="2" t="s">
        <v>3953</v>
      </c>
      <c r="O910" s="2" t="s">
        <v>3605</v>
      </c>
      <c r="P910" s="9">
        <v>50.73</v>
      </c>
      <c r="Q910" s="9">
        <v>42.5</v>
      </c>
      <c r="R910" s="9">
        <v>0.032895</v>
      </c>
      <c r="S910" s="9">
        <v>0.6811</v>
      </c>
      <c r="T910" s="9">
        <v>0.9521</v>
      </c>
      <c r="U910" s="2" t="s">
        <v>1192</v>
      </c>
      <c r="V910" s="9">
        <v>0.8799</v>
      </c>
      <c r="W910" s="2" t="s">
        <v>82</v>
      </c>
      <c r="X910" s="2" t="s">
        <v>237</v>
      </c>
      <c r="Y910" s="2" t="s">
        <v>4648</v>
      </c>
      <c r="Z910" s="9">
        <v>0.5671</v>
      </c>
      <c r="AA910" s="9">
        <v>0.6811</v>
      </c>
      <c r="AB910" s="9">
        <v>0.8799</v>
      </c>
      <c r="AC910" s="9">
        <v>0.271</v>
      </c>
      <c r="AD910" s="9" t="str">
        <f t="shared" si="1"/>
        <v>#REF!</v>
      </c>
    </row>
    <row r="911" hidden="1">
      <c r="A911" s="2" t="s">
        <v>1910</v>
      </c>
      <c r="B911" s="2" t="s">
        <v>611</v>
      </c>
      <c r="C911" s="2" t="s">
        <v>2773</v>
      </c>
      <c r="D911" s="2" t="s">
        <v>64</v>
      </c>
      <c r="E911" s="7" t="b">
        <v>1</v>
      </c>
      <c r="F911" s="9">
        <v>282.0</v>
      </c>
      <c r="G911" s="9">
        <v>7.037263514094377</v>
      </c>
      <c r="H911" s="9">
        <v>0.0011321382978723</v>
      </c>
      <c r="I911" s="7" t="b">
        <v>1</v>
      </c>
      <c r="J911" s="9">
        <v>0.0</v>
      </c>
      <c r="K911" s="7" t="b">
        <v>0</v>
      </c>
      <c r="L911" s="9">
        <v>50.0</v>
      </c>
      <c r="M911" s="9">
        <v>0.1773</v>
      </c>
      <c r="N911" s="2" t="s">
        <v>1628</v>
      </c>
      <c r="O911" s="2" t="s">
        <v>1462</v>
      </c>
      <c r="P911" s="9">
        <v>39.14</v>
      </c>
      <c r="Q911" s="9">
        <v>36.0</v>
      </c>
      <c r="R911" s="9">
        <v>0.0</v>
      </c>
      <c r="S911" s="9">
        <v>0.3891</v>
      </c>
      <c r="T911" s="9">
        <v>0.8219</v>
      </c>
      <c r="U911" s="2" t="s">
        <v>4329</v>
      </c>
      <c r="V911" s="9">
        <v>0.0</v>
      </c>
      <c r="W911" s="2" t="s">
        <v>82</v>
      </c>
      <c r="X911" s="2" t="s">
        <v>1466</v>
      </c>
      <c r="Y911" s="2" t="s">
        <v>1542</v>
      </c>
      <c r="Z911" s="9">
        <v>0.3465</v>
      </c>
      <c r="AA911" s="9">
        <v>0.3891</v>
      </c>
      <c r="AB911" s="9">
        <v>0.0</v>
      </c>
      <c r="AC911" s="9">
        <v>0.0758</v>
      </c>
      <c r="AD911" s="9" t="str">
        <f t="shared" si="1"/>
        <v>#REF!</v>
      </c>
    </row>
    <row r="912" hidden="1">
      <c r="A912" s="2" t="s">
        <v>1910</v>
      </c>
      <c r="B912" s="2" t="s">
        <v>623</v>
      </c>
      <c r="C912" s="2" t="s">
        <v>2773</v>
      </c>
      <c r="D912" s="2" t="s">
        <v>64</v>
      </c>
      <c r="E912" s="7" t="b">
        <v>1</v>
      </c>
      <c r="F912" s="9">
        <v>246.0</v>
      </c>
      <c r="G912" s="9">
        <v>6.872279934475504</v>
      </c>
      <c r="H912" s="9">
        <v>0.001360125609756</v>
      </c>
      <c r="I912" s="7" t="b">
        <v>1</v>
      </c>
      <c r="J912" s="9">
        <v>0.0</v>
      </c>
      <c r="K912" s="7" t="b">
        <v>0</v>
      </c>
      <c r="L912" s="9">
        <v>56.0</v>
      </c>
      <c r="M912" s="9">
        <v>0.2276</v>
      </c>
      <c r="N912" s="2" t="s">
        <v>1394</v>
      </c>
      <c r="O912" s="2" t="s">
        <v>402</v>
      </c>
      <c r="P912" s="9">
        <v>56.36</v>
      </c>
      <c r="Q912" s="9">
        <v>43.0</v>
      </c>
      <c r="R912" s="9">
        <v>0.083333</v>
      </c>
      <c r="S912" s="9">
        <v>0.4704</v>
      </c>
      <c r="T912" s="9">
        <v>0.9116</v>
      </c>
      <c r="U912" s="2" t="s">
        <v>3013</v>
      </c>
      <c r="V912" s="9">
        <v>0.0</v>
      </c>
      <c r="W912" s="2" t="s">
        <v>82</v>
      </c>
      <c r="X912" s="2" t="s">
        <v>517</v>
      </c>
      <c r="Y912" s="2" t="s">
        <v>1437</v>
      </c>
      <c r="Z912" s="9">
        <v>0.3627</v>
      </c>
      <c r="AA912" s="9">
        <v>0.4704</v>
      </c>
      <c r="AB912" s="9">
        <v>0.0</v>
      </c>
      <c r="AC912" s="9">
        <v>0.2096</v>
      </c>
      <c r="AD912" s="9" t="str">
        <f t="shared" si="1"/>
        <v>#REF!</v>
      </c>
    </row>
    <row r="913" hidden="1">
      <c r="A913" s="2" t="s">
        <v>1910</v>
      </c>
      <c r="B913" s="2" t="s">
        <v>982</v>
      </c>
      <c r="C913" s="2" t="s">
        <v>2773</v>
      </c>
      <c r="D913" s="2" t="s">
        <v>64</v>
      </c>
      <c r="E913" s="7" t="b">
        <v>1</v>
      </c>
      <c r="F913" s="9">
        <v>109.0</v>
      </c>
      <c r="G913" s="9">
        <v>11.33454609522669</v>
      </c>
      <c r="H913" s="9">
        <v>0.0067228770642201</v>
      </c>
      <c r="I913" s="7" t="b">
        <v>1</v>
      </c>
      <c r="J913" s="9">
        <v>0.0</v>
      </c>
      <c r="K913" s="7" t="b">
        <v>0</v>
      </c>
      <c r="L913" s="9">
        <v>303.0</v>
      </c>
      <c r="M913" s="9">
        <v>2.7798</v>
      </c>
      <c r="N913" s="2" t="s">
        <v>4047</v>
      </c>
      <c r="O913" s="2" t="s">
        <v>3174</v>
      </c>
      <c r="P913" s="9">
        <v>51.96</v>
      </c>
      <c r="Q913" s="9">
        <v>43.0</v>
      </c>
      <c r="R913" s="9">
        <v>0.096386</v>
      </c>
      <c r="S913" s="9">
        <v>0.71</v>
      </c>
      <c r="T913" s="9">
        <v>0.9658</v>
      </c>
      <c r="U913" s="2" t="s">
        <v>2483</v>
      </c>
      <c r="V913" s="9">
        <v>0.8791</v>
      </c>
      <c r="W913" s="2" t="s">
        <v>2753</v>
      </c>
      <c r="X913" s="2" t="s">
        <v>495</v>
      </c>
      <c r="Y913" s="2" t="s">
        <v>1980</v>
      </c>
      <c r="Z913" s="9">
        <v>0.5703</v>
      </c>
      <c r="AA913" s="9">
        <v>0.71</v>
      </c>
      <c r="AB913" s="9">
        <v>0.8791</v>
      </c>
      <c r="AC913" s="9">
        <v>0.2631</v>
      </c>
      <c r="AD913" s="9" t="str">
        <f t="shared" si="1"/>
        <v>#REF!</v>
      </c>
    </row>
    <row r="914" hidden="1">
      <c r="A914" s="2" t="s">
        <v>1910</v>
      </c>
      <c r="B914" s="2" t="s">
        <v>992</v>
      </c>
      <c r="C914" s="2" t="s">
        <v>2773</v>
      </c>
      <c r="D914" s="2" t="s">
        <v>64</v>
      </c>
      <c r="E914" s="7" t="b">
        <v>1</v>
      </c>
      <c r="F914" s="9">
        <v>874.0</v>
      </c>
      <c r="G914" s="9">
        <v>12.08758655960539</v>
      </c>
      <c r="H914" s="9">
        <v>0.0606862517162471</v>
      </c>
      <c r="I914" s="7" t="b">
        <v>1</v>
      </c>
      <c r="J914" s="9">
        <v>0.0</v>
      </c>
      <c r="K914" s="7" t="b">
        <v>0</v>
      </c>
      <c r="L914" s="9">
        <v>1968.0</v>
      </c>
      <c r="M914" s="9">
        <v>2.2517</v>
      </c>
      <c r="N914" s="2" t="s">
        <v>4649</v>
      </c>
      <c r="O914" s="2" t="s">
        <v>3729</v>
      </c>
      <c r="P914" s="9">
        <v>50.42</v>
      </c>
      <c r="Q914" s="9">
        <v>44.0</v>
      </c>
      <c r="R914" s="9">
        <v>0.091476</v>
      </c>
      <c r="S914" s="9">
        <v>0.8981</v>
      </c>
      <c r="T914" s="9">
        <v>0.986</v>
      </c>
      <c r="U914" s="2" t="s">
        <v>1817</v>
      </c>
      <c r="V914" s="9">
        <v>0.8823</v>
      </c>
      <c r="W914" s="2" t="s">
        <v>82</v>
      </c>
      <c r="X914" s="2" t="s">
        <v>99</v>
      </c>
      <c r="Y914" s="2" t="s">
        <v>1515</v>
      </c>
      <c r="Z914" s="9">
        <v>0.7458</v>
      </c>
      <c r="AA914" s="9">
        <v>0.8981</v>
      </c>
      <c r="AB914" s="9">
        <v>0.8823</v>
      </c>
      <c r="AC914" s="9">
        <v>0.8402</v>
      </c>
      <c r="AD914" s="9" t="str">
        <f t="shared" si="1"/>
        <v>#REF!</v>
      </c>
    </row>
    <row r="915" hidden="1">
      <c r="A915" s="2" t="s">
        <v>1910</v>
      </c>
      <c r="B915" s="2" t="s">
        <v>997</v>
      </c>
      <c r="C915" s="2" t="s">
        <v>2773</v>
      </c>
      <c r="D915" s="2" t="s">
        <v>64</v>
      </c>
      <c r="E915" s="7" t="b">
        <v>1</v>
      </c>
      <c r="F915" s="9">
        <v>7835.0</v>
      </c>
      <c r="G915" s="9">
        <v>35.54887443567605</v>
      </c>
      <c r="H915" s="9">
        <v>0.5682518059987237</v>
      </c>
      <c r="I915" s="7" t="b">
        <v>1</v>
      </c>
      <c r="J915" s="9">
        <v>0.0</v>
      </c>
      <c r="K915" s="7" t="b">
        <v>0</v>
      </c>
      <c r="L915" s="9">
        <v>4119.0</v>
      </c>
      <c r="M915" s="9">
        <v>0.5257</v>
      </c>
      <c r="N915" s="2" t="s">
        <v>4650</v>
      </c>
      <c r="O915" s="2" t="s">
        <v>4651</v>
      </c>
      <c r="P915" s="9">
        <v>81.98</v>
      </c>
      <c r="Q915" s="9">
        <v>71.0</v>
      </c>
      <c r="R915" s="9">
        <v>0.043532</v>
      </c>
      <c r="S915" s="9">
        <v>0.9275</v>
      </c>
      <c r="T915" s="9">
        <v>0.9855</v>
      </c>
      <c r="U915" s="2" t="s">
        <v>1850</v>
      </c>
      <c r="V915" s="9">
        <v>0.8036</v>
      </c>
      <c r="W915" s="2" t="s">
        <v>82</v>
      </c>
      <c r="X915" s="2" t="s">
        <v>99</v>
      </c>
      <c r="Y915" s="2" t="s">
        <v>1515</v>
      </c>
      <c r="Z915" s="9">
        <v>0.7891</v>
      </c>
      <c r="AA915" s="9">
        <v>0.9275</v>
      </c>
      <c r="AB915" s="9">
        <v>0.8036</v>
      </c>
      <c r="AC915" s="9">
        <v>0.707</v>
      </c>
      <c r="AD915" s="9" t="str">
        <f t="shared" si="1"/>
        <v>#REF!</v>
      </c>
    </row>
    <row r="916" hidden="1">
      <c r="A916" s="2" t="s">
        <v>1910</v>
      </c>
      <c r="B916" s="2" t="s">
        <v>1009</v>
      </c>
      <c r="C916" s="2" t="s">
        <v>2773</v>
      </c>
      <c r="D916" s="2" t="s">
        <v>64</v>
      </c>
      <c r="E916" s="7" t="b">
        <v>1</v>
      </c>
      <c r="F916" s="9">
        <v>304.0</v>
      </c>
      <c r="G916" s="9">
        <v>26.97107075082118</v>
      </c>
      <c r="H916" s="9">
        <v>0.0590400263157894</v>
      </c>
      <c r="I916" s="7" t="b">
        <v>1</v>
      </c>
      <c r="J916" s="9">
        <v>0.0</v>
      </c>
      <c r="K916" s="7" t="b">
        <v>0</v>
      </c>
      <c r="L916" s="9">
        <v>81.0</v>
      </c>
      <c r="M916" s="9">
        <v>0.2664</v>
      </c>
      <c r="N916" s="2" t="s">
        <v>1825</v>
      </c>
      <c r="O916" s="2" t="s">
        <v>2284</v>
      </c>
      <c r="P916" s="9">
        <v>64.93</v>
      </c>
      <c r="Q916" s="9">
        <v>50.0</v>
      </c>
      <c r="R916" s="9">
        <v>0.05</v>
      </c>
      <c r="S916" s="9">
        <v>0.5529</v>
      </c>
      <c r="T916" s="9">
        <v>0.9805</v>
      </c>
      <c r="U916" s="2" t="s">
        <v>249</v>
      </c>
      <c r="V916" s="9">
        <v>0.0</v>
      </c>
      <c r="W916" s="2" t="s">
        <v>1124</v>
      </c>
      <c r="X916" s="2" t="s">
        <v>517</v>
      </c>
      <c r="Y916" s="2" t="s">
        <v>4555</v>
      </c>
      <c r="Z916" s="9">
        <v>0.4274</v>
      </c>
      <c r="AA916" s="9">
        <v>0.5529</v>
      </c>
      <c r="AB916" s="9">
        <v>0.0</v>
      </c>
      <c r="AC916" s="9">
        <v>0.7836</v>
      </c>
      <c r="AD916" s="9" t="str">
        <f t="shared" si="1"/>
        <v>#REF!</v>
      </c>
    </row>
    <row r="917" hidden="1">
      <c r="A917" s="2" t="s">
        <v>1910</v>
      </c>
      <c r="B917" s="2" t="s">
        <v>1015</v>
      </c>
      <c r="C917" s="2" t="s">
        <v>2773</v>
      </c>
      <c r="D917" s="2" t="s">
        <v>64</v>
      </c>
      <c r="E917" s="7" t="b">
        <v>1</v>
      </c>
      <c r="F917" s="9">
        <v>425.0</v>
      </c>
      <c r="G917" s="9">
        <v>16.84381769564553</v>
      </c>
      <c r="H917" s="9">
        <v>0.0295819505882352</v>
      </c>
      <c r="I917" s="7" t="b">
        <v>1</v>
      </c>
      <c r="J917" s="9">
        <v>0.0</v>
      </c>
      <c r="K917" s="7" t="b">
        <v>0</v>
      </c>
      <c r="L917" s="9">
        <v>276.0</v>
      </c>
      <c r="M917" s="9">
        <v>0.6494</v>
      </c>
      <c r="N917" s="2" t="s">
        <v>4463</v>
      </c>
      <c r="O917" s="2" t="s">
        <v>2629</v>
      </c>
      <c r="P917" s="9">
        <v>61.16</v>
      </c>
      <c r="Q917" s="9">
        <v>56.5</v>
      </c>
      <c r="R917" s="9">
        <v>0.04918</v>
      </c>
      <c r="S917" s="9">
        <v>0.6894</v>
      </c>
      <c r="T917" s="9">
        <v>0.9829</v>
      </c>
      <c r="U917" s="2" t="s">
        <v>4046</v>
      </c>
      <c r="V917" s="9">
        <v>0.8812</v>
      </c>
      <c r="W917" s="2" t="s">
        <v>1657</v>
      </c>
      <c r="X917" s="2" t="s">
        <v>237</v>
      </c>
      <c r="Y917" s="2" t="s">
        <v>1703</v>
      </c>
      <c r="Z917" s="9">
        <v>0.5404</v>
      </c>
      <c r="AA917" s="9">
        <v>0.6894</v>
      </c>
      <c r="AB917" s="9">
        <v>0.8812</v>
      </c>
      <c r="AC917" s="9">
        <v>0.8569</v>
      </c>
      <c r="AD917" s="9" t="str">
        <f t="shared" si="1"/>
        <v>#REF!</v>
      </c>
    </row>
    <row r="918" hidden="1">
      <c r="A918" s="2" t="s">
        <v>1910</v>
      </c>
      <c r="B918" s="2" t="s">
        <v>1024</v>
      </c>
      <c r="C918" s="2" t="s">
        <v>2773</v>
      </c>
      <c r="D918" s="2" t="s">
        <v>64</v>
      </c>
      <c r="E918" s="7" t="b">
        <v>1</v>
      </c>
      <c r="F918" s="9">
        <v>524.0</v>
      </c>
      <c r="G918" s="9">
        <v>10.72325171227644</v>
      </c>
      <c r="H918" s="9">
        <v>0.002013111832061</v>
      </c>
      <c r="I918" s="7" t="b">
        <v>1</v>
      </c>
      <c r="J918" s="9">
        <v>0.0</v>
      </c>
      <c r="K918" s="7" t="b">
        <v>0</v>
      </c>
      <c r="L918" s="9">
        <v>41.0</v>
      </c>
      <c r="M918" s="9">
        <v>0.0782</v>
      </c>
      <c r="N918" s="2" t="s">
        <v>2619</v>
      </c>
      <c r="O918" s="2" t="s">
        <v>1552</v>
      </c>
      <c r="P918" s="9">
        <v>55.49</v>
      </c>
      <c r="Q918" s="9">
        <v>55.0</v>
      </c>
      <c r="R918" s="9">
        <v>0.111111</v>
      </c>
      <c r="S918" s="9">
        <v>0.4215</v>
      </c>
      <c r="T918" s="9">
        <v>0.955</v>
      </c>
      <c r="U918" s="2" t="s">
        <v>1779</v>
      </c>
      <c r="V918" s="9">
        <v>0.0</v>
      </c>
      <c r="W918" s="2" t="s">
        <v>134</v>
      </c>
      <c r="X918" s="2" t="s">
        <v>1466</v>
      </c>
      <c r="Y918" s="2" t="s">
        <v>3229</v>
      </c>
      <c r="Z918" s="9">
        <v>0.3386</v>
      </c>
      <c r="AA918" s="9">
        <v>0.4215</v>
      </c>
      <c r="AB918" s="9">
        <v>0.0</v>
      </c>
      <c r="AC918" s="9">
        <v>0.1972</v>
      </c>
      <c r="AD918" s="9" t="str">
        <f t="shared" si="1"/>
        <v>#REF!</v>
      </c>
    </row>
    <row r="919" hidden="1">
      <c r="A919" s="2" t="s">
        <v>1910</v>
      </c>
      <c r="B919" s="2" t="s">
        <v>1027</v>
      </c>
      <c r="C919" s="2" t="s">
        <v>2773</v>
      </c>
      <c r="D919" s="2" t="s">
        <v>64</v>
      </c>
      <c r="E919" s="7" t="b">
        <v>1</v>
      </c>
      <c r="F919" s="9">
        <v>156.0</v>
      </c>
      <c r="G919" s="9">
        <v>11.12488991658128</v>
      </c>
      <c r="H919" s="9">
        <v>0.0020118846153846</v>
      </c>
      <c r="I919" s="7" t="b">
        <v>1</v>
      </c>
      <c r="J919" s="9">
        <v>0.0</v>
      </c>
      <c r="K919" s="7" t="b">
        <v>0</v>
      </c>
      <c r="L919" s="9">
        <v>40.0</v>
      </c>
      <c r="M919" s="9">
        <v>0.2564</v>
      </c>
      <c r="N919" s="2" t="s">
        <v>1952</v>
      </c>
      <c r="O919" s="2" t="s">
        <v>1953</v>
      </c>
      <c r="P919" s="9">
        <v>52.62</v>
      </c>
      <c r="Q919" s="9">
        <v>40.0</v>
      </c>
      <c r="R919" s="9">
        <v>0.0</v>
      </c>
      <c r="S919" s="9">
        <v>0.4663</v>
      </c>
      <c r="T919" s="9">
        <v>0.9924</v>
      </c>
      <c r="U919" s="2" t="s">
        <v>2165</v>
      </c>
      <c r="V919" s="9">
        <v>0.0</v>
      </c>
      <c r="W919" s="2" t="s">
        <v>82</v>
      </c>
      <c r="X919" s="2" t="s">
        <v>1466</v>
      </c>
      <c r="Y919" s="2" t="s">
        <v>1542</v>
      </c>
      <c r="Z919" s="9">
        <v>0.3658</v>
      </c>
      <c r="AA919" s="9">
        <v>0.4663</v>
      </c>
      <c r="AB919" s="9">
        <v>0.0</v>
      </c>
      <c r="AC919" s="9">
        <v>0.1695</v>
      </c>
      <c r="AD919" s="9" t="str">
        <f t="shared" si="1"/>
        <v>#REF!</v>
      </c>
    </row>
    <row r="920" hidden="1">
      <c r="A920" s="2" t="s">
        <v>290</v>
      </c>
      <c r="B920" s="2" t="s">
        <v>441</v>
      </c>
      <c r="C920" s="2" t="s">
        <v>119</v>
      </c>
      <c r="D920" s="2" t="s">
        <v>64</v>
      </c>
      <c r="E920" s="7" t="b">
        <v>1</v>
      </c>
      <c r="F920" s="9">
        <v>268.0</v>
      </c>
      <c r="G920" s="9">
        <v>7.716736043772542</v>
      </c>
      <c r="H920" s="9">
        <v>0.0055885399253731</v>
      </c>
      <c r="I920" s="7" t="b">
        <v>1</v>
      </c>
      <c r="J920" s="9">
        <v>0.0</v>
      </c>
      <c r="K920" s="7" t="b">
        <v>0</v>
      </c>
      <c r="L920" s="9">
        <v>188.0</v>
      </c>
      <c r="M920" s="9">
        <v>0.7015</v>
      </c>
      <c r="N920" s="2" t="s">
        <v>2379</v>
      </c>
      <c r="O920" s="2" t="s">
        <v>1373</v>
      </c>
      <c r="P920" s="9">
        <v>48.75</v>
      </c>
      <c r="Q920" s="9">
        <v>41.0</v>
      </c>
      <c r="R920" s="9">
        <v>0.052632</v>
      </c>
      <c r="S920" s="9">
        <v>0.5674</v>
      </c>
      <c r="T920" s="9">
        <v>0.904</v>
      </c>
      <c r="U920" s="2" t="s">
        <v>1540</v>
      </c>
      <c r="V920" s="9">
        <v>0.8682</v>
      </c>
      <c r="W920" s="2" t="s">
        <v>1124</v>
      </c>
      <c r="X920" s="2" t="s">
        <v>495</v>
      </c>
      <c r="Y920" s="2" t="s">
        <v>1980</v>
      </c>
      <c r="Z920" s="9">
        <v>0.4779</v>
      </c>
      <c r="AA920" s="9">
        <v>0.5674</v>
      </c>
      <c r="AB920" s="9">
        <v>0.8682</v>
      </c>
      <c r="AC920" s="9">
        <v>0.2001</v>
      </c>
      <c r="AD920" s="9" t="str">
        <f t="shared" si="1"/>
        <v>#REF!</v>
      </c>
    </row>
    <row r="921" hidden="1">
      <c r="A921" s="2" t="s">
        <v>290</v>
      </c>
      <c r="B921" s="2" t="s">
        <v>534</v>
      </c>
      <c r="C921" s="2" t="s">
        <v>119</v>
      </c>
      <c r="D921" s="2" t="s">
        <v>64</v>
      </c>
      <c r="E921" s="7" t="b">
        <v>1</v>
      </c>
      <c r="F921" s="9">
        <v>510.0</v>
      </c>
      <c r="G921" s="9">
        <v>5.424414042929825</v>
      </c>
      <c r="H921" s="9">
        <v>0.0010172603921568</v>
      </c>
      <c r="I921" s="7" t="b">
        <v>1</v>
      </c>
      <c r="J921" s="9">
        <v>0.0</v>
      </c>
      <c r="K921" s="7" t="b">
        <v>0</v>
      </c>
      <c r="L921" s="9">
        <v>59.0</v>
      </c>
      <c r="M921" s="9">
        <v>0.1157</v>
      </c>
      <c r="N921" s="2" t="s">
        <v>1460</v>
      </c>
      <c r="O921" s="2" t="s">
        <v>1539</v>
      </c>
      <c r="P921" s="9">
        <v>69.8</v>
      </c>
      <c r="Q921" s="9">
        <v>71.0</v>
      </c>
      <c r="R921" s="9">
        <v>0.0</v>
      </c>
      <c r="S921" s="9">
        <v>0.4773</v>
      </c>
      <c r="T921" s="9">
        <v>0.9657</v>
      </c>
      <c r="U921" s="2" t="s">
        <v>2338</v>
      </c>
      <c r="V921" s="15"/>
      <c r="W921" s="2" t="s">
        <v>134</v>
      </c>
      <c r="X921" s="2" t="s">
        <v>182</v>
      </c>
      <c r="Y921" s="2" t="s">
        <v>3170</v>
      </c>
      <c r="Z921" s="9">
        <v>0.3864</v>
      </c>
      <c r="AA921" s="9">
        <v>0.4773</v>
      </c>
      <c r="AB921" s="15"/>
      <c r="AC921" s="9">
        <v>0.7023</v>
      </c>
      <c r="AD921" s="9" t="str">
        <f t="shared" si="1"/>
        <v>#REF!</v>
      </c>
    </row>
    <row r="922" hidden="1">
      <c r="A922" s="2" t="s">
        <v>290</v>
      </c>
      <c r="B922" s="2" t="s">
        <v>982</v>
      </c>
      <c r="C922" s="2" t="s">
        <v>119</v>
      </c>
      <c r="D922" s="2" t="s">
        <v>64</v>
      </c>
      <c r="E922" s="7" t="b">
        <v>1</v>
      </c>
      <c r="F922" s="9">
        <v>310.0</v>
      </c>
      <c r="G922" s="9">
        <v>15.32788494242177</v>
      </c>
      <c r="H922" s="9">
        <v>0.0344082870967741</v>
      </c>
      <c r="I922" s="7" t="b">
        <v>1</v>
      </c>
      <c r="J922" s="9">
        <v>0.0</v>
      </c>
      <c r="K922" s="7" t="b">
        <v>0</v>
      </c>
      <c r="L922" s="9">
        <v>848.0</v>
      </c>
      <c r="M922" s="9">
        <v>2.7355</v>
      </c>
      <c r="N922" s="2" t="s">
        <v>4652</v>
      </c>
      <c r="O922" s="2" t="s">
        <v>3910</v>
      </c>
      <c r="P922" s="9">
        <v>56.77</v>
      </c>
      <c r="Q922" s="9">
        <v>53.0</v>
      </c>
      <c r="R922" s="9">
        <v>0.012987</v>
      </c>
      <c r="S922" s="9">
        <v>0.8445</v>
      </c>
      <c r="T922" s="9">
        <v>0.9906</v>
      </c>
      <c r="U922" s="2" t="s">
        <v>2778</v>
      </c>
      <c r="V922" s="9">
        <v>0.8193</v>
      </c>
      <c r="W922" s="2" t="s">
        <v>82</v>
      </c>
      <c r="X922" s="2" t="s">
        <v>99</v>
      </c>
      <c r="Y922" s="2" t="s">
        <v>1515</v>
      </c>
      <c r="Z922" s="9">
        <v>0.6787</v>
      </c>
      <c r="AA922" s="9">
        <v>0.8445</v>
      </c>
      <c r="AB922" s="9">
        <v>0.8193</v>
      </c>
      <c r="AC922" s="9">
        <v>0.8487</v>
      </c>
      <c r="AD922" s="9" t="str">
        <f t="shared" si="1"/>
        <v>#REF!</v>
      </c>
    </row>
    <row r="923" hidden="1">
      <c r="A923" s="2" t="s">
        <v>290</v>
      </c>
      <c r="B923" s="2" t="s">
        <v>997</v>
      </c>
      <c r="C923" s="2" t="s">
        <v>119</v>
      </c>
      <c r="D923" s="2" t="s">
        <v>64</v>
      </c>
      <c r="E923" s="7" t="b">
        <v>1</v>
      </c>
      <c r="F923" s="9">
        <v>14378.0</v>
      </c>
      <c r="G923" s="9">
        <v>28.65583131951038</v>
      </c>
      <c r="H923" s="9">
        <v>0.6316711197663096</v>
      </c>
      <c r="I923" s="7" t="b">
        <v>1</v>
      </c>
      <c r="J923" s="9">
        <v>0.0</v>
      </c>
      <c r="K923" s="7" t="b">
        <v>0</v>
      </c>
      <c r="L923" s="9">
        <v>5099.0</v>
      </c>
      <c r="M923" s="9">
        <v>0.3546</v>
      </c>
      <c r="N923" s="2" t="s">
        <v>4653</v>
      </c>
      <c r="O923" s="2" t="s">
        <v>4654</v>
      </c>
      <c r="P923" s="9">
        <v>63.19</v>
      </c>
      <c r="Q923" s="9">
        <v>60.0</v>
      </c>
      <c r="R923" s="9">
        <v>0.037406</v>
      </c>
      <c r="S923" s="9">
        <v>0.929</v>
      </c>
      <c r="T923" s="9">
        <v>0.9699</v>
      </c>
      <c r="U923" s="2" t="s">
        <v>1957</v>
      </c>
      <c r="V923" s="9">
        <v>0.8132</v>
      </c>
      <c r="W923" s="2" t="s">
        <v>82</v>
      </c>
      <c r="X923" s="2" t="s">
        <v>84</v>
      </c>
      <c r="Y923" s="2" t="s">
        <v>4179</v>
      </c>
      <c r="Z923" s="9">
        <v>0.804</v>
      </c>
      <c r="AA923" s="9">
        <v>0.929</v>
      </c>
      <c r="AB923" s="9">
        <v>0.8132</v>
      </c>
      <c r="AC923" s="9">
        <v>0.756</v>
      </c>
      <c r="AD923" s="9" t="str">
        <f t="shared" si="1"/>
        <v>#REF!</v>
      </c>
    </row>
    <row r="924" hidden="1">
      <c r="A924" s="2" t="s">
        <v>290</v>
      </c>
      <c r="B924" s="2" t="s">
        <v>1009</v>
      </c>
      <c r="C924" s="2" t="s">
        <v>119</v>
      </c>
      <c r="D924" s="2" t="s">
        <v>64</v>
      </c>
      <c r="E924" s="7" t="b">
        <v>1</v>
      </c>
      <c r="F924" s="9">
        <v>114.0</v>
      </c>
      <c r="G924" s="9">
        <v>7.07751821810405</v>
      </c>
      <c r="H924" s="9">
        <v>0.0015540245614035</v>
      </c>
      <c r="I924" s="7" t="b">
        <v>1</v>
      </c>
      <c r="J924" s="9">
        <v>0.0</v>
      </c>
      <c r="K924" s="7" t="b">
        <v>0</v>
      </c>
      <c r="L924" s="9">
        <v>59.0</v>
      </c>
      <c r="M924" s="9">
        <v>0.5175</v>
      </c>
      <c r="N924" s="2" t="s">
        <v>400</v>
      </c>
      <c r="O924" s="2" t="s">
        <v>402</v>
      </c>
      <c r="P924" s="9">
        <v>52.83</v>
      </c>
      <c r="Q924" s="9">
        <v>44.0</v>
      </c>
      <c r="R924" s="9">
        <v>0.0</v>
      </c>
      <c r="S924" s="9">
        <v>0.4978</v>
      </c>
      <c r="T924" s="9">
        <v>0.9833</v>
      </c>
      <c r="U924" s="2" t="s">
        <v>2398</v>
      </c>
      <c r="V924" s="15"/>
      <c r="W924" s="2" t="s">
        <v>1875</v>
      </c>
      <c r="X924" s="2" t="s">
        <v>1455</v>
      </c>
      <c r="Y924" s="2" t="s">
        <v>1456</v>
      </c>
      <c r="Z924" s="9">
        <v>0.3973</v>
      </c>
      <c r="AA924" s="9">
        <v>0.4978</v>
      </c>
      <c r="AB924" s="15"/>
      <c r="AC924" s="9">
        <v>0.2033</v>
      </c>
      <c r="AD924" s="9" t="str">
        <f t="shared" si="1"/>
        <v>#REF!</v>
      </c>
    </row>
    <row r="925" hidden="1">
      <c r="A925" s="2" t="s">
        <v>290</v>
      </c>
      <c r="B925" s="2" t="s">
        <v>1019</v>
      </c>
      <c r="C925" s="2" t="s">
        <v>119</v>
      </c>
      <c r="D925" s="2" t="s">
        <v>64</v>
      </c>
      <c r="E925" s="7" t="b">
        <v>1</v>
      </c>
      <c r="F925" s="9">
        <v>176.0</v>
      </c>
      <c r="G925" s="9">
        <v>4.900619537929568</v>
      </c>
      <c r="H925" s="9">
        <v>0.0018139704545454</v>
      </c>
      <c r="I925" s="7" t="b">
        <v>1</v>
      </c>
      <c r="J925" s="9">
        <v>0.0</v>
      </c>
      <c r="K925" s="7" t="b">
        <v>0</v>
      </c>
      <c r="L925" s="9">
        <v>142.0</v>
      </c>
      <c r="M925" s="9">
        <v>0.8068</v>
      </c>
      <c r="N925" s="2" t="s">
        <v>1794</v>
      </c>
      <c r="O925" s="2" t="s">
        <v>1533</v>
      </c>
      <c r="P925" s="9">
        <v>44.96</v>
      </c>
      <c r="Q925" s="9">
        <v>41.0</v>
      </c>
      <c r="R925" s="9">
        <v>0.086957</v>
      </c>
      <c r="S925" s="9">
        <v>0.5559</v>
      </c>
      <c r="T925" s="9">
        <v>0.9304</v>
      </c>
      <c r="U925" s="2" t="s">
        <v>2134</v>
      </c>
      <c r="V925" s="9">
        <v>0.87</v>
      </c>
      <c r="W925" s="2" t="s">
        <v>2753</v>
      </c>
      <c r="X925" s="2" t="s">
        <v>495</v>
      </c>
      <c r="Y925" s="2" t="s">
        <v>1980</v>
      </c>
      <c r="Z925" s="9">
        <v>0.4689</v>
      </c>
      <c r="AA925" s="9">
        <v>0.5559</v>
      </c>
      <c r="AB925" s="9">
        <v>0.87</v>
      </c>
      <c r="AC925" s="9">
        <v>0.1492</v>
      </c>
      <c r="AD925" s="9" t="str">
        <f t="shared" si="1"/>
        <v>#REF!</v>
      </c>
    </row>
    <row r="926" hidden="1">
      <c r="A926" s="2" t="s">
        <v>300</v>
      </c>
      <c r="B926" s="2" t="s">
        <v>501</v>
      </c>
      <c r="C926" s="2" t="s">
        <v>119</v>
      </c>
      <c r="D926" s="2" t="s">
        <v>64</v>
      </c>
      <c r="E926" s="7" t="b">
        <v>1</v>
      </c>
      <c r="F926" s="9">
        <v>340.0</v>
      </c>
      <c r="G926" s="9">
        <v>5.208735829216337</v>
      </c>
      <c r="H926" s="9">
        <v>0.0012263332352941</v>
      </c>
      <c r="I926" s="7" t="b">
        <v>1</v>
      </c>
      <c r="J926" s="9">
        <v>0.0</v>
      </c>
      <c r="K926" s="7" t="b">
        <v>0</v>
      </c>
      <c r="L926" s="9">
        <v>712.0</v>
      </c>
      <c r="M926" s="9">
        <v>2.0941</v>
      </c>
      <c r="N926" s="2" t="s">
        <v>4655</v>
      </c>
      <c r="O926" s="2" t="s">
        <v>1725</v>
      </c>
      <c r="P926" s="9">
        <v>54.05</v>
      </c>
      <c r="Q926" s="9">
        <v>44.0</v>
      </c>
      <c r="R926" s="9">
        <v>0.021739</v>
      </c>
      <c r="S926" s="9">
        <v>0.4703</v>
      </c>
      <c r="T926" s="9">
        <v>0.426</v>
      </c>
      <c r="U926" s="2" t="s">
        <v>1520</v>
      </c>
      <c r="V926" s="9">
        <v>0.7324</v>
      </c>
      <c r="W926" s="15"/>
      <c r="X926" s="2" t="s">
        <v>517</v>
      </c>
      <c r="Y926" s="2" t="s">
        <v>1593</v>
      </c>
      <c r="Z926" s="9">
        <v>0.4623</v>
      </c>
      <c r="AA926" s="9">
        <v>0.4703</v>
      </c>
      <c r="AB926" s="9">
        <v>0.7324</v>
      </c>
      <c r="AC926" s="9">
        <v>0.1687</v>
      </c>
      <c r="AD926" s="9" t="str">
        <f t="shared" si="1"/>
        <v>#REF!</v>
      </c>
    </row>
    <row r="927" hidden="1">
      <c r="A927" s="2" t="s">
        <v>300</v>
      </c>
      <c r="B927" s="2" t="s">
        <v>942</v>
      </c>
      <c r="C927" s="2" t="s">
        <v>119</v>
      </c>
      <c r="D927" s="2" t="s">
        <v>64</v>
      </c>
      <c r="E927" s="7" t="b">
        <v>1</v>
      </c>
      <c r="F927" s="9">
        <v>534.0</v>
      </c>
      <c r="G927" s="9">
        <v>5.147050112685033</v>
      </c>
      <c r="H927" s="9">
        <v>0.0010006958801498</v>
      </c>
      <c r="I927" s="7" t="b">
        <v>1</v>
      </c>
      <c r="J927" s="9">
        <v>0.0</v>
      </c>
      <c r="K927" s="7" t="b">
        <v>0</v>
      </c>
      <c r="L927" s="9">
        <v>1650.0</v>
      </c>
      <c r="M927" s="9">
        <v>3.0899</v>
      </c>
      <c r="N927" s="2" t="s">
        <v>1997</v>
      </c>
      <c r="O927" s="2" t="s">
        <v>4518</v>
      </c>
      <c r="P927" s="9">
        <v>54.88</v>
      </c>
      <c r="Q927" s="9">
        <v>44.0</v>
      </c>
      <c r="R927" s="9">
        <v>0.014519</v>
      </c>
      <c r="S927" s="9">
        <v>0.7611</v>
      </c>
      <c r="T927" s="9">
        <v>0.8189</v>
      </c>
      <c r="U927" s="2" t="s">
        <v>4383</v>
      </c>
      <c r="V927" s="9">
        <v>0.8416</v>
      </c>
      <c r="W927" s="2" t="s">
        <v>1780</v>
      </c>
      <c r="X927" s="2" t="s">
        <v>495</v>
      </c>
      <c r="Y927" s="2" t="s">
        <v>4633</v>
      </c>
      <c r="Z927" s="9">
        <v>0.652</v>
      </c>
      <c r="AA927" s="9">
        <v>0.7611</v>
      </c>
      <c r="AB927" s="9">
        <v>0.8416</v>
      </c>
      <c r="AC927" s="9">
        <v>0.153</v>
      </c>
      <c r="AD927" s="9" t="str">
        <f t="shared" si="1"/>
        <v>#REF!</v>
      </c>
    </row>
    <row r="928" hidden="1">
      <c r="A928" s="2" t="s">
        <v>300</v>
      </c>
      <c r="B928" s="2" t="s">
        <v>997</v>
      </c>
      <c r="C928" s="2" t="s">
        <v>119</v>
      </c>
      <c r="D928" s="2" t="s">
        <v>64</v>
      </c>
      <c r="E928" s="7" t="b">
        <v>1</v>
      </c>
      <c r="F928" s="9">
        <v>173.0</v>
      </c>
      <c r="G928" s="9">
        <v>25.61420170907417</v>
      </c>
      <c r="H928" s="9">
        <v>0.0076529479768786</v>
      </c>
      <c r="I928" s="7" t="b">
        <v>1</v>
      </c>
      <c r="J928" s="9">
        <v>0.0</v>
      </c>
      <c r="K928" s="7" t="b">
        <v>0</v>
      </c>
      <c r="L928" s="9">
        <v>81.0</v>
      </c>
      <c r="M928" s="9">
        <v>0.4682</v>
      </c>
      <c r="N928" s="2" t="s">
        <v>2651</v>
      </c>
      <c r="O928" s="2" t="s">
        <v>2172</v>
      </c>
      <c r="P928" s="9">
        <v>71.78</v>
      </c>
      <c r="Q928" s="9">
        <v>69.0</v>
      </c>
      <c r="R928" s="9">
        <v>0.0</v>
      </c>
      <c r="S928" s="9">
        <v>0.5366</v>
      </c>
      <c r="T928" s="9">
        <v>1.0007</v>
      </c>
      <c r="U928" s="2" t="s">
        <v>1553</v>
      </c>
      <c r="V928" s="15"/>
      <c r="W928" s="2" t="s">
        <v>157</v>
      </c>
      <c r="X928" s="2" t="s">
        <v>182</v>
      </c>
      <c r="Y928" s="2" t="s">
        <v>1491</v>
      </c>
      <c r="Z928" s="9">
        <v>0.4212</v>
      </c>
      <c r="AA928" s="9">
        <v>0.5366</v>
      </c>
      <c r="AB928" s="15"/>
      <c r="AC928" s="9">
        <v>0.6853</v>
      </c>
      <c r="AD928" s="9" t="str">
        <f t="shared" si="1"/>
        <v>#REF!</v>
      </c>
    </row>
    <row r="929" hidden="1">
      <c r="A929" s="2" t="s">
        <v>312</v>
      </c>
      <c r="B929" s="2" t="s">
        <v>501</v>
      </c>
      <c r="C929" s="2" t="s">
        <v>119</v>
      </c>
      <c r="D929" s="2" t="s">
        <v>64</v>
      </c>
      <c r="E929" s="7" t="b">
        <v>1</v>
      </c>
      <c r="F929" s="9">
        <v>1703.0</v>
      </c>
      <c r="G929" s="9">
        <v>2.632763151553466</v>
      </c>
      <c r="H929" s="9">
        <v>0.0015639311215502</v>
      </c>
      <c r="I929" s="7" t="b">
        <v>1</v>
      </c>
      <c r="J929" s="9">
        <v>0.0</v>
      </c>
      <c r="K929" s="7" t="b">
        <v>0</v>
      </c>
      <c r="L929" s="9">
        <v>4818.0</v>
      </c>
      <c r="M929" s="9">
        <v>2.8291</v>
      </c>
      <c r="N929" s="2" t="s">
        <v>4656</v>
      </c>
      <c r="O929" s="2" t="s">
        <v>4401</v>
      </c>
      <c r="P929" s="9">
        <v>54.12</v>
      </c>
      <c r="Q929" s="9">
        <v>45.0</v>
      </c>
      <c r="R929" s="9">
        <v>0.008458</v>
      </c>
      <c r="S929" s="9">
        <v>0.6271</v>
      </c>
      <c r="T929" s="9">
        <v>0.3065</v>
      </c>
      <c r="U929" s="2" t="s">
        <v>2878</v>
      </c>
      <c r="V929" s="9">
        <v>0.8069</v>
      </c>
      <c r="W929" s="15"/>
      <c r="X929" s="2" t="s">
        <v>1466</v>
      </c>
      <c r="Y929" s="2" t="s">
        <v>2821</v>
      </c>
      <c r="Z929" s="9">
        <v>0.5869</v>
      </c>
      <c r="AA929" s="9">
        <v>0.6271</v>
      </c>
      <c r="AB929" s="9">
        <v>0.8069</v>
      </c>
      <c r="AC929" s="9">
        <v>0.1502</v>
      </c>
      <c r="AD929" s="9" t="str">
        <f t="shared" si="1"/>
        <v>#REF!</v>
      </c>
    </row>
    <row r="930" hidden="1">
      <c r="A930" s="2" t="s">
        <v>324</v>
      </c>
      <c r="B930" s="2" t="s">
        <v>441</v>
      </c>
      <c r="C930" s="2" t="s">
        <v>119</v>
      </c>
      <c r="D930" s="2" t="s">
        <v>64</v>
      </c>
      <c r="E930" s="7" t="b">
        <v>1</v>
      </c>
      <c r="F930" s="9">
        <v>252.0</v>
      </c>
      <c r="G930" s="9">
        <v>4.269533709701484</v>
      </c>
      <c r="H930" s="9">
        <v>0.0016139833333333</v>
      </c>
      <c r="I930" s="7" t="b">
        <v>1</v>
      </c>
      <c r="J930" s="9">
        <v>0.0</v>
      </c>
      <c r="K930" s="7" t="b">
        <v>0</v>
      </c>
      <c r="L930" s="9">
        <v>96.0</v>
      </c>
      <c r="M930" s="9">
        <v>0.381</v>
      </c>
      <c r="N930" s="2" t="s">
        <v>2162</v>
      </c>
      <c r="O930" s="2" t="s">
        <v>1985</v>
      </c>
      <c r="P930" s="9">
        <v>44.64</v>
      </c>
      <c r="Q930" s="9">
        <v>41.0</v>
      </c>
      <c r="R930" s="9">
        <v>0.0</v>
      </c>
      <c r="S930" s="9">
        <v>0.5017</v>
      </c>
      <c r="T930" s="9">
        <v>0.8591</v>
      </c>
      <c r="U930" s="2" t="s">
        <v>3095</v>
      </c>
      <c r="V930" s="9">
        <v>0.0</v>
      </c>
      <c r="W930" s="2" t="s">
        <v>2753</v>
      </c>
      <c r="X930" s="2" t="s">
        <v>1521</v>
      </c>
      <c r="Y930" s="2" t="s">
        <v>1491</v>
      </c>
      <c r="Z930" s="9">
        <v>0.4151</v>
      </c>
      <c r="AA930" s="9">
        <v>0.5017</v>
      </c>
      <c r="AB930" s="9">
        <v>0.0</v>
      </c>
      <c r="AC930" s="9">
        <v>0.1578</v>
      </c>
      <c r="AD930" s="9" t="str">
        <f t="shared" si="1"/>
        <v>#REF!</v>
      </c>
    </row>
    <row r="931" hidden="1">
      <c r="A931" s="2" t="s">
        <v>324</v>
      </c>
      <c r="B931" s="2" t="s">
        <v>982</v>
      </c>
      <c r="C931" s="2" t="s">
        <v>119</v>
      </c>
      <c r="D931" s="2" t="s">
        <v>64</v>
      </c>
      <c r="E931" s="7" t="b">
        <v>1</v>
      </c>
      <c r="F931" s="9">
        <v>151.0</v>
      </c>
      <c r="G931" s="9">
        <v>11.41545970728176</v>
      </c>
      <c r="H931" s="9">
        <v>0.0094253066225165</v>
      </c>
      <c r="I931" s="7" t="b">
        <v>1</v>
      </c>
      <c r="J931" s="9">
        <v>0.0</v>
      </c>
      <c r="K931" s="7" t="b">
        <v>0</v>
      </c>
      <c r="L931" s="9">
        <v>375.0</v>
      </c>
      <c r="M931" s="9">
        <v>2.4834</v>
      </c>
      <c r="N931" s="2" t="s">
        <v>1796</v>
      </c>
      <c r="O931" s="2" t="s">
        <v>4419</v>
      </c>
      <c r="P931" s="9">
        <v>54.11</v>
      </c>
      <c r="Q931" s="9">
        <v>50.0</v>
      </c>
      <c r="R931" s="9">
        <v>0.042857</v>
      </c>
      <c r="S931" s="9">
        <v>0.7485</v>
      </c>
      <c r="T931" s="9">
        <v>0.9359</v>
      </c>
      <c r="U931" s="2" t="s">
        <v>2778</v>
      </c>
      <c r="V931" s="9">
        <v>0.8864</v>
      </c>
      <c r="W931" s="2" t="s">
        <v>82</v>
      </c>
      <c r="X931" s="2" t="s">
        <v>84</v>
      </c>
      <c r="Y931" s="2" t="s">
        <v>2340</v>
      </c>
      <c r="Z931" s="9">
        <v>0.59</v>
      </c>
      <c r="AA931" s="9">
        <v>0.7485</v>
      </c>
      <c r="AB931" s="9">
        <v>0.8864</v>
      </c>
      <c r="AC931" s="9">
        <v>0.8453</v>
      </c>
      <c r="AD931" s="9" t="str">
        <f t="shared" si="1"/>
        <v>#REF!</v>
      </c>
    </row>
    <row r="932" hidden="1">
      <c r="A932" s="2" t="s">
        <v>324</v>
      </c>
      <c r="B932" s="2" t="s">
        <v>997</v>
      </c>
      <c r="C932" s="2" t="s">
        <v>119</v>
      </c>
      <c r="D932" s="2" t="s">
        <v>64</v>
      </c>
      <c r="E932" s="7" t="b">
        <v>1</v>
      </c>
      <c r="F932" s="9">
        <v>6101.0</v>
      </c>
      <c r="G932" s="9">
        <v>18.91155007804101</v>
      </c>
      <c r="H932" s="9">
        <v>0.1374113458449434</v>
      </c>
      <c r="I932" s="7" t="b">
        <v>1</v>
      </c>
      <c r="J932" s="9">
        <v>0.0</v>
      </c>
      <c r="K932" s="7" t="b">
        <v>0</v>
      </c>
      <c r="L932" s="9">
        <v>3131.0</v>
      </c>
      <c r="M932" s="9">
        <v>0.5132</v>
      </c>
      <c r="N932" s="2" t="s">
        <v>4657</v>
      </c>
      <c r="O932" s="2" t="s">
        <v>4658</v>
      </c>
      <c r="P932" s="9">
        <v>60.83</v>
      </c>
      <c r="Q932" s="9">
        <v>56.0</v>
      </c>
      <c r="R932" s="9">
        <v>0.036325</v>
      </c>
      <c r="S932" s="9">
        <v>0.8983</v>
      </c>
      <c r="T932" s="9">
        <v>0.9259</v>
      </c>
      <c r="U932" s="2" t="s">
        <v>1636</v>
      </c>
      <c r="V932" s="9">
        <v>0.8478</v>
      </c>
      <c r="W932" s="2" t="s">
        <v>82</v>
      </c>
      <c r="X932" s="2" t="s">
        <v>99</v>
      </c>
      <c r="Y932" s="2" t="s">
        <v>1515</v>
      </c>
      <c r="Z932" s="9">
        <v>0.7553</v>
      </c>
      <c r="AA932" s="9">
        <v>0.8983</v>
      </c>
      <c r="AB932" s="9">
        <v>0.8478</v>
      </c>
      <c r="AC932" s="9">
        <v>0.7604</v>
      </c>
      <c r="AD932" s="9" t="str">
        <f t="shared" si="1"/>
        <v>#REF!</v>
      </c>
    </row>
    <row r="933" hidden="1">
      <c r="A933" s="2" t="s">
        <v>324</v>
      </c>
      <c r="B933" s="2" t="s">
        <v>1004</v>
      </c>
      <c r="C933" s="2" t="s">
        <v>119</v>
      </c>
      <c r="D933" s="2" t="s">
        <v>64</v>
      </c>
      <c r="E933" s="7" t="b">
        <v>1</v>
      </c>
      <c r="F933" s="9">
        <v>498.0</v>
      </c>
      <c r="G933" s="9">
        <v>6.152389147759261</v>
      </c>
      <c r="H933" s="9">
        <v>0.001652891566265</v>
      </c>
      <c r="I933" s="7" t="b">
        <v>1</v>
      </c>
      <c r="J933" s="9">
        <v>0.0</v>
      </c>
      <c r="K933" s="7" t="b">
        <v>0</v>
      </c>
      <c r="L933" s="9">
        <v>203.0</v>
      </c>
      <c r="M933" s="9">
        <v>0.4076</v>
      </c>
      <c r="N933" s="2" t="s">
        <v>1475</v>
      </c>
      <c r="O933" s="2" t="s">
        <v>1539</v>
      </c>
      <c r="P933" s="9">
        <v>46.18</v>
      </c>
      <c r="Q933" s="9">
        <v>43.0</v>
      </c>
      <c r="R933" s="9">
        <v>0.025</v>
      </c>
      <c r="S933" s="9">
        <v>0.4663</v>
      </c>
      <c r="T933" s="9">
        <v>0.6066</v>
      </c>
      <c r="U933" s="2" t="s">
        <v>1964</v>
      </c>
      <c r="V933" s="9">
        <v>0.0</v>
      </c>
      <c r="W933" s="2" t="s">
        <v>82</v>
      </c>
      <c r="X933" s="2" t="s">
        <v>1466</v>
      </c>
      <c r="Y933" s="2" t="s">
        <v>2393</v>
      </c>
      <c r="Z933" s="9">
        <v>0.4148</v>
      </c>
      <c r="AA933" s="9">
        <v>0.4663</v>
      </c>
      <c r="AB933" s="9">
        <v>0.0</v>
      </c>
      <c r="AC933" s="9">
        <v>0.1973</v>
      </c>
      <c r="AD933" s="9" t="str">
        <f t="shared" si="1"/>
        <v>#REF!</v>
      </c>
    </row>
    <row r="934" hidden="1">
      <c r="A934" s="2" t="s">
        <v>324</v>
      </c>
      <c r="B934" s="2" t="s">
        <v>1009</v>
      </c>
      <c r="C934" s="2" t="s">
        <v>119</v>
      </c>
      <c r="D934" s="2" t="s">
        <v>64</v>
      </c>
      <c r="E934" s="7" t="b">
        <v>1</v>
      </c>
      <c r="F934" s="9">
        <v>164.0</v>
      </c>
      <c r="G934" s="9">
        <v>5.76309884769061</v>
      </c>
      <c r="H934" s="9">
        <v>0.0014816195121951</v>
      </c>
      <c r="I934" s="7" t="b">
        <v>1</v>
      </c>
      <c r="J934" s="9">
        <v>0.0</v>
      </c>
      <c r="K934" s="7" t="b">
        <v>0</v>
      </c>
      <c r="L934" s="9">
        <v>53.0</v>
      </c>
      <c r="M934" s="9">
        <v>0.3232</v>
      </c>
      <c r="N934" s="2" t="s">
        <v>2024</v>
      </c>
      <c r="O934" s="2" t="s">
        <v>1462</v>
      </c>
      <c r="P934" s="9">
        <v>42.17</v>
      </c>
      <c r="Q934" s="9">
        <v>40.0</v>
      </c>
      <c r="R934" s="9">
        <v>0.083333</v>
      </c>
      <c r="S934" s="9">
        <v>0.3861</v>
      </c>
      <c r="T934" s="9">
        <v>0.609</v>
      </c>
      <c r="U934" s="2" t="s">
        <v>2426</v>
      </c>
      <c r="V934" s="9">
        <v>0.55</v>
      </c>
      <c r="W934" s="2" t="s">
        <v>1875</v>
      </c>
      <c r="X934" s="2" t="s">
        <v>1466</v>
      </c>
      <c r="Y934" s="2" t="s">
        <v>4310</v>
      </c>
      <c r="Z934" s="9">
        <v>0.3218</v>
      </c>
      <c r="AA934" s="9">
        <v>0.3861</v>
      </c>
      <c r="AB934" s="9">
        <v>0.55</v>
      </c>
      <c r="AC934" s="9">
        <v>0.224</v>
      </c>
      <c r="AD934" s="9" t="str">
        <f t="shared" si="1"/>
        <v>#REF!</v>
      </c>
    </row>
    <row r="935" hidden="1">
      <c r="A935" s="2" t="s">
        <v>324</v>
      </c>
      <c r="B935" s="2" t="s">
        <v>1019</v>
      </c>
      <c r="C935" s="2" t="s">
        <v>119</v>
      </c>
      <c r="D935" s="2" t="s">
        <v>64</v>
      </c>
      <c r="E935" s="7" t="b">
        <v>1</v>
      </c>
      <c r="F935" s="9">
        <v>205.0</v>
      </c>
      <c r="G935" s="9">
        <v>4.1192526003505</v>
      </c>
      <c r="H935" s="9">
        <v>0.0014931380487804</v>
      </c>
      <c r="I935" s="7" t="b">
        <v>1</v>
      </c>
      <c r="J935" s="9">
        <v>0.0</v>
      </c>
      <c r="K935" s="7" t="b">
        <v>0</v>
      </c>
      <c r="L935" s="9">
        <v>104.0</v>
      </c>
      <c r="M935" s="9">
        <v>0.5073</v>
      </c>
      <c r="N935" s="2" t="s">
        <v>1551</v>
      </c>
      <c r="O935" s="2" t="s">
        <v>1985</v>
      </c>
      <c r="P935" s="9">
        <v>45.52</v>
      </c>
      <c r="Q935" s="9">
        <v>41.0</v>
      </c>
      <c r="R935" s="9">
        <v>0.0</v>
      </c>
      <c r="S935" s="9">
        <v>0.4733</v>
      </c>
      <c r="T935" s="9">
        <v>0.6922</v>
      </c>
      <c r="U935" s="2" t="s">
        <v>788</v>
      </c>
      <c r="V935" s="9">
        <v>0.0</v>
      </c>
      <c r="W935" s="2" t="s">
        <v>1884</v>
      </c>
      <c r="X935" s="2" t="s">
        <v>1521</v>
      </c>
      <c r="Y935" s="2" t="s">
        <v>1536</v>
      </c>
      <c r="Z935" s="9">
        <v>0.3868</v>
      </c>
      <c r="AA935" s="9">
        <v>0.4733</v>
      </c>
      <c r="AB935" s="9">
        <v>0.0</v>
      </c>
      <c r="AC935" s="9">
        <v>0.2446</v>
      </c>
      <c r="AD935" s="9" t="str">
        <f t="shared" si="1"/>
        <v>#REF!</v>
      </c>
    </row>
    <row r="936" hidden="1">
      <c r="A936" s="2" t="s">
        <v>324</v>
      </c>
      <c r="B936" s="2" t="s">
        <v>1024</v>
      </c>
      <c r="C936" s="2" t="s">
        <v>119</v>
      </c>
      <c r="D936" s="2" t="s">
        <v>64</v>
      </c>
      <c r="E936" s="7" t="b">
        <v>1</v>
      </c>
      <c r="F936" s="9">
        <v>2965.0</v>
      </c>
      <c r="G936" s="9">
        <v>7.309901114681639</v>
      </c>
      <c r="H936" s="9">
        <v>0.0052655919055649</v>
      </c>
      <c r="I936" s="7" t="b">
        <v>1</v>
      </c>
      <c r="J936" s="9">
        <v>0.0</v>
      </c>
      <c r="K936" s="7" t="b">
        <v>0</v>
      </c>
      <c r="L936" s="9">
        <v>320.0</v>
      </c>
      <c r="M936" s="9">
        <v>0.1079</v>
      </c>
      <c r="N936" s="2" t="s">
        <v>2214</v>
      </c>
      <c r="O936" s="2" t="s">
        <v>1880</v>
      </c>
      <c r="P936" s="9">
        <v>62.58</v>
      </c>
      <c r="Q936" s="9">
        <v>54.5</v>
      </c>
      <c r="R936" s="9">
        <v>0.051724</v>
      </c>
      <c r="S936" s="9">
        <v>0.6443</v>
      </c>
      <c r="T936" s="9">
        <v>0.9046</v>
      </c>
      <c r="U936" s="2" t="s">
        <v>4031</v>
      </c>
      <c r="V936" s="9">
        <v>0.786</v>
      </c>
      <c r="W936" s="2" t="s">
        <v>157</v>
      </c>
      <c r="X936" s="2" t="s">
        <v>517</v>
      </c>
      <c r="Y936" s="2" t="s">
        <v>2159</v>
      </c>
      <c r="Z936" s="9">
        <v>0.5201</v>
      </c>
      <c r="AA936" s="9">
        <v>0.6443</v>
      </c>
      <c r="AB936" s="9">
        <v>0.786</v>
      </c>
      <c r="AC936" s="9">
        <v>0.2188</v>
      </c>
      <c r="AD936" s="9" t="str">
        <f t="shared" si="1"/>
        <v>#REF!</v>
      </c>
    </row>
    <row r="937" hidden="1">
      <c r="A937" s="2" t="s">
        <v>1762</v>
      </c>
      <c r="B937" s="2" t="s">
        <v>942</v>
      </c>
      <c r="C937" s="2" t="s">
        <v>1439</v>
      </c>
      <c r="D937" s="2" t="s">
        <v>64</v>
      </c>
      <c r="E937" s="7" t="b">
        <v>1</v>
      </c>
      <c r="F937" s="9">
        <v>1491.0</v>
      </c>
      <c r="G937" s="9">
        <v>3.426367658011987</v>
      </c>
      <c r="H937" s="9">
        <v>0.0012365191146881</v>
      </c>
      <c r="I937" s="7" t="b">
        <v>1</v>
      </c>
      <c r="J937" s="9">
        <v>0.0</v>
      </c>
      <c r="K937" s="7" t="b">
        <v>0</v>
      </c>
      <c r="L937" s="9">
        <v>7346.0</v>
      </c>
      <c r="M937" s="9">
        <v>4.9269</v>
      </c>
      <c r="N937" s="2" t="s">
        <v>4659</v>
      </c>
      <c r="O937" s="2" t="s">
        <v>3831</v>
      </c>
      <c r="P937" s="9">
        <v>46.33</v>
      </c>
      <c r="Q937" s="9">
        <v>39.0</v>
      </c>
      <c r="R937" s="9">
        <v>0.00906</v>
      </c>
      <c r="S937" s="9">
        <v>0.8244</v>
      </c>
      <c r="T937" s="9">
        <v>0.6176</v>
      </c>
      <c r="U937" s="2" t="s">
        <v>4447</v>
      </c>
      <c r="V937" s="9">
        <v>0.8423</v>
      </c>
      <c r="W937" s="2" t="s">
        <v>1884</v>
      </c>
      <c r="X937" s="2" t="s">
        <v>517</v>
      </c>
      <c r="Y937" s="2" t="s">
        <v>4174</v>
      </c>
      <c r="Z937" s="9">
        <v>0.7393</v>
      </c>
      <c r="AA937" s="9">
        <v>0.8244</v>
      </c>
      <c r="AB937" s="9">
        <v>0.8423</v>
      </c>
      <c r="AC937" s="9">
        <v>0.1702</v>
      </c>
      <c r="AD937" s="9" t="str">
        <f t="shared" si="1"/>
        <v>#REF!</v>
      </c>
    </row>
    <row r="938" hidden="1">
      <c r="A938" s="2" t="s">
        <v>334</v>
      </c>
      <c r="B938" s="2" t="s">
        <v>503</v>
      </c>
      <c r="C938" s="2" t="s">
        <v>119</v>
      </c>
      <c r="D938" s="2" t="s">
        <v>64</v>
      </c>
      <c r="E938" s="7" t="b">
        <v>1</v>
      </c>
      <c r="F938" s="9">
        <v>135.0</v>
      </c>
      <c r="G938" s="9">
        <v>9.89443850520311</v>
      </c>
      <c r="H938" s="9">
        <v>0.0011748</v>
      </c>
      <c r="I938" s="7" t="b">
        <v>1</v>
      </c>
      <c r="J938" s="9">
        <v>0.0</v>
      </c>
      <c r="K938" s="7" t="b">
        <v>0</v>
      </c>
      <c r="L938" s="9">
        <v>145.0</v>
      </c>
      <c r="M938" s="9">
        <v>1.0741</v>
      </c>
      <c r="N938" s="2" t="s">
        <v>1551</v>
      </c>
      <c r="O938" s="2" t="s">
        <v>402</v>
      </c>
      <c r="P938" s="9">
        <v>50.14</v>
      </c>
      <c r="Q938" s="9">
        <v>39.0</v>
      </c>
      <c r="R938" s="9">
        <v>0.0</v>
      </c>
      <c r="S938" s="9">
        <v>0.4668</v>
      </c>
      <c r="T938" s="9">
        <v>0.755</v>
      </c>
      <c r="U938" s="2" t="s">
        <v>2718</v>
      </c>
      <c r="V938" s="9">
        <v>0.8833</v>
      </c>
      <c r="W938" s="2" t="s">
        <v>157</v>
      </c>
      <c r="X938" s="2" t="s">
        <v>1466</v>
      </c>
      <c r="Y938" s="2" t="s">
        <v>2821</v>
      </c>
      <c r="Z938" s="9">
        <v>0.3786</v>
      </c>
      <c r="AA938" s="9">
        <v>0.4668</v>
      </c>
      <c r="AB938" s="9">
        <v>0.8833</v>
      </c>
      <c r="AC938" s="9">
        <v>0.1841</v>
      </c>
      <c r="AD938" s="9" t="str">
        <f t="shared" si="1"/>
        <v>#REF!</v>
      </c>
    </row>
    <row r="939" hidden="1">
      <c r="A939" s="2" t="s">
        <v>334</v>
      </c>
      <c r="B939" s="2" t="s">
        <v>942</v>
      </c>
      <c r="C939" s="2" t="s">
        <v>119</v>
      </c>
      <c r="D939" s="2" t="s">
        <v>64</v>
      </c>
      <c r="E939" s="7" t="b">
        <v>1</v>
      </c>
      <c r="F939" s="9">
        <v>1553.0</v>
      </c>
      <c r="G939" s="9">
        <v>3.805316877972213</v>
      </c>
      <c r="H939" s="9">
        <v>0.0015878646490663</v>
      </c>
      <c r="I939" s="7" t="b">
        <v>1</v>
      </c>
      <c r="J939" s="9">
        <v>0.0</v>
      </c>
      <c r="K939" s="7" t="b">
        <v>0</v>
      </c>
      <c r="L939" s="9">
        <v>7399.0</v>
      </c>
      <c r="M939" s="9">
        <v>4.7643</v>
      </c>
      <c r="N939" s="2" t="s">
        <v>4090</v>
      </c>
      <c r="O939" s="2" t="s">
        <v>4660</v>
      </c>
      <c r="P939" s="9">
        <v>52.0</v>
      </c>
      <c r="Q939" s="9">
        <v>42.0</v>
      </c>
      <c r="R939" s="9">
        <v>0.010187</v>
      </c>
      <c r="S939" s="9">
        <v>0.8158</v>
      </c>
      <c r="T939" s="9">
        <v>0.5769</v>
      </c>
      <c r="U939" s="2" t="s">
        <v>2878</v>
      </c>
      <c r="V939" s="9">
        <v>0.8383</v>
      </c>
      <c r="W939" s="2" t="s">
        <v>1821</v>
      </c>
      <c r="X939" s="2" t="s">
        <v>495</v>
      </c>
      <c r="Y939" s="2" t="s">
        <v>2889</v>
      </c>
      <c r="Z939" s="9">
        <v>0.7368</v>
      </c>
      <c r="AA939" s="9">
        <v>0.8158</v>
      </c>
      <c r="AB939" s="9">
        <v>0.8383</v>
      </c>
      <c r="AC939" s="9">
        <v>0.1578</v>
      </c>
      <c r="AD939" s="9" t="str">
        <f t="shared" si="1"/>
        <v>#REF!</v>
      </c>
    </row>
    <row r="940" hidden="1">
      <c r="A940" s="2" t="s">
        <v>334</v>
      </c>
      <c r="B940" s="2" t="s">
        <v>997</v>
      </c>
      <c r="C940" s="2" t="s">
        <v>119</v>
      </c>
      <c r="D940" s="2" t="s">
        <v>64</v>
      </c>
      <c r="E940" s="7" t="b">
        <v>1</v>
      </c>
      <c r="F940" s="9">
        <v>1474.0</v>
      </c>
      <c r="G940" s="9">
        <v>17.01453547540752</v>
      </c>
      <c r="H940" s="9">
        <v>0.0283920230664857</v>
      </c>
      <c r="I940" s="7" t="b">
        <v>1</v>
      </c>
      <c r="J940" s="9">
        <v>0.0</v>
      </c>
      <c r="K940" s="7" t="b">
        <v>0</v>
      </c>
      <c r="L940" s="9">
        <v>685.0</v>
      </c>
      <c r="M940" s="9">
        <v>0.4647</v>
      </c>
      <c r="N940" s="2" t="s">
        <v>4550</v>
      </c>
      <c r="O940" s="2" t="s">
        <v>4661</v>
      </c>
      <c r="P940" s="9">
        <v>59.12</v>
      </c>
      <c r="Q940" s="9">
        <v>53.0</v>
      </c>
      <c r="R940" s="9">
        <v>0.018692</v>
      </c>
      <c r="S940" s="9">
        <v>0.7762</v>
      </c>
      <c r="T940" s="9">
        <v>0.9694</v>
      </c>
      <c r="U940" s="2" t="s">
        <v>572</v>
      </c>
      <c r="V940" s="9">
        <v>0.0</v>
      </c>
      <c r="W940" s="2" t="s">
        <v>157</v>
      </c>
      <c r="X940" s="2" t="s">
        <v>517</v>
      </c>
      <c r="Y940" s="2" t="s">
        <v>4555</v>
      </c>
      <c r="Z940" s="9">
        <v>0.6204</v>
      </c>
      <c r="AA940" s="9">
        <v>0.7762</v>
      </c>
      <c r="AB940" s="9">
        <v>0.0</v>
      </c>
      <c r="AC940" s="9">
        <v>0.7487</v>
      </c>
      <c r="AD940" s="9" t="str">
        <f t="shared" si="1"/>
        <v>#REF!</v>
      </c>
    </row>
    <row r="941" hidden="1">
      <c r="A941" s="2" t="s">
        <v>346</v>
      </c>
      <c r="B941" s="2" t="s">
        <v>534</v>
      </c>
      <c r="C941" s="2" t="s">
        <v>119</v>
      </c>
      <c r="D941" s="2" t="s">
        <v>64</v>
      </c>
      <c r="E941" s="7" t="b">
        <v>1</v>
      </c>
      <c r="F941" s="9">
        <v>237.0</v>
      </c>
      <c r="G941" s="9">
        <v>16.33671070841538</v>
      </c>
      <c r="H941" s="9">
        <v>0.0042863329113924</v>
      </c>
      <c r="I941" s="7" t="b">
        <v>1</v>
      </c>
      <c r="J941" s="9">
        <v>0.0</v>
      </c>
      <c r="K941" s="7" t="b">
        <v>0</v>
      </c>
      <c r="L941" s="9">
        <v>70.0</v>
      </c>
      <c r="M941" s="9">
        <v>0.2954</v>
      </c>
      <c r="N941" s="2" t="s">
        <v>2282</v>
      </c>
      <c r="O941" s="2" t="s">
        <v>2284</v>
      </c>
      <c r="P941" s="9">
        <v>81.2</v>
      </c>
      <c r="Q941" s="9">
        <v>86.0</v>
      </c>
      <c r="R941" s="9">
        <v>0.076923</v>
      </c>
      <c r="S941" s="9">
        <v>0.5322</v>
      </c>
      <c r="T941" s="9">
        <v>1.001</v>
      </c>
      <c r="U941" s="2" t="s">
        <v>2293</v>
      </c>
      <c r="V941" s="9">
        <v>0.55</v>
      </c>
      <c r="W941" s="2" t="s">
        <v>157</v>
      </c>
      <c r="X941" s="2" t="s">
        <v>495</v>
      </c>
      <c r="Y941" s="2" t="s">
        <v>4462</v>
      </c>
      <c r="Z941" s="9">
        <v>0.4146</v>
      </c>
      <c r="AA941" s="9">
        <v>0.5322</v>
      </c>
      <c r="AB941" s="9">
        <v>0.55</v>
      </c>
      <c r="AC941" s="9">
        <v>0.7942</v>
      </c>
      <c r="AD941" s="9" t="str">
        <f t="shared" si="1"/>
        <v>#REF!</v>
      </c>
    </row>
    <row r="942" hidden="1">
      <c r="A942" s="2" t="s">
        <v>346</v>
      </c>
      <c r="B942" s="2" t="s">
        <v>942</v>
      </c>
      <c r="C942" s="2" t="s">
        <v>119</v>
      </c>
      <c r="D942" s="2" t="s">
        <v>64</v>
      </c>
      <c r="E942" s="7" t="b">
        <v>1</v>
      </c>
      <c r="F942" s="9">
        <v>1662.0</v>
      </c>
      <c r="G942" s="9">
        <v>3.518901938029343</v>
      </c>
      <c r="H942" s="9">
        <v>0.0014529283393501</v>
      </c>
      <c r="I942" s="7" t="b">
        <v>1</v>
      </c>
      <c r="J942" s="9">
        <v>0.0</v>
      </c>
      <c r="K942" s="7" t="b">
        <v>0</v>
      </c>
      <c r="L942" s="9">
        <v>4998.0</v>
      </c>
      <c r="M942" s="9">
        <v>3.0072</v>
      </c>
      <c r="N942" s="2" t="s">
        <v>4662</v>
      </c>
      <c r="O942" s="2" t="s">
        <v>4663</v>
      </c>
      <c r="P942" s="9">
        <v>53.74</v>
      </c>
      <c r="Q942" s="9">
        <v>44.0</v>
      </c>
      <c r="R942" s="9">
        <v>0.011079</v>
      </c>
      <c r="S942" s="9">
        <v>0.7987</v>
      </c>
      <c r="T942" s="9">
        <v>0.6267</v>
      </c>
      <c r="U942" s="2" t="s">
        <v>4329</v>
      </c>
      <c r="V942" s="9">
        <v>0.8126</v>
      </c>
      <c r="W942" s="2" t="s">
        <v>1780</v>
      </c>
      <c r="X942" s="2" t="s">
        <v>517</v>
      </c>
      <c r="Y942" s="2" t="s">
        <v>2719</v>
      </c>
      <c r="Z942" s="9">
        <v>0.7144</v>
      </c>
      <c r="AA942" s="9">
        <v>0.7987</v>
      </c>
      <c r="AB942" s="9">
        <v>0.8126</v>
      </c>
      <c r="AC942" s="9">
        <v>0.1579</v>
      </c>
      <c r="AD942" s="9" t="str">
        <f t="shared" si="1"/>
        <v>#REF!</v>
      </c>
    </row>
    <row r="943" hidden="1">
      <c r="A943" s="2" t="s">
        <v>346</v>
      </c>
      <c r="B943" s="2" t="s">
        <v>997</v>
      </c>
      <c r="C943" s="2" t="s">
        <v>119</v>
      </c>
      <c r="D943" s="2" t="s">
        <v>64</v>
      </c>
      <c r="E943" s="7" t="b">
        <v>1</v>
      </c>
      <c r="F943" s="9">
        <v>202.0</v>
      </c>
      <c r="G943" s="9">
        <v>20.61151198600257</v>
      </c>
      <c r="H943" s="9">
        <v>0.0057882653465346</v>
      </c>
      <c r="I943" s="7" t="b">
        <v>1</v>
      </c>
      <c r="J943" s="9">
        <v>0.0</v>
      </c>
      <c r="K943" s="7" t="b">
        <v>0</v>
      </c>
      <c r="L943" s="9">
        <v>105.0</v>
      </c>
      <c r="M943" s="9">
        <v>0.5198</v>
      </c>
      <c r="N943" s="2" t="s">
        <v>2958</v>
      </c>
      <c r="O943" s="2" t="s">
        <v>2866</v>
      </c>
      <c r="P943" s="9">
        <v>61.3</v>
      </c>
      <c r="Q943" s="9">
        <v>59.0</v>
      </c>
      <c r="R943" s="9">
        <v>0.0</v>
      </c>
      <c r="S943" s="9">
        <v>0.5712</v>
      </c>
      <c r="T943" s="9">
        <v>1.001</v>
      </c>
      <c r="U943" s="2" t="s">
        <v>1957</v>
      </c>
      <c r="V943" s="9">
        <v>0.55</v>
      </c>
      <c r="W943" s="2" t="s">
        <v>157</v>
      </c>
      <c r="X943" s="2" t="s">
        <v>495</v>
      </c>
      <c r="Y943" s="2" t="s">
        <v>1718</v>
      </c>
      <c r="Z943" s="9">
        <v>0.4473</v>
      </c>
      <c r="AA943" s="9">
        <v>0.5712</v>
      </c>
      <c r="AB943" s="9">
        <v>0.55</v>
      </c>
      <c r="AC943" s="9">
        <v>0.7223</v>
      </c>
      <c r="AD943" s="9" t="str">
        <f t="shared" si="1"/>
        <v>#REF!</v>
      </c>
    </row>
    <row r="944" hidden="1">
      <c r="A944" s="2" t="s">
        <v>1371</v>
      </c>
      <c r="B944" s="2" t="s">
        <v>501</v>
      </c>
      <c r="C944" s="2" t="s">
        <v>119</v>
      </c>
      <c r="D944" s="2" t="s">
        <v>64</v>
      </c>
      <c r="E944" s="7" t="b">
        <v>1</v>
      </c>
      <c r="F944" s="9">
        <v>838.0</v>
      </c>
      <c r="G944" s="9">
        <v>3.567551654351488</v>
      </c>
      <c r="H944" s="9">
        <v>0.0014157976133651</v>
      </c>
      <c r="I944" s="7" t="b">
        <v>1</v>
      </c>
      <c r="J944" s="9">
        <v>0.0</v>
      </c>
      <c r="K944" s="7" t="b">
        <v>0</v>
      </c>
      <c r="L944" s="9">
        <v>6300.0</v>
      </c>
      <c r="M944" s="9">
        <v>7.5179</v>
      </c>
      <c r="N944" s="2" t="s">
        <v>4664</v>
      </c>
      <c r="O944" s="2" t="s">
        <v>4249</v>
      </c>
      <c r="P944" s="9">
        <v>43.19</v>
      </c>
      <c r="Q944" s="9">
        <v>38.0</v>
      </c>
      <c r="R944" s="9">
        <v>0.014713</v>
      </c>
      <c r="S944" s="9">
        <v>0.6198</v>
      </c>
      <c r="T944" s="9">
        <v>0.3113</v>
      </c>
      <c r="U944" s="2" t="s">
        <v>3343</v>
      </c>
      <c r="V944" s="9">
        <v>0.8741</v>
      </c>
      <c r="W944" s="15"/>
      <c r="X944" s="2" t="s">
        <v>517</v>
      </c>
      <c r="Y944" s="2" t="s">
        <v>1593</v>
      </c>
      <c r="Z944" s="9">
        <v>0.5914</v>
      </c>
      <c r="AA944" s="9">
        <v>0.6198</v>
      </c>
      <c r="AB944" s="9">
        <v>0.8741</v>
      </c>
      <c r="AC944" s="9">
        <v>0.1944</v>
      </c>
      <c r="AD944" s="9" t="str">
        <f t="shared" si="1"/>
        <v>#REF!</v>
      </c>
    </row>
    <row r="945">
      <c r="A945" s="2" t="s">
        <v>1371</v>
      </c>
      <c r="B945" s="2" t="s">
        <v>306</v>
      </c>
      <c r="C945" s="2" t="s">
        <v>119</v>
      </c>
      <c r="D945" s="2" t="s">
        <v>64</v>
      </c>
      <c r="E945" s="7" t="b">
        <v>1</v>
      </c>
      <c r="F945" s="9">
        <v>5127.0</v>
      </c>
      <c r="G945" s="9">
        <v>17.55714065332995</v>
      </c>
      <c r="H945" s="9">
        <v>0.4464982562902282</v>
      </c>
      <c r="I945" s="7" t="b">
        <v>1</v>
      </c>
      <c r="J945" s="9">
        <v>0.0</v>
      </c>
      <c r="K945" s="7" t="b">
        <v>0</v>
      </c>
      <c r="L945" s="9">
        <v>5598.0</v>
      </c>
      <c r="M945" s="9">
        <v>1.0919</v>
      </c>
      <c r="N945" s="2" t="s">
        <v>4665</v>
      </c>
      <c r="O945" s="2" t="s">
        <v>4666</v>
      </c>
      <c r="P945" s="9">
        <v>48.06</v>
      </c>
      <c r="Q945" s="9">
        <v>44.0</v>
      </c>
      <c r="R945" s="9">
        <v>0.060104</v>
      </c>
      <c r="S945" s="9">
        <v>0.9653</v>
      </c>
      <c r="T945" s="9">
        <v>0.9698</v>
      </c>
      <c r="U945" s="2" t="s">
        <v>1275</v>
      </c>
      <c r="V945" s="9">
        <v>0.8908</v>
      </c>
      <c r="W945" s="2" t="s">
        <v>82</v>
      </c>
      <c r="X945" s="2" t="s">
        <v>99</v>
      </c>
      <c r="Y945" s="2" t="s">
        <v>1515</v>
      </c>
      <c r="Z945" s="9">
        <v>0.8566</v>
      </c>
      <c r="AA945" s="9">
        <v>0.9653</v>
      </c>
      <c r="AB945" s="9">
        <v>0.8908</v>
      </c>
      <c r="AC945" s="9">
        <v>0.8671</v>
      </c>
      <c r="AD945" s="9" t="str">
        <f t="shared" si="1"/>
        <v>#REF!</v>
      </c>
    </row>
    <row r="946" hidden="1">
      <c r="A946" s="2" t="s">
        <v>1371</v>
      </c>
      <c r="B946" s="2" t="s">
        <v>997</v>
      </c>
      <c r="C946" s="2" t="s">
        <v>119</v>
      </c>
      <c r="D946" s="2" t="s">
        <v>64</v>
      </c>
      <c r="E946" s="7" t="b">
        <v>1</v>
      </c>
      <c r="F946" s="9">
        <v>99.0</v>
      </c>
      <c r="G946" s="9">
        <v>12.66163109640678</v>
      </c>
      <c r="H946" s="9">
        <v>0.0010723908080808</v>
      </c>
      <c r="I946" s="7" t="b">
        <v>1</v>
      </c>
      <c r="J946" s="9">
        <v>0.0</v>
      </c>
      <c r="K946" s="7" t="b">
        <v>0</v>
      </c>
      <c r="L946" s="9">
        <v>33.0</v>
      </c>
      <c r="M946" s="9">
        <v>0.3333</v>
      </c>
      <c r="N946" s="2" t="s">
        <v>2016</v>
      </c>
      <c r="O946" s="2" t="s">
        <v>1462</v>
      </c>
      <c r="P946" s="9">
        <v>55.27</v>
      </c>
      <c r="Q946" s="9">
        <v>48.0</v>
      </c>
      <c r="R946" s="9">
        <v>0.0</v>
      </c>
      <c r="S946" s="9">
        <v>0.4316</v>
      </c>
      <c r="T946" s="9">
        <v>1.0003</v>
      </c>
      <c r="U946" s="2" t="s">
        <v>1957</v>
      </c>
      <c r="V946" s="9">
        <v>0.0</v>
      </c>
      <c r="W946" s="2" t="s">
        <v>1657</v>
      </c>
      <c r="X946" s="2" t="s">
        <v>1466</v>
      </c>
      <c r="Y946" s="2" t="s">
        <v>2849</v>
      </c>
      <c r="Z946" s="9">
        <v>0.3361</v>
      </c>
      <c r="AA946" s="9">
        <v>0.4316</v>
      </c>
      <c r="AB946" s="9">
        <v>0.0</v>
      </c>
      <c r="AC946" s="9">
        <v>0.7088</v>
      </c>
      <c r="AD946" s="9" t="str">
        <f t="shared" si="1"/>
        <v>#REF!</v>
      </c>
    </row>
    <row r="947" hidden="1">
      <c r="A947" s="2" t="s">
        <v>1371</v>
      </c>
      <c r="B947" s="2" t="s">
        <v>1015</v>
      </c>
      <c r="C947" s="2" t="s">
        <v>119</v>
      </c>
      <c r="D947" s="2" t="s">
        <v>64</v>
      </c>
      <c r="E947" s="7" t="b">
        <v>1</v>
      </c>
      <c r="F947" s="9">
        <v>117.0</v>
      </c>
      <c r="G947" s="9">
        <v>9.902375939910648</v>
      </c>
      <c r="H947" s="9">
        <v>0.0028539333333333</v>
      </c>
      <c r="I947" s="7" t="b">
        <v>1</v>
      </c>
      <c r="J947" s="9">
        <v>0.0</v>
      </c>
      <c r="K947" s="7" t="b">
        <v>0</v>
      </c>
      <c r="L947" s="9">
        <v>31.0</v>
      </c>
      <c r="M947" s="9">
        <v>0.265</v>
      </c>
      <c r="N947" s="2" t="s">
        <v>2016</v>
      </c>
      <c r="O947" s="2" t="s">
        <v>1462</v>
      </c>
      <c r="P947" s="9">
        <v>46.74</v>
      </c>
      <c r="Q947" s="9">
        <v>37.0</v>
      </c>
      <c r="R947" s="9">
        <v>0.0</v>
      </c>
      <c r="S947" s="9">
        <v>0.4023</v>
      </c>
      <c r="T947" s="9">
        <v>0.954</v>
      </c>
      <c r="U947" s="2" t="s">
        <v>2426</v>
      </c>
      <c r="V947" s="15"/>
      <c r="W947" s="2" t="s">
        <v>134</v>
      </c>
      <c r="X947" s="2" t="s">
        <v>182</v>
      </c>
      <c r="Y947" s="2" t="s">
        <v>1491</v>
      </c>
      <c r="Z947" s="9">
        <v>0.3266</v>
      </c>
      <c r="AA947" s="9">
        <v>0.4023</v>
      </c>
      <c r="AB947" s="15"/>
      <c r="AC947" s="9">
        <v>0.1457</v>
      </c>
      <c r="AD947" s="9" t="str">
        <f t="shared" si="1"/>
        <v>#REF!</v>
      </c>
    </row>
    <row r="948" hidden="1">
      <c r="A948" s="2" t="s">
        <v>1371</v>
      </c>
      <c r="B948" s="2" t="s">
        <v>1024</v>
      </c>
      <c r="C948" s="2" t="s">
        <v>119</v>
      </c>
      <c r="D948" s="2" t="s">
        <v>64</v>
      </c>
      <c r="E948" s="7" t="b">
        <v>1</v>
      </c>
      <c r="F948" s="9">
        <v>3336.0</v>
      </c>
      <c r="G948" s="9">
        <v>19.19581231863985</v>
      </c>
      <c r="H948" s="9">
        <v>0.0403085368705036</v>
      </c>
      <c r="I948" s="7" t="b">
        <v>1</v>
      </c>
      <c r="J948" s="9">
        <v>0.0</v>
      </c>
      <c r="K948" s="7" t="b">
        <v>0</v>
      </c>
      <c r="L948" s="9">
        <v>67.0</v>
      </c>
      <c r="M948" s="9">
        <v>0.0201</v>
      </c>
      <c r="N948" s="2" t="s">
        <v>2329</v>
      </c>
      <c r="O948" s="2" t="s">
        <v>1629</v>
      </c>
      <c r="P948" s="9">
        <v>46.12</v>
      </c>
      <c r="Q948" s="9">
        <v>41.0</v>
      </c>
      <c r="R948" s="9">
        <v>0.083333</v>
      </c>
      <c r="S948" s="9">
        <v>0.4499</v>
      </c>
      <c r="T948" s="9">
        <v>0.868</v>
      </c>
      <c r="U948" s="2" t="s">
        <v>2450</v>
      </c>
      <c r="V948" s="9">
        <v>0.0</v>
      </c>
      <c r="W948" s="2" t="s">
        <v>82</v>
      </c>
      <c r="X948" s="2" t="s">
        <v>517</v>
      </c>
      <c r="Y948" s="2" t="s">
        <v>1437</v>
      </c>
      <c r="Z948" s="9">
        <v>0.3567</v>
      </c>
      <c r="AA948" s="9">
        <v>0.4499</v>
      </c>
      <c r="AB948" s="9">
        <v>0.0</v>
      </c>
      <c r="AC948" s="9">
        <v>0.1676</v>
      </c>
      <c r="AD948" s="9" t="str">
        <f t="shared" si="1"/>
        <v>#REF!</v>
      </c>
    </row>
    <row r="949" hidden="1">
      <c r="A949" s="2" t="s">
        <v>1554</v>
      </c>
      <c r="B949" s="2" t="s">
        <v>526</v>
      </c>
      <c r="C949" s="2" t="s">
        <v>119</v>
      </c>
      <c r="D949" s="2" t="s">
        <v>64</v>
      </c>
      <c r="E949" s="7" t="b">
        <v>1</v>
      </c>
      <c r="F949" s="9">
        <v>239.0</v>
      </c>
      <c r="G949" s="9">
        <v>17.08047065259917</v>
      </c>
      <c r="H949" s="9">
        <v>0.0010917955648535</v>
      </c>
      <c r="I949" s="7" t="b">
        <v>1</v>
      </c>
      <c r="J949" s="9">
        <v>0.0</v>
      </c>
      <c r="K949" s="7" t="b">
        <v>0</v>
      </c>
      <c r="L949" s="9">
        <v>186.0</v>
      </c>
      <c r="M949" s="9">
        <v>0.7782</v>
      </c>
      <c r="N949" s="2" t="s">
        <v>1784</v>
      </c>
      <c r="O949" s="2" t="s">
        <v>1426</v>
      </c>
      <c r="P949" s="9">
        <v>88.52</v>
      </c>
      <c r="Q949" s="9">
        <v>74.0</v>
      </c>
      <c r="R949" s="9">
        <v>0.176471</v>
      </c>
      <c r="S949" s="9">
        <v>0.5981</v>
      </c>
      <c r="T949" s="9">
        <v>0.9953</v>
      </c>
      <c r="U949" s="2" t="s">
        <v>1562</v>
      </c>
      <c r="V949" s="9">
        <v>0.424</v>
      </c>
      <c r="W949" s="2" t="s">
        <v>82</v>
      </c>
      <c r="X949" s="2" t="s">
        <v>237</v>
      </c>
      <c r="Y949" s="2" t="s">
        <v>4667</v>
      </c>
      <c r="Z949" s="9">
        <v>0.4781</v>
      </c>
      <c r="AA949" s="9">
        <v>0.5981</v>
      </c>
      <c r="AB949" s="9">
        <v>0.424</v>
      </c>
      <c r="AC949" s="9">
        <v>0.6717</v>
      </c>
      <c r="AD949" s="9" t="str">
        <f t="shared" si="1"/>
        <v>#REF!</v>
      </c>
    </row>
    <row r="950" hidden="1">
      <c r="A950" s="2" t="s">
        <v>1554</v>
      </c>
      <c r="B950" s="2" t="s">
        <v>997</v>
      </c>
      <c r="C950" s="2" t="s">
        <v>119</v>
      </c>
      <c r="D950" s="2" t="s">
        <v>64</v>
      </c>
      <c r="E950" s="7" t="b">
        <v>1</v>
      </c>
      <c r="F950" s="9">
        <v>5900.0</v>
      </c>
      <c r="G950" s="9">
        <v>59.3494636515962</v>
      </c>
      <c r="H950" s="9">
        <v>1.14799393220339</v>
      </c>
      <c r="I950" s="7" t="b">
        <v>1</v>
      </c>
      <c r="J950" s="9">
        <v>0.0</v>
      </c>
      <c r="K950" s="7" t="b">
        <v>0</v>
      </c>
      <c r="L950" s="9">
        <v>2602.0</v>
      </c>
      <c r="M950" s="9">
        <v>0.441</v>
      </c>
      <c r="N950" s="2" t="s">
        <v>633</v>
      </c>
      <c r="O950" s="2" t="s">
        <v>4668</v>
      </c>
      <c r="P950" s="9">
        <v>105.99</v>
      </c>
      <c r="Q950" s="9">
        <v>94.0</v>
      </c>
      <c r="R950" s="9">
        <v>0.067532</v>
      </c>
      <c r="S950" s="9">
        <v>0.893</v>
      </c>
      <c r="T950" s="9">
        <v>0.983</v>
      </c>
      <c r="U950" s="2" t="s">
        <v>1701</v>
      </c>
      <c r="V950" s="9">
        <v>0.7335</v>
      </c>
      <c r="W950" s="2" t="s">
        <v>82</v>
      </c>
      <c r="X950" s="2" t="s">
        <v>84</v>
      </c>
      <c r="Y950" s="2" t="s">
        <v>4179</v>
      </c>
      <c r="Z950" s="9">
        <v>0.7478</v>
      </c>
      <c r="AA950" s="9">
        <v>0.893</v>
      </c>
      <c r="AB950" s="9">
        <v>0.7335</v>
      </c>
      <c r="AC950" s="9">
        <v>0.6589</v>
      </c>
      <c r="AD950" s="9" t="str">
        <f t="shared" si="1"/>
        <v>#REF!</v>
      </c>
    </row>
    <row r="951" hidden="1">
      <c r="A951" s="2" t="s">
        <v>1219</v>
      </c>
      <c r="B951" s="2" t="s">
        <v>982</v>
      </c>
      <c r="C951" s="2" t="s">
        <v>119</v>
      </c>
      <c r="D951" s="2" t="s">
        <v>64</v>
      </c>
      <c r="E951" s="7" t="b">
        <v>1</v>
      </c>
      <c r="F951" s="9">
        <v>71.0</v>
      </c>
      <c r="G951" s="9">
        <v>16.08396833599743</v>
      </c>
      <c r="H951" s="9">
        <v>0.0088216352112676</v>
      </c>
      <c r="I951" s="7" t="b">
        <v>1</v>
      </c>
      <c r="J951" s="9">
        <v>0.0</v>
      </c>
      <c r="K951" s="7" t="b">
        <v>0</v>
      </c>
      <c r="L951" s="9">
        <v>140.0</v>
      </c>
      <c r="M951" s="9">
        <v>1.9718</v>
      </c>
      <c r="N951" s="2" t="s">
        <v>1715</v>
      </c>
      <c r="O951" s="2" t="s">
        <v>1334</v>
      </c>
      <c r="P951" s="9">
        <v>79.59</v>
      </c>
      <c r="Q951" s="9">
        <v>72.5</v>
      </c>
      <c r="R951" s="9">
        <v>0.193548</v>
      </c>
      <c r="S951" s="9">
        <v>0.6435</v>
      </c>
      <c r="T951" s="9">
        <v>1.0029</v>
      </c>
      <c r="U951" s="2" t="s">
        <v>788</v>
      </c>
      <c r="V951" s="9">
        <v>0.0508</v>
      </c>
      <c r="W951" s="2" t="s">
        <v>82</v>
      </c>
      <c r="X951" s="2" t="s">
        <v>237</v>
      </c>
      <c r="Y951" s="2" t="s">
        <v>1810</v>
      </c>
      <c r="Z951" s="9">
        <v>0.5008</v>
      </c>
      <c r="AA951" s="9">
        <v>0.6435</v>
      </c>
      <c r="AB951" s="9">
        <v>0.0508</v>
      </c>
      <c r="AC951" s="9">
        <v>0.6856</v>
      </c>
      <c r="AD951" s="9" t="str">
        <f t="shared" si="1"/>
        <v>#REF!</v>
      </c>
    </row>
    <row r="952" hidden="1">
      <c r="A952" s="2" t="s">
        <v>1219</v>
      </c>
      <c r="B952" s="2" t="s">
        <v>997</v>
      </c>
      <c r="C952" s="2" t="s">
        <v>119</v>
      </c>
      <c r="D952" s="2" t="s">
        <v>64</v>
      </c>
      <c r="E952" s="7" t="b">
        <v>1</v>
      </c>
      <c r="F952" s="9">
        <v>73.0</v>
      </c>
      <c r="G952" s="9">
        <v>27.38733103489708</v>
      </c>
      <c r="H952" s="9">
        <v>0.0036976684931506</v>
      </c>
      <c r="I952" s="7" t="b">
        <v>1</v>
      </c>
      <c r="J952" s="9">
        <v>0.0</v>
      </c>
      <c r="K952" s="7" t="b">
        <v>0</v>
      </c>
      <c r="L952" s="9">
        <v>30.0</v>
      </c>
      <c r="M952" s="9">
        <v>0.411</v>
      </c>
      <c r="N952" s="2" t="s">
        <v>1628</v>
      </c>
      <c r="O952" s="2" t="s">
        <v>1629</v>
      </c>
      <c r="P952" s="9">
        <v>83.33</v>
      </c>
      <c r="Q952" s="9">
        <v>71.5</v>
      </c>
      <c r="R952" s="9">
        <v>0.0</v>
      </c>
      <c r="S952" s="9">
        <v>0.4198</v>
      </c>
      <c r="T952" s="9">
        <v>1.0004</v>
      </c>
      <c r="U952" s="2" t="s">
        <v>825</v>
      </c>
      <c r="V952" s="9">
        <v>0.0</v>
      </c>
      <c r="W952" s="2" t="s">
        <v>157</v>
      </c>
      <c r="X952" s="2" t="s">
        <v>1466</v>
      </c>
      <c r="Y952" s="2" t="s">
        <v>2849</v>
      </c>
      <c r="Z952" s="9">
        <v>0.3269</v>
      </c>
      <c r="AA952" s="9">
        <v>0.4198</v>
      </c>
      <c r="AB952" s="9">
        <v>0.0</v>
      </c>
      <c r="AC952" s="9">
        <v>0.6765</v>
      </c>
      <c r="AD952" s="9" t="str">
        <f t="shared" si="1"/>
        <v>#REF!</v>
      </c>
    </row>
    <row r="953" hidden="1">
      <c r="A953" s="2" t="s">
        <v>977</v>
      </c>
      <c r="B953" s="2" t="s">
        <v>942</v>
      </c>
      <c r="C953" s="2" t="s">
        <v>119</v>
      </c>
      <c r="D953" s="2" t="s">
        <v>64</v>
      </c>
      <c r="E953" s="7" t="b">
        <v>1</v>
      </c>
      <c r="F953" s="9">
        <v>866.0</v>
      </c>
      <c r="G953" s="9">
        <v>4.860181466987348</v>
      </c>
      <c r="H953" s="9">
        <v>0.001445812586605</v>
      </c>
      <c r="I953" s="7" t="b">
        <v>1</v>
      </c>
      <c r="J953" s="9">
        <v>0.0</v>
      </c>
      <c r="K953" s="7" t="b">
        <v>0</v>
      </c>
      <c r="L953" s="9">
        <v>3501.0</v>
      </c>
      <c r="M953" s="9">
        <v>4.0427</v>
      </c>
      <c r="N953" s="2" t="s">
        <v>4669</v>
      </c>
      <c r="O953" s="2" t="s">
        <v>1928</v>
      </c>
      <c r="P953" s="9">
        <v>55.38</v>
      </c>
      <c r="Q953" s="9">
        <v>48.0</v>
      </c>
      <c r="R953" s="9">
        <v>0.008518</v>
      </c>
      <c r="S953" s="9">
        <v>0.7986</v>
      </c>
      <c r="T953" s="9">
        <v>0.701</v>
      </c>
      <c r="U953" s="2" t="s">
        <v>2987</v>
      </c>
      <c r="V953" s="9">
        <v>0.7399</v>
      </c>
      <c r="W953" s="2" t="s">
        <v>1780</v>
      </c>
      <c r="X953" s="2" t="s">
        <v>1466</v>
      </c>
      <c r="Y953" s="2" t="s">
        <v>2937</v>
      </c>
      <c r="Z953" s="9">
        <v>0.702</v>
      </c>
      <c r="AA953" s="9">
        <v>0.7986</v>
      </c>
      <c r="AB953" s="9">
        <v>0.7399</v>
      </c>
      <c r="AC953" s="9">
        <v>0.1612</v>
      </c>
      <c r="AD953" s="9" t="str">
        <f t="shared" si="1"/>
        <v>#REF!</v>
      </c>
    </row>
    <row r="954" hidden="1">
      <c r="A954" s="2" t="s">
        <v>891</v>
      </c>
      <c r="B954" s="2" t="s">
        <v>441</v>
      </c>
      <c r="C954" s="2" t="s">
        <v>119</v>
      </c>
      <c r="D954" s="2" t="s">
        <v>64</v>
      </c>
      <c r="E954" s="7" t="b">
        <v>1</v>
      </c>
      <c r="F954" s="9">
        <v>68.0</v>
      </c>
      <c r="G954" s="9">
        <v>6.902448295886583</v>
      </c>
      <c r="H954" s="9">
        <v>0.0011407735294117</v>
      </c>
      <c r="I954" s="7" t="b">
        <v>1</v>
      </c>
      <c r="J954" s="9">
        <v>0.0</v>
      </c>
      <c r="K954" s="7" t="b">
        <v>0</v>
      </c>
      <c r="L954" s="9">
        <v>16.0</v>
      </c>
      <c r="M954" s="9">
        <v>0.2353</v>
      </c>
      <c r="N954" s="2" t="s">
        <v>1485</v>
      </c>
      <c r="O954" s="2" t="s">
        <v>1486</v>
      </c>
      <c r="P954" s="9">
        <v>46.44</v>
      </c>
      <c r="Q954" s="9">
        <v>41.0</v>
      </c>
      <c r="R954" s="9">
        <v>0.0</v>
      </c>
      <c r="S954" s="9">
        <v>0.341</v>
      </c>
      <c r="T954" s="9">
        <v>1.0001</v>
      </c>
      <c r="U954" s="2" t="s">
        <v>2843</v>
      </c>
      <c r="V954" s="9">
        <v>0.0</v>
      </c>
      <c r="W954" s="2" t="s">
        <v>1657</v>
      </c>
      <c r="X954" s="2" t="s">
        <v>1521</v>
      </c>
      <c r="Y954" s="2" t="s">
        <v>1491</v>
      </c>
      <c r="Z954" s="9">
        <v>0.2657</v>
      </c>
      <c r="AA954" s="9">
        <v>0.341</v>
      </c>
      <c r="AB954" s="9">
        <v>0.0</v>
      </c>
      <c r="AC954" s="9">
        <v>0.1272</v>
      </c>
      <c r="AD954" s="9" t="str">
        <f t="shared" si="1"/>
        <v>#REF!</v>
      </c>
    </row>
    <row r="955" hidden="1">
      <c r="A955" s="2" t="s">
        <v>891</v>
      </c>
      <c r="B955" s="2" t="s">
        <v>997</v>
      </c>
      <c r="C955" s="2" t="s">
        <v>119</v>
      </c>
      <c r="D955" s="2" t="s">
        <v>64</v>
      </c>
      <c r="E955" s="7" t="b">
        <v>1</v>
      </c>
      <c r="F955" s="9">
        <v>1188.0</v>
      </c>
      <c r="G955" s="9">
        <v>24.95858137921545</v>
      </c>
      <c r="H955" s="9">
        <v>0.0491050202020202</v>
      </c>
      <c r="I955" s="7" t="b">
        <v>1</v>
      </c>
      <c r="J955" s="9">
        <v>0.0</v>
      </c>
      <c r="K955" s="7" t="b">
        <v>0</v>
      </c>
      <c r="L955" s="9">
        <v>623.0</v>
      </c>
      <c r="M955" s="9">
        <v>0.5244</v>
      </c>
      <c r="N955" s="2" t="s">
        <v>1997</v>
      </c>
      <c r="O955" s="2" t="s">
        <v>4670</v>
      </c>
      <c r="P955" s="9">
        <v>69.13</v>
      </c>
      <c r="Q955" s="9">
        <v>66.0</v>
      </c>
      <c r="R955" s="9">
        <v>0.02439</v>
      </c>
      <c r="S955" s="9">
        <v>0.7754</v>
      </c>
      <c r="T955" s="9">
        <v>1.0009</v>
      </c>
      <c r="U955" s="2" t="s">
        <v>1861</v>
      </c>
      <c r="V955" s="9">
        <v>0.7824</v>
      </c>
      <c r="W955" s="2" t="s">
        <v>157</v>
      </c>
      <c r="X955" s="2" t="s">
        <v>237</v>
      </c>
      <c r="Y955" s="2" t="s">
        <v>1703</v>
      </c>
      <c r="Z955" s="9">
        <v>0.6175</v>
      </c>
      <c r="AA955" s="9">
        <v>0.7754</v>
      </c>
      <c r="AB955" s="9">
        <v>0.7824</v>
      </c>
      <c r="AC955" s="9">
        <v>0.7973</v>
      </c>
      <c r="AD955" s="9" t="str">
        <f t="shared" si="1"/>
        <v>#REF!</v>
      </c>
    </row>
    <row r="956" hidden="1">
      <c r="A956" s="2" t="s">
        <v>965</v>
      </c>
      <c r="B956" s="2" t="s">
        <v>534</v>
      </c>
      <c r="C956" s="2" t="s">
        <v>119</v>
      </c>
      <c r="D956" s="2" t="s">
        <v>64</v>
      </c>
      <c r="E956" s="7" t="b">
        <v>1</v>
      </c>
      <c r="F956" s="9">
        <v>304.0</v>
      </c>
      <c r="G956" s="9">
        <v>9.69995143915488</v>
      </c>
      <c r="H956" s="9">
        <v>0.0019391269736842</v>
      </c>
      <c r="I956" s="7" t="b">
        <v>1</v>
      </c>
      <c r="J956" s="9">
        <v>0.0</v>
      </c>
      <c r="K956" s="7" t="b">
        <v>0</v>
      </c>
      <c r="L956" s="9">
        <v>57.0</v>
      </c>
      <c r="M956" s="9">
        <v>0.1875</v>
      </c>
      <c r="N956" s="2" t="s">
        <v>1460</v>
      </c>
      <c r="O956" s="2" t="s">
        <v>1912</v>
      </c>
      <c r="P956" s="9">
        <v>75.98</v>
      </c>
      <c r="Q956" s="9">
        <v>82.0</v>
      </c>
      <c r="R956" s="9">
        <v>0.0</v>
      </c>
      <c r="S956" s="9">
        <v>0.4905</v>
      </c>
      <c r="T956" s="9">
        <v>0.9786</v>
      </c>
      <c r="U956" s="2" t="s">
        <v>2516</v>
      </c>
      <c r="V956" s="15"/>
      <c r="W956" s="2" t="s">
        <v>157</v>
      </c>
      <c r="X956" s="2" t="s">
        <v>182</v>
      </c>
      <c r="Y956" s="2" t="s">
        <v>3170</v>
      </c>
      <c r="Z956" s="9">
        <v>0.3865</v>
      </c>
      <c r="AA956" s="9">
        <v>0.4905</v>
      </c>
      <c r="AB956" s="15"/>
      <c r="AC956" s="9">
        <v>0.7295</v>
      </c>
      <c r="AD956" s="9" t="str">
        <f t="shared" si="1"/>
        <v>#REF!</v>
      </c>
    </row>
    <row r="957" hidden="1">
      <c r="A957" s="2" t="s">
        <v>487</v>
      </c>
      <c r="B957" s="2" t="s">
        <v>503</v>
      </c>
      <c r="C957" s="2" t="s">
        <v>119</v>
      </c>
      <c r="D957" s="2" t="s">
        <v>64</v>
      </c>
      <c r="E957" s="7" t="b">
        <v>1</v>
      </c>
      <c r="F957" s="9">
        <v>271.0</v>
      </c>
      <c r="G957" s="9">
        <v>9.186722149827997</v>
      </c>
      <c r="H957" s="9">
        <v>0.0020318147601476</v>
      </c>
      <c r="I957" s="7" t="b">
        <v>1</v>
      </c>
      <c r="J957" s="9">
        <v>0.0</v>
      </c>
      <c r="K957" s="7" t="b">
        <v>0</v>
      </c>
      <c r="L957" s="9">
        <v>160.0</v>
      </c>
      <c r="M957" s="9">
        <v>0.5904</v>
      </c>
      <c r="N957" s="2" t="s">
        <v>1475</v>
      </c>
      <c r="O957" s="2" t="s">
        <v>1533</v>
      </c>
      <c r="P957" s="9">
        <v>66.24</v>
      </c>
      <c r="Q957" s="9">
        <v>57.0</v>
      </c>
      <c r="R957" s="9">
        <v>0.028571</v>
      </c>
      <c r="S957" s="9">
        <v>0.5384</v>
      </c>
      <c r="T957" s="9">
        <v>0.9023</v>
      </c>
      <c r="U957" s="2" t="s">
        <v>2193</v>
      </c>
      <c r="V957" s="9">
        <v>0.7847</v>
      </c>
      <c r="W957" s="2" t="s">
        <v>157</v>
      </c>
      <c r="X957" s="2" t="s">
        <v>495</v>
      </c>
      <c r="Y957" s="2" t="s">
        <v>1980</v>
      </c>
      <c r="Z957" s="9">
        <v>0.4372</v>
      </c>
      <c r="AA957" s="9">
        <v>0.5384</v>
      </c>
      <c r="AB957" s="9">
        <v>0.7847</v>
      </c>
      <c r="AC957" s="9">
        <v>0.1534</v>
      </c>
      <c r="AD957" s="9" t="str">
        <f t="shared" si="1"/>
        <v>#REF!</v>
      </c>
    </row>
    <row r="958" hidden="1">
      <c r="A958" s="2" t="s">
        <v>487</v>
      </c>
      <c r="B958" s="2" t="s">
        <v>1093</v>
      </c>
      <c r="C958" s="2" t="s">
        <v>119</v>
      </c>
      <c r="D958" s="2" t="s">
        <v>64</v>
      </c>
      <c r="E958" s="7" t="b">
        <v>1</v>
      </c>
      <c r="F958" s="9">
        <v>54.0</v>
      </c>
      <c r="G958" s="9">
        <v>9.286418733409072</v>
      </c>
      <c r="H958" s="9">
        <v>0.0057425925925925</v>
      </c>
      <c r="I958" s="7" t="b">
        <v>1</v>
      </c>
      <c r="J958" s="9">
        <v>0.0</v>
      </c>
      <c r="K958" s="7" t="b">
        <v>0</v>
      </c>
      <c r="L958" s="9">
        <v>407.0</v>
      </c>
      <c r="M958" s="9">
        <v>7.537</v>
      </c>
      <c r="N958" s="2" t="s">
        <v>4671</v>
      </c>
      <c r="O958" s="2" t="s">
        <v>1943</v>
      </c>
      <c r="P958" s="9">
        <v>53.76</v>
      </c>
      <c r="Q958" s="9">
        <v>47.0</v>
      </c>
      <c r="R958" s="9">
        <v>0.009259</v>
      </c>
      <c r="S958" s="9">
        <v>0.2529</v>
      </c>
      <c r="T958" s="9">
        <v>0.217</v>
      </c>
      <c r="U958" s="2" t="s">
        <v>3947</v>
      </c>
      <c r="V958" s="9">
        <v>0.875</v>
      </c>
      <c r="W958" s="2" t="s">
        <v>82</v>
      </c>
      <c r="X958" s="2" t="s">
        <v>517</v>
      </c>
      <c r="Y958" s="2" t="s">
        <v>3198</v>
      </c>
      <c r="Z958" s="9">
        <v>0.1624</v>
      </c>
      <c r="AA958" s="9">
        <v>0.2529</v>
      </c>
      <c r="AB958" s="9">
        <v>0.875</v>
      </c>
      <c r="AC958" s="9">
        <v>0.1539</v>
      </c>
      <c r="AD958" s="9" t="str">
        <f t="shared" si="1"/>
        <v>#REF!</v>
      </c>
    </row>
    <row r="959" hidden="1">
      <c r="A959" s="2" t="s">
        <v>932</v>
      </c>
      <c r="B959" s="2" t="s">
        <v>441</v>
      </c>
      <c r="C959" s="2" t="s">
        <v>119</v>
      </c>
      <c r="D959" s="2" t="s">
        <v>64</v>
      </c>
      <c r="E959" s="7" t="b">
        <v>1</v>
      </c>
      <c r="F959" s="9">
        <v>335.0</v>
      </c>
      <c r="G959" s="9">
        <v>3.841038811605599</v>
      </c>
      <c r="H959" s="9">
        <v>0.0017351247761194</v>
      </c>
      <c r="I959" s="7" t="b">
        <v>1</v>
      </c>
      <c r="J959" s="9">
        <v>0.0</v>
      </c>
      <c r="K959" s="7" t="b">
        <v>0</v>
      </c>
      <c r="L959" s="9">
        <v>79.0</v>
      </c>
      <c r="M959" s="9">
        <v>0.2358</v>
      </c>
      <c r="N959" s="2" t="s">
        <v>1952</v>
      </c>
      <c r="O959" s="2" t="s">
        <v>2025</v>
      </c>
      <c r="P959" s="9">
        <v>44.82</v>
      </c>
      <c r="Q959" s="9">
        <v>39.0</v>
      </c>
      <c r="R959" s="9">
        <v>0.0</v>
      </c>
      <c r="S959" s="9">
        <v>0.4882</v>
      </c>
      <c r="T959" s="9">
        <v>0.894</v>
      </c>
      <c r="U959" s="2" t="s">
        <v>4510</v>
      </c>
      <c r="V959" s="9">
        <v>0.8193</v>
      </c>
      <c r="W959" s="2" t="s">
        <v>1591</v>
      </c>
      <c r="X959" s="2" t="s">
        <v>1466</v>
      </c>
      <c r="Y959" s="2" t="s">
        <v>3164</v>
      </c>
      <c r="Z959" s="9">
        <v>0.398</v>
      </c>
      <c r="AA959" s="9">
        <v>0.4882</v>
      </c>
      <c r="AB959" s="9">
        <v>0.8193</v>
      </c>
      <c r="AC959" s="9">
        <v>0.0529</v>
      </c>
      <c r="AD959" s="9" t="str">
        <f t="shared" si="1"/>
        <v>#REF!</v>
      </c>
    </row>
    <row r="960" hidden="1">
      <c r="A960" s="2" t="s">
        <v>932</v>
      </c>
      <c r="B960" s="2" t="s">
        <v>611</v>
      </c>
      <c r="C960" s="2" t="s">
        <v>119</v>
      </c>
      <c r="D960" s="2" t="s">
        <v>64</v>
      </c>
      <c r="E960" s="7" t="b">
        <v>1</v>
      </c>
      <c r="F960" s="9">
        <v>1060.0</v>
      </c>
      <c r="G960" s="9">
        <v>5.547367014285862</v>
      </c>
      <c r="H960" s="9">
        <v>0.0026357220754716</v>
      </c>
      <c r="I960" s="7" t="b">
        <v>1</v>
      </c>
      <c r="J960" s="9">
        <v>0.0</v>
      </c>
      <c r="K960" s="7" t="b">
        <v>0</v>
      </c>
      <c r="L960" s="9">
        <v>45.0</v>
      </c>
      <c r="M960" s="9">
        <v>0.0425</v>
      </c>
      <c r="N960" s="2" t="s">
        <v>2016</v>
      </c>
      <c r="O960" s="2" t="s">
        <v>1486</v>
      </c>
      <c r="P960" s="9">
        <v>35.84</v>
      </c>
      <c r="Q960" s="9">
        <v>35.0</v>
      </c>
      <c r="R960" s="9">
        <v>0.0</v>
      </c>
      <c r="S960" s="9">
        <v>0.2211</v>
      </c>
      <c r="T960" s="9">
        <v>0.3293</v>
      </c>
      <c r="U960" s="2" t="s">
        <v>3005</v>
      </c>
      <c r="V960" s="9">
        <v>0.0</v>
      </c>
      <c r="W960" s="2" t="s">
        <v>82</v>
      </c>
      <c r="X960" s="2" t="s">
        <v>1521</v>
      </c>
      <c r="Y960" s="2" t="s">
        <v>1498</v>
      </c>
      <c r="Z960" s="9">
        <v>0.1849</v>
      </c>
      <c r="AA960" s="9">
        <v>0.2211</v>
      </c>
      <c r="AB960" s="9">
        <v>0.0</v>
      </c>
      <c r="AC960" s="9">
        <v>0.0358</v>
      </c>
      <c r="AD960" s="9" t="str">
        <f t="shared" si="1"/>
        <v>#REF!</v>
      </c>
    </row>
    <row r="961" hidden="1">
      <c r="A961" s="2" t="s">
        <v>932</v>
      </c>
      <c r="B961" s="2" t="s">
        <v>937</v>
      </c>
      <c r="C961" s="2" t="s">
        <v>119</v>
      </c>
      <c r="D961" s="2" t="s">
        <v>64</v>
      </c>
      <c r="E961" s="7" t="b">
        <v>1</v>
      </c>
      <c r="F961" s="9">
        <v>285.0</v>
      </c>
      <c r="G961" s="9">
        <v>1.705152199546723</v>
      </c>
      <c r="H961" s="9">
        <v>0.0036724771929824</v>
      </c>
      <c r="I961" s="7" t="b">
        <v>1</v>
      </c>
      <c r="J961" s="9">
        <v>0.0</v>
      </c>
      <c r="K961" s="7" t="b">
        <v>0</v>
      </c>
      <c r="L961" s="9">
        <v>188835.0</v>
      </c>
      <c r="M961" s="9">
        <v>662.5789</v>
      </c>
      <c r="N961" s="2" t="s">
        <v>4672</v>
      </c>
      <c r="O961" s="2" t="s">
        <v>4673</v>
      </c>
      <c r="P961" s="9">
        <v>62.68</v>
      </c>
      <c r="Q961" s="9">
        <v>57.0</v>
      </c>
      <c r="R961" s="9">
        <v>0.01116</v>
      </c>
      <c r="S961" s="9">
        <v>0.8521</v>
      </c>
      <c r="T961" s="9">
        <v>0.1494</v>
      </c>
      <c r="U961" s="2" t="s">
        <v>4453</v>
      </c>
      <c r="V961" s="9">
        <v>0.7451</v>
      </c>
      <c r="W961" s="2" t="s">
        <v>2879</v>
      </c>
      <c r="X961" s="2" t="s">
        <v>495</v>
      </c>
      <c r="Y961" s="2" t="s">
        <v>2880</v>
      </c>
      <c r="Z961" s="9">
        <v>0.8044</v>
      </c>
      <c r="AA961" s="9">
        <v>0.8521</v>
      </c>
      <c r="AB961" s="9">
        <v>0.7451</v>
      </c>
      <c r="AC961" s="9">
        <v>0.1469</v>
      </c>
      <c r="AD961" s="9" t="str">
        <f t="shared" si="1"/>
        <v>#REF!</v>
      </c>
    </row>
    <row r="962" hidden="1">
      <c r="A962" s="2" t="s">
        <v>932</v>
      </c>
      <c r="B962" s="2" t="s">
        <v>997</v>
      </c>
      <c r="C962" s="2" t="s">
        <v>119</v>
      </c>
      <c r="D962" s="2" t="s">
        <v>64</v>
      </c>
      <c r="E962" s="7" t="b">
        <v>1</v>
      </c>
      <c r="F962" s="9">
        <v>2280.0</v>
      </c>
      <c r="G962" s="9">
        <v>18.08483416141042</v>
      </c>
      <c r="H962" s="9">
        <v>0.0491268210526315</v>
      </c>
      <c r="I962" s="7" t="b">
        <v>1</v>
      </c>
      <c r="J962" s="9">
        <v>0.0</v>
      </c>
      <c r="K962" s="7" t="b">
        <v>0</v>
      </c>
      <c r="L962" s="9">
        <v>963.0</v>
      </c>
      <c r="M962" s="9">
        <v>0.4224</v>
      </c>
      <c r="N962" s="2" t="s">
        <v>4674</v>
      </c>
      <c r="O962" s="2" t="s">
        <v>4675</v>
      </c>
      <c r="P962" s="9">
        <v>64.34</v>
      </c>
      <c r="Q962" s="9">
        <v>62.0</v>
      </c>
      <c r="R962" s="9">
        <v>0.028777</v>
      </c>
      <c r="S962" s="9">
        <v>0.8102</v>
      </c>
      <c r="T962" s="9">
        <v>0.9877</v>
      </c>
      <c r="U962" s="2" t="s">
        <v>1701</v>
      </c>
      <c r="V962" s="9">
        <v>0.6974</v>
      </c>
      <c r="W962" s="2" t="s">
        <v>157</v>
      </c>
      <c r="X962" s="2" t="s">
        <v>237</v>
      </c>
      <c r="Y962" s="2" t="s">
        <v>4165</v>
      </c>
      <c r="Z962" s="9">
        <v>0.6548</v>
      </c>
      <c r="AA962" s="9">
        <v>0.8102</v>
      </c>
      <c r="AB962" s="9">
        <v>0.6974</v>
      </c>
      <c r="AC962" s="9">
        <v>0.7251</v>
      </c>
      <c r="AD962" s="9" t="str">
        <f t="shared" si="1"/>
        <v>#REF!</v>
      </c>
    </row>
    <row r="963" hidden="1">
      <c r="A963" s="2" t="s">
        <v>932</v>
      </c>
      <c r="B963" s="2" t="s">
        <v>1009</v>
      </c>
      <c r="C963" s="2" t="s">
        <v>119</v>
      </c>
      <c r="D963" s="2" t="s">
        <v>64</v>
      </c>
      <c r="E963" s="7" t="b">
        <v>1</v>
      </c>
      <c r="F963" s="9">
        <v>653.0</v>
      </c>
      <c r="G963" s="9">
        <v>5.942186832585302</v>
      </c>
      <c r="H963" s="9">
        <v>0.0062260842266462</v>
      </c>
      <c r="I963" s="7" t="b">
        <v>1</v>
      </c>
      <c r="J963" s="9">
        <v>0.0</v>
      </c>
      <c r="K963" s="7" t="b">
        <v>0</v>
      </c>
      <c r="L963" s="9">
        <v>173.0</v>
      </c>
      <c r="M963" s="9">
        <v>0.2649</v>
      </c>
      <c r="N963" s="2" t="s">
        <v>1425</v>
      </c>
      <c r="O963" s="2" t="s">
        <v>310</v>
      </c>
      <c r="P963" s="9">
        <v>50.29</v>
      </c>
      <c r="Q963" s="9">
        <v>46.0</v>
      </c>
      <c r="R963" s="9">
        <v>0.038462</v>
      </c>
      <c r="S963" s="9">
        <v>0.5523</v>
      </c>
      <c r="T963" s="9">
        <v>0.8088</v>
      </c>
      <c r="U963" s="2" t="s">
        <v>4525</v>
      </c>
      <c r="V963" s="9">
        <v>0.8193</v>
      </c>
      <c r="W963" s="2" t="s">
        <v>1193</v>
      </c>
      <c r="X963" s="2" t="s">
        <v>517</v>
      </c>
      <c r="Y963" s="2" t="s">
        <v>2159</v>
      </c>
      <c r="Z963" s="9">
        <v>0.4587</v>
      </c>
      <c r="AA963" s="9">
        <v>0.5523</v>
      </c>
      <c r="AB963" s="9">
        <v>0.8193</v>
      </c>
      <c r="AC963" s="9">
        <v>0.099</v>
      </c>
      <c r="AD963" s="9" t="str">
        <f t="shared" si="1"/>
        <v>#REF!</v>
      </c>
    </row>
    <row r="964" hidden="1">
      <c r="A964" s="2" t="s">
        <v>932</v>
      </c>
      <c r="B964" s="2" t="s">
        <v>1015</v>
      </c>
      <c r="C964" s="2" t="s">
        <v>119</v>
      </c>
      <c r="D964" s="2" t="s">
        <v>64</v>
      </c>
      <c r="E964" s="7" t="b">
        <v>1</v>
      </c>
      <c r="F964" s="9">
        <v>294.0</v>
      </c>
      <c r="G964" s="9">
        <v>5.00525432613062</v>
      </c>
      <c r="H964" s="9">
        <v>0.0018312534013605</v>
      </c>
      <c r="I964" s="7" t="b">
        <v>1</v>
      </c>
      <c r="J964" s="9">
        <v>0.0</v>
      </c>
      <c r="K964" s="7" t="b">
        <v>0</v>
      </c>
      <c r="L964" s="9">
        <v>176.0</v>
      </c>
      <c r="M964" s="9">
        <v>0.5986</v>
      </c>
      <c r="N964" s="2" t="s">
        <v>1433</v>
      </c>
      <c r="O964" s="2" t="s">
        <v>1451</v>
      </c>
      <c r="P964" s="9">
        <v>48.77</v>
      </c>
      <c r="Q964" s="9">
        <v>41.5</v>
      </c>
      <c r="R964" s="9">
        <v>0.05</v>
      </c>
      <c r="S964" s="9">
        <v>0.4294</v>
      </c>
      <c r="T964" s="9">
        <v>0.5898</v>
      </c>
      <c r="U964" s="2" t="s">
        <v>4326</v>
      </c>
      <c r="V964" s="9">
        <v>0.8174</v>
      </c>
      <c r="W964" s="2" t="s">
        <v>1600</v>
      </c>
      <c r="X964" s="2" t="s">
        <v>517</v>
      </c>
      <c r="Y964" s="2" t="s">
        <v>1593</v>
      </c>
      <c r="Z964" s="9">
        <v>0.4101</v>
      </c>
      <c r="AA964" s="9">
        <v>0.4294</v>
      </c>
      <c r="AB964" s="9">
        <v>0.8174</v>
      </c>
      <c r="AC964" s="9">
        <v>0.123</v>
      </c>
      <c r="AD964" s="9" t="str">
        <f t="shared" si="1"/>
        <v>#REF!</v>
      </c>
    </row>
    <row r="965" hidden="1">
      <c r="A965" s="2" t="s">
        <v>932</v>
      </c>
      <c r="B965" s="2" t="s">
        <v>1019</v>
      </c>
      <c r="C965" s="2" t="s">
        <v>119</v>
      </c>
      <c r="D965" s="2" t="s">
        <v>64</v>
      </c>
      <c r="E965" s="7" t="b">
        <v>1</v>
      </c>
      <c r="F965" s="9">
        <v>262.0</v>
      </c>
      <c r="G965" s="9">
        <v>4.142702462983666</v>
      </c>
      <c r="H965" s="9">
        <v>0.0019279053435114</v>
      </c>
      <c r="I965" s="7" t="b">
        <v>1</v>
      </c>
      <c r="J965" s="9">
        <v>0.0</v>
      </c>
      <c r="K965" s="7" t="b">
        <v>0</v>
      </c>
      <c r="L965" s="9">
        <v>85.0</v>
      </c>
      <c r="M965" s="9">
        <v>0.3244</v>
      </c>
      <c r="N965" s="2" t="s">
        <v>400</v>
      </c>
      <c r="O965" s="2" t="s">
        <v>1985</v>
      </c>
      <c r="P965" s="9">
        <v>41.62</v>
      </c>
      <c r="Q965" s="9">
        <v>37.0</v>
      </c>
      <c r="R965" s="9">
        <v>0.0</v>
      </c>
      <c r="S965" s="9">
        <v>0.506</v>
      </c>
      <c r="T965" s="9">
        <v>0.8759</v>
      </c>
      <c r="U965" s="2" t="s">
        <v>3947</v>
      </c>
      <c r="V965" s="9">
        <v>0.3</v>
      </c>
      <c r="W965" s="2" t="s">
        <v>3767</v>
      </c>
      <c r="X965" s="2" t="s">
        <v>1521</v>
      </c>
      <c r="Y965" s="2" t="s">
        <v>1491</v>
      </c>
      <c r="Z965" s="9">
        <v>0.4043</v>
      </c>
      <c r="AA965" s="9">
        <v>0.506</v>
      </c>
      <c r="AB965" s="9">
        <v>0.3</v>
      </c>
      <c r="AC965" s="9">
        <v>0.0457</v>
      </c>
      <c r="AD965" s="9" t="str">
        <f t="shared" si="1"/>
        <v>#REF!</v>
      </c>
    </row>
    <row r="966" hidden="1">
      <c r="A966" s="2" t="s">
        <v>932</v>
      </c>
      <c r="B966" s="2" t="s">
        <v>1024</v>
      </c>
      <c r="C966" s="2" t="s">
        <v>119</v>
      </c>
      <c r="D966" s="2" t="s">
        <v>64</v>
      </c>
      <c r="E966" s="7" t="b">
        <v>1</v>
      </c>
      <c r="F966" s="9">
        <v>10590.0</v>
      </c>
      <c r="G966" s="9">
        <v>10.50095047747573</v>
      </c>
      <c r="H966" s="9">
        <v>0.0377444529745042</v>
      </c>
      <c r="I966" s="7" t="b">
        <v>1</v>
      </c>
      <c r="J966" s="9">
        <v>0.0</v>
      </c>
      <c r="K966" s="7" t="b">
        <v>0</v>
      </c>
      <c r="L966" s="9">
        <v>278.0</v>
      </c>
      <c r="M966" s="9">
        <v>0.0263</v>
      </c>
      <c r="N966" s="2" t="s">
        <v>3626</v>
      </c>
      <c r="O966" s="2" t="s">
        <v>1725</v>
      </c>
      <c r="P966" s="9">
        <v>52.13</v>
      </c>
      <c r="Q966" s="9">
        <v>45.5</v>
      </c>
      <c r="R966" s="9">
        <v>0.045455</v>
      </c>
      <c r="S966" s="9">
        <v>0.6042</v>
      </c>
      <c r="T966" s="9">
        <v>0.8684</v>
      </c>
      <c r="U966" s="2" t="s">
        <v>4326</v>
      </c>
      <c r="V966" s="9">
        <v>0.7575</v>
      </c>
      <c r="W966" s="2" t="s">
        <v>82</v>
      </c>
      <c r="X966" s="2" t="s">
        <v>495</v>
      </c>
      <c r="Y966" s="2" t="s">
        <v>2508</v>
      </c>
      <c r="Z966" s="9">
        <v>0.4936</v>
      </c>
      <c r="AA966" s="9">
        <v>0.6042</v>
      </c>
      <c r="AB966" s="9">
        <v>0.7575</v>
      </c>
      <c r="AC966" s="9">
        <v>0.1074</v>
      </c>
      <c r="AD966" s="9" t="str">
        <f t="shared" si="1"/>
        <v>#REF!</v>
      </c>
    </row>
    <row r="967" hidden="1">
      <c r="A967" s="2" t="s">
        <v>932</v>
      </c>
      <c r="B967" s="2" t="s">
        <v>1053</v>
      </c>
      <c r="C967" s="2" t="s">
        <v>119</v>
      </c>
      <c r="D967" s="2" t="s">
        <v>64</v>
      </c>
      <c r="E967" s="7" t="b">
        <v>1</v>
      </c>
      <c r="F967" s="9">
        <v>360.0</v>
      </c>
      <c r="G967" s="9">
        <v>12.79185945927553</v>
      </c>
      <c r="H967" s="9">
        <v>0.0913611444444444</v>
      </c>
      <c r="I967" s="7" t="b">
        <v>1</v>
      </c>
      <c r="J967" s="9">
        <v>0.0</v>
      </c>
      <c r="K967" s="7" t="b">
        <v>0</v>
      </c>
      <c r="L967" s="9">
        <v>18093.0</v>
      </c>
      <c r="M967" s="9">
        <v>50.2583</v>
      </c>
      <c r="N967" s="2" t="s">
        <v>4676</v>
      </c>
      <c r="O967" s="2" t="s">
        <v>4677</v>
      </c>
      <c r="P967" s="9">
        <v>40.59</v>
      </c>
      <c r="Q967" s="9">
        <v>36.0</v>
      </c>
      <c r="R967" s="9">
        <v>0.009512</v>
      </c>
      <c r="S967" s="9">
        <v>0.7679</v>
      </c>
      <c r="T967" s="9">
        <v>0.2481</v>
      </c>
      <c r="U967" s="2" t="s">
        <v>4466</v>
      </c>
      <c r="V967" s="9">
        <v>0.8757</v>
      </c>
      <c r="W967" s="2" t="s">
        <v>3191</v>
      </c>
      <c r="X967" s="2" t="s">
        <v>1466</v>
      </c>
      <c r="Y967" s="2" t="s">
        <v>2821</v>
      </c>
      <c r="Z967" s="9">
        <v>0.695</v>
      </c>
      <c r="AA967" s="9">
        <v>0.7679</v>
      </c>
      <c r="AB967" s="9">
        <v>0.8757</v>
      </c>
      <c r="AC967" s="9">
        <v>0.1445</v>
      </c>
      <c r="AD967" s="9" t="str">
        <f t="shared" si="1"/>
        <v>#REF!</v>
      </c>
    </row>
    <row r="968" hidden="1">
      <c r="A968" s="2" t="s">
        <v>470</v>
      </c>
      <c r="B968" s="2" t="s">
        <v>503</v>
      </c>
      <c r="C968" s="2" t="s">
        <v>119</v>
      </c>
      <c r="D968" s="2" t="s">
        <v>64</v>
      </c>
      <c r="E968" s="7" t="b">
        <v>1</v>
      </c>
      <c r="F968" s="9">
        <v>264.0</v>
      </c>
      <c r="G968" s="9">
        <v>9.980734495391255</v>
      </c>
      <c r="H968" s="9">
        <v>0.0023358999999999</v>
      </c>
      <c r="I968" s="7" t="b">
        <v>1</v>
      </c>
      <c r="J968" s="9">
        <v>0.0</v>
      </c>
      <c r="K968" s="7" t="b">
        <v>0</v>
      </c>
      <c r="L968" s="9">
        <v>362.0</v>
      </c>
      <c r="M968" s="9">
        <v>1.3712</v>
      </c>
      <c r="N968" s="2" t="s">
        <v>4048</v>
      </c>
      <c r="O968" s="2" t="s">
        <v>2380</v>
      </c>
      <c r="P968" s="9">
        <v>51.69</v>
      </c>
      <c r="Q968" s="9">
        <v>45.0</v>
      </c>
      <c r="R968" s="9">
        <v>0.034483</v>
      </c>
      <c r="S968" s="9">
        <v>0.4999</v>
      </c>
      <c r="T968" s="9">
        <v>0.6459</v>
      </c>
      <c r="U968" s="2" t="s">
        <v>2602</v>
      </c>
      <c r="V968" s="9">
        <v>0.8662</v>
      </c>
      <c r="W968" s="2" t="s">
        <v>134</v>
      </c>
      <c r="X968" s="2" t="s">
        <v>517</v>
      </c>
      <c r="Y968" s="2" t="s">
        <v>1593</v>
      </c>
      <c r="Z968" s="9">
        <v>0.4072</v>
      </c>
      <c r="AA968" s="9">
        <v>0.4999</v>
      </c>
      <c r="AB968" s="9">
        <v>0.8662</v>
      </c>
      <c r="AC968" s="9">
        <v>0.1832</v>
      </c>
      <c r="AD968" s="9" t="str">
        <f t="shared" si="1"/>
        <v>#REF!</v>
      </c>
    </row>
    <row r="969" hidden="1">
      <c r="A969" s="2" t="s">
        <v>470</v>
      </c>
      <c r="B969" s="2" t="s">
        <v>997</v>
      </c>
      <c r="C969" s="2" t="s">
        <v>119</v>
      </c>
      <c r="D969" s="2" t="s">
        <v>64</v>
      </c>
      <c r="E969" s="7" t="b">
        <v>1</v>
      </c>
      <c r="F969" s="9">
        <v>272.0</v>
      </c>
      <c r="G969" s="9">
        <v>26.12157218038186</v>
      </c>
      <c r="H969" s="9">
        <v>0.0124943625</v>
      </c>
      <c r="I969" s="7" t="b">
        <v>1</v>
      </c>
      <c r="J969" s="9">
        <v>0.0</v>
      </c>
      <c r="K969" s="7" t="b">
        <v>0</v>
      </c>
      <c r="L969" s="9">
        <v>122.0</v>
      </c>
      <c r="M969" s="9">
        <v>0.4485</v>
      </c>
      <c r="N969" s="2" t="s">
        <v>2379</v>
      </c>
      <c r="O969" s="2" t="s">
        <v>1383</v>
      </c>
      <c r="P969" s="9">
        <v>75.24</v>
      </c>
      <c r="Q969" s="9">
        <v>72.0</v>
      </c>
      <c r="R969" s="9">
        <v>0.0</v>
      </c>
      <c r="S969" s="9">
        <v>0.5803</v>
      </c>
      <c r="T969" s="9">
        <v>0.9887</v>
      </c>
      <c r="U969" s="2" t="s">
        <v>1367</v>
      </c>
      <c r="V969" s="9">
        <v>0.0</v>
      </c>
      <c r="W969" s="2" t="s">
        <v>157</v>
      </c>
      <c r="X969" s="2" t="s">
        <v>1466</v>
      </c>
      <c r="Y969" s="2" t="s">
        <v>2849</v>
      </c>
      <c r="Z969" s="9">
        <v>0.4552</v>
      </c>
      <c r="AA969" s="9">
        <v>0.5803</v>
      </c>
      <c r="AB969" s="9">
        <v>0.0</v>
      </c>
      <c r="AC969" s="9">
        <v>0.6874</v>
      </c>
      <c r="AD969" s="9" t="str">
        <f t="shared" si="1"/>
        <v>#REF!</v>
      </c>
    </row>
    <row r="970" hidden="1">
      <c r="A970" s="2" t="s">
        <v>470</v>
      </c>
      <c r="B970" s="2" t="s">
        <v>1047</v>
      </c>
      <c r="C970" s="2" t="s">
        <v>119</v>
      </c>
      <c r="D970" s="2" t="s">
        <v>64</v>
      </c>
      <c r="E970" s="7" t="b">
        <v>1</v>
      </c>
      <c r="F970" s="9">
        <v>107.0</v>
      </c>
      <c r="G970" s="9">
        <v>2.407108508372897</v>
      </c>
      <c r="H970" s="9">
        <v>0.0011082224299065</v>
      </c>
      <c r="I970" s="7" t="b">
        <v>1</v>
      </c>
      <c r="J970" s="9">
        <v>0.0</v>
      </c>
      <c r="K970" s="7" t="b">
        <v>0</v>
      </c>
      <c r="L970" s="9">
        <v>9952.0</v>
      </c>
      <c r="M970" s="9">
        <v>93.0093</v>
      </c>
      <c r="N970" s="2" t="s">
        <v>4678</v>
      </c>
      <c r="O970" s="2" t="s">
        <v>4679</v>
      </c>
      <c r="P970" s="9">
        <v>39.18</v>
      </c>
      <c r="Q970" s="9">
        <v>36.0</v>
      </c>
      <c r="R970" s="9">
        <v>0.008244</v>
      </c>
      <c r="S970" s="9">
        <v>0.7242</v>
      </c>
      <c r="T970" s="9">
        <v>0.2421</v>
      </c>
      <c r="U970" s="2" t="s">
        <v>1671</v>
      </c>
      <c r="V970" s="9">
        <v>0.8898</v>
      </c>
      <c r="W970" s="2" t="s">
        <v>1600</v>
      </c>
      <c r="X970" s="2" t="s">
        <v>1466</v>
      </c>
      <c r="Y970" s="2" t="s">
        <v>2821</v>
      </c>
      <c r="Z970" s="9">
        <v>0.6439</v>
      </c>
      <c r="AA970" s="9">
        <v>0.7242</v>
      </c>
      <c r="AB970" s="9">
        <v>0.8898</v>
      </c>
      <c r="AC970" s="9">
        <v>0.1439</v>
      </c>
      <c r="AD970" s="9" t="str">
        <f t="shared" si="1"/>
        <v>#REF!</v>
      </c>
    </row>
    <row r="971" hidden="1">
      <c r="A971" s="2" t="s">
        <v>470</v>
      </c>
      <c r="B971" s="2" t="s">
        <v>1093</v>
      </c>
      <c r="C971" s="2" t="s">
        <v>119</v>
      </c>
      <c r="D971" s="2" t="s">
        <v>64</v>
      </c>
      <c r="E971" s="7" t="b">
        <v>1</v>
      </c>
      <c r="F971" s="9">
        <v>65.0</v>
      </c>
      <c r="G971" s="9">
        <v>7.591078096252348</v>
      </c>
      <c r="H971" s="9">
        <v>0.0046195015384615</v>
      </c>
      <c r="I971" s="7" t="b">
        <v>1</v>
      </c>
      <c r="J971" s="9">
        <v>0.0</v>
      </c>
      <c r="K971" s="7" t="b">
        <v>0</v>
      </c>
      <c r="L971" s="9">
        <v>1078.0</v>
      </c>
      <c r="M971" s="9">
        <v>16.5846</v>
      </c>
      <c r="N971" s="2" t="s">
        <v>2996</v>
      </c>
      <c r="O971" s="2" t="s">
        <v>2827</v>
      </c>
      <c r="P971" s="9">
        <v>50.56</v>
      </c>
      <c r="Q971" s="9">
        <v>45.0</v>
      </c>
      <c r="R971" s="9">
        <v>0.003521</v>
      </c>
      <c r="S971" s="9">
        <v>0.0741</v>
      </c>
      <c r="T971" s="9">
        <v>0.108</v>
      </c>
      <c r="U971" s="2" t="s">
        <v>1520</v>
      </c>
      <c r="V971" s="9">
        <v>0.8356</v>
      </c>
      <c r="W971" s="2" t="s">
        <v>157</v>
      </c>
      <c r="X971" s="2" t="s">
        <v>1466</v>
      </c>
      <c r="Y971" s="2" t="s">
        <v>2821</v>
      </c>
      <c r="Z971" s="9">
        <v>0.0476</v>
      </c>
      <c r="AA971" s="9">
        <v>0.0741</v>
      </c>
      <c r="AB971" s="9">
        <v>0.8356</v>
      </c>
      <c r="AC971" s="9">
        <v>0.1499</v>
      </c>
      <c r="AD971" s="9" t="str">
        <f t="shared" si="1"/>
        <v>#REF!</v>
      </c>
    </row>
    <row r="972" hidden="1">
      <c r="A972" s="2" t="s">
        <v>943</v>
      </c>
      <c r="B972" s="2" t="s">
        <v>623</v>
      </c>
      <c r="C972" s="2" t="s">
        <v>119</v>
      </c>
      <c r="D972" s="2" t="s">
        <v>64</v>
      </c>
      <c r="E972" s="7" t="b">
        <v>1</v>
      </c>
      <c r="F972" s="9">
        <v>332.0</v>
      </c>
      <c r="G972" s="9">
        <v>21.82804014182222</v>
      </c>
      <c r="H972" s="9">
        <v>0.0184015518072289</v>
      </c>
      <c r="I972" s="7" t="b">
        <v>1</v>
      </c>
      <c r="J972" s="9">
        <v>0.0</v>
      </c>
      <c r="K972" s="7" t="b">
        <v>0</v>
      </c>
      <c r="L972" s="9">
        <v>118.0</v>
      </c>
      <c r="M972" s="9">
        <v>0.3554</v>
      </c>
      <c r="N972" s="2" t="s">
        <v>2958</v>
      </c>
      <c r="O972" s="2" t="s">
        <v>1629</v>
      </c>
      <c r="P972" s="9">
        <v>38.15</v>
      </c>
      <c r="Q972" s="9">
        <v>36.0</v>
      </c>
      <c r="R972" s="9">
        <v>0.0</v>
      </c>
      <c r="S972" s="9">
        <v>0.3507</v>
      </c>
      <c r="T972" s="9">
        <v>0.3586</v>
      </c>
      <c r="U972" s="2" t="s">
        <v>3436</v>
      </c>
      <c r="V972" s="9">
        <v>0.0</v>
      </c>
      <c r="W972" s="2" t="s">
        <v>82</v>
      </c>
      <c r="X972" s="2" t="s">
        <v>1521</v>
      </c>
      <c r="Y972" s="2" t="s">
        <v>1498</v>
      </c>
      <c r="Z972" s="9">
        <v>0.2733</v>
      </c>
      <c r="AA972" s="9">
        <v>0.3507</v>
      </c>
      <c r="AB972" s="9">
        <v>0.0</v>
      </c>
      <c r="AC972" s="9">
        <v>0.1184</v>
      </c>
      <c r="AD972" s="9" t="str">
        <f t="shared" si="1"/>
        <v>#REF!</v>
      </c>
    </row>
    <row r="973" hidden="1">
      <c r="A973" s="2" t="s">
        <v>943</v>
      </c>
      <c r="B973" s="2" t="s">
        <v>895</v>
      </c>
      <c r="C973" s="2" t="s">
        <v>119</v>
      </c>
      <c r="D973" s="2" t="s">
        <v>64</v>
      </c>
      <c r="E973" s="7" t="b">
        <v>1</v>
      </c>
      <c r="F973" s="9">
        <v>169.0</v>
      </c>
      <c r="G973" s="9">
        <v>9.477346971050496</v>
      </c>
      <c r="H973" s="9">
        <v>0.0033446538461538</v>
      </c>
      <c r="I973" s="7" t="b">
        <v>1</v>
      </c>
      <c r="J973" s="9">
        <v>0.0</v>
      </c>
      <c r="K973" s="7" t="b">
        <v>0</v>
      </c>
      <c r="L973" s="9">
        <v>143.0</v>
      </c>
      <c r="M973" s="9">
        <v>0.8462</v>
      </c>
      <c r="N973" s="2" t="s">
        <v>1382</v>
      </c>
      <c r="O973" s="2" t="s">
        <v>1533</v>
      </c>
      <c r="P973" s="9">
        <v>54.8</v>
      </c>
      <c r="Q973" s="9">
        <v>44.0</v>
      </c>
      <c r="R973" s="9">
        <v>0.066667</v>
      </c>
      <c r="S973" s="9">
        <v>0.4548</v>
      </c>
      <c r="T973" s="9">
        <v>0.6617</v>
      </c>
      <c r="U973" s="2" t="s">
        <v>2398</v>
      </c>
      <c r="V973" s="9">
        <v>0.8732</v>
      </c>
      <c r="W973" s="2" t="s">
        <v>134</v>
      </c>
      <c r="X973" s="2" t="s">
        <v>517</v>
      </c>
      <c r="Y973" s="2" t="s">
        <v>1593</v>
      </c>
      <c r="Z973" s="9">
        <v>0.3732</v>
      </c>
      <c r="AA973" s="9">
        <v>0.4548</v>
      </c>
      <c r="AB973" s="9">
        <v>0.8732</v>
      </c>
      <c r="AC973" s="9">
        <v>0.1594</v>
      </c>
      <c r="AD973" s="9" t="str">
        <f t="shared" si="1"/>
        <v>#REF!</v>
      </c>
    </row>
    <row r="974" hidden="1">
      <c r="A974" s="2" t="s">
        <v>943</v>
      </c>
      <c r="B974" s="2" t="s">
        <v>937</v>
      </c>
      <c r="C974" s="2" t="s">
        <v>119</v>
      </c>
      <c r="D974" s="2" t="s">
        <v>64</v>
      </c>
      <c r="E974" s="7" t="b">
        <v>1</v>
      </c>
      <c r="F974" s="9">
        <v>1401.0</v>
      </c>
      <c r="G974" s="9">
        <v>1.058425578974235</v>
      </c>
      <c r="H974" s="9">
        <v>0.0066757687366167</v>
      </c>
      <c r="I974" s="7" t="b">
        <v>1</v>
      </c>
      <c r="J974" s="9">
        <v>0.0</v>
      </c>
      <c r="K974" s="7" t="b">
        <v>0</v>
      </c>
      <c r="L974" s="9">
        <v>437284.0</v>
      </c>
      <c r="M974" s="9">
        <v>312.1228</v>
      </c>
      <c r="N974" s="2" t="s">
        <v>4680</v>
      </c>
      <c r="O974" s="2" t="s">
        <v>4681</v>
      </c>
      <c r="P974" s="9">
        <v>62.33</v>
      </c>
      <c r="Q974" s="9">
        <v>57.0</v>
      </c>
      <c r="R974" s="9">
        <v>0.012365</v>
      </c>
      <c r="S974" s="9">
        <v>0.8776</v>
      </c>
      <c r="T974" s="9">
        <v>0.16</v>
      </c>
      <c r="U974" s="2" t="s">
        <v>4524</v>
      </c>
      <c r="V974" s="9">
        <v>0.7459</v>
      </c>
      <c r="W974" s="2" t="s">
        <v>2879</v>
      </c>
      <c r="X974" s="2" t="s">
        <v>495</v>
      </c>
      <c r="Y974" s="2" t="s">
        <v>2880</v>
      </c>
      <c r="Z974" s="9">
        <v>0.8328</v>
      </c>
      <c r="AA974" s="9">
        <v>0.8776</v>
      </c>
      <c r="AB974" s="9">
        <v>0.7459</v>
      </c>
      <c r="AC974" s="9">
        <v>0.1301</v>
      </c>
      <c r="AD974" s="9" t="str">
        <f t="shared" si="1"/>
        <v>#REF!</v>
      </c>
    </row>
    <row r="975" hidden="1">
      <c r="A975" s="2" t="s">
        <v>943</v>
      </c>
      <c r="B975" s="2" t="s">
        <v>997</v>
      </c>
      <c r="C975" s="2" t="s">
        <v>119</v>
      </c>
      <c r="D975" s="2" t="s">
        <v>64</v>
      </c>
      <c r="E975" s="7" t="b">
        <v>1</v>
      </c>
      <c r="F975" s="9">
        <v>879.0</v>
      </c>
      <c r="G975" s="9">
        <v>17.69241460330699</v>
      </c>
      <c r="H975" s="9">
        <v>0.0184150739476678</v>
      </c>
      <c r="I975" s="7" t="b">
        <v>1</v>
      </c>
      <c r="J975" s="9">
        <v>0.0</v>
      </c>
      <c r="K975" s="7" t="b">
        <v>0</v>
      </c>
      <c r="L975" s="9">
        <v>378.0</v>
      </c>
      <c r="M975" s="9">
        <v>0.43</v>
      </c>
      <c r="N975" s="2" t="s">
        <v>4655</v>
      </c>
      <c r="O975" s="2" t="s">
        <v>2262</v>
      </c>
      <c r="P975" s="9">
        <v>65.29</v>
      </c>
      <c r="Q975" s="9">
        <v>64.0</v>
      </c>
      <c r="R975" s="9">
        <v>0.037736</v>
      </c>
      <c r="S975" s="9">
        <v>0.7168</v>
      </c>
      <c r="T975" s="9">
        <v>0.9905</v>
      </c>
      <c r="U975" s="2" t="s">
        <v>704</v>
      </c>
      <c r="V975" s="9">
        <v>0.8239</v>
      </c>
      <c r="W975" s="2" t="s">
        <v>134</v>
      </c>
      <c r="X975" s="2" t="s">
        <v>495</v>
      </c>
      <c r="Y975" s="2" t="s">
        <v>2967</v>
      </c>
      <c r="Z975" s="9">
        <v>0.5669</v>
      </c>
      <c r="AA975" s="9">
        <v>0.7168</v>
      </c>
      <c r="AB975" s="9">
        <v>0.8239</v>
      </c>
      <c r="AC975" s="9">
        <v>0.6765</v>
      </c>
      <c r="AD975" s="9" t="str">
        <f t="shared" si="1"/>
        <v>#REF!</v>
      </c>
    </row>
    <row r="976" hidden="1">
      <c r="A976" s="2" t="s">
        <v>943</v>
      </c>
      <c r="B976" s="2" t="s">
        <v>1027</v>
      </c>
      <c r="C976" s="2" t="s">
        <v>119</v>
      </c>
      <c r="D976" s="2" t="s">
        <v>64</v>
      </c>
      <c r="E976" s="7" t="b">
        <v>1</v>
      </c>
      <c r="F976" s="9">
        <v>175.0</v>
      </c>
      <c r="G976" s="9">
        <v>9.379008451282946</v>
      </c>
      <c r="H976" s="9">
        <v>0.0016043885714285</v>
      </c>
      <c r="I976" s="7" t="b">
        <v>1</v>
      </c>
      <c r="J976" s="9">
        <v>0.0</v>
      </c>
      <c r="K976" s="7" t="b">
        <v>0</v>
      </c>
      <c r="L976" s="9">
        <v>93.0</v>
      </c>
      <c r="M976" s="9">
        <v>0.5314</v>
      </c>
      <c r="N976" s="2" t="s">
        <v>2282</v>
      </c>
      <c r="O976" s="2" t="s">
        <v>1629</v>
      </c>
      <c r="P976" s="9">
        <v>46.89</v>
      </c>
      <c r="Q976" s="9">
        <v>43.0</v>
      </c>
      <c r="R976" s="9">
        <v>0.0</v>
      </c>
      <c r="S976" s="9">
        <v>0.2317</v>
      </c>
      <c r="T976" s="9">
        <v>0.359</v>
      </c>
      <c r="U976" s="2" t="s">
        <v>4506</v>
      </c>
      <c r="V976" s="9">
        <v>0.05</v>
      </c>
      <c r="W976" s="2" t="s">
        <v>157</v>
      </c>
      <c r="X976" s="2" t="s">
        <v>1521</v>
      </c>
      <c r="Y976" s="2" t="s">
        <v>1536</v>
      </c>
      <c r="Z976" s="9">
        <v>0.1807</v>
      </c>
      <c r="AA976" s="9">
        <v>0.2317</v>
      </c>
      <c r="AB976" s="9">
        <v>0.05</v>
      </c>
      <c r="AC976" s="9">
        <v>0.0027</v>
      </c>
      <c r="AD976" s="9" t="str">
        <f t="shared" si="1"/>
        <v>#REF!</v>
      </c>
    </row>
    <row r="977" hidden="1">
      <c r="A977" s="2" t="s">
        <v>943</v>
      </c>
      <c r="B977" s="2" t="s">
        <v>1047</v>
      </c>
      <c r="C977" s="2" t="s">
        <v>119</v>
      </c>
      <c r="D977" s="2" t="s">
        <v>64</v>
      </c>
      <c r="E977" s="7" t="b">
        <v>1</v>
      </c>
      <c r="F977" s="9">
        <v>118.0</v>
      </c>
      <c r="G977" s="9">
        <v>2.64255140344226</v>
      </c>
      <c r="H977" s="9">
        <v>0.0014714516949152</v>
      </c>
      <c r="I977" s="7" t="b">
        <v>1</v>
      </c>
      <c r="J977" s="9">
        <v>0.0</v>
      </c>
      <c r="K977" s="7" t="b">
        <v>0</v>
      </c>
      <c r="L977" s="9">
        <v>14328.0</v>
      </c>
      <c r="M977" s="9">
        <v>121.4237</v>
      </c>
      <c r="N977" s="2" t="s">
        <v>4682</v>
      </c>
      <c r="O977" s="2" t="s">
        <v>4683</v>
      </c>
      <c r="P977" s="9">
        <v>41.24</v>
      </c>
      <c r="Q977" s="9">
        <v>37.0</v>
      </c>
      <c r="R977" s="9">
        <v>0.010232</v>
      </c>
      <c r="S977" s="9">
        <v>0.7318</v>
      </c>
      <c r="T977" s="9">
        <v>0.1833</v>
      </c>
      <c r="U977" s="2" t="s">
        <v>3424</v>
      </c>
      <c r="V977" s="9">
        <v>0.865</v>
      </c>
      <c r="W977" s="2" t="s">
        <v>1771</v>
      </c>
      <c r="X977" s="2" t="s">
        <v>517</v>
      </c>
      <c r="Y977" s="2" t="s">
        <v>1593</v>
      </c>
      <c r="Z977" s="9">
        <v>0.6482</v>
      </c>
      <c r="AA977" s="9">
        <v>0.7318</v>
      </c>
      <c r="AB977" s="9">
        <v>0.865</v>
      </c>
      <c r="AC977" s="9">
        <v>0.1409</v>
      </c>
      <c r="AD977" s="9" t="str">
        <f t="shared" si="1"/>
        <v>#REF!</v>
      </c>
    </row>
    <row r="978" hidden="1">
      <c r="A978" s="2" t="s">
        <v>943</v>
      </c>
      <c r="B978" s="2" t="s">
        <v>1053</v>
      </c>
      <c r="C978" s="2" t="s">
        <v>119</v>
      </c>
      <c r="D978" s="2" t="s">
        <v>64</v>
      </c>
      <c r="E978" s="7" t="b">
        <v>1</v>
      </c>
      <c r="F978" s="9">
        <v>62.0</v>
      </c>
      <c r="G978" s="9">
        <v>3.149981874443474</v>
      </c>
      <c r="H978" s="9">
        <v>0.0010199758064516</v>
      </c>
      <c r="I978" s="7" t="b">
        <v>1</v>
      </c>
      <c r="J978" s="9">
        <v>0.0</v>
      </c>
      <c r="K978" s="7" t="b">
        <v>0</v>
      </c>
      <c r="L978" s="9">
        <v>15118.0</v>
      </c>
      <c r="M978" s="9">
        <v>243.8387</v>
      </c>
      <c r="N978" s="2" t="s">
        <v>4684</v>
      </c>
      <c r="O978" s="2" t="s">
        <v>4685</v>
      </c>
      <c r="P978" s="9">
        <v>41.22</v>
      </c>
      <c r="Q978" s="9">
        <v>37.0</v>
      </c>
      <c r="R978" s="9">
        <v>0.008766</v>
      </c>
      <c r="S978" s="9">
        <v>0.7295</v>
      </c>
      <c r="T978" s="9">
        <v>0.1862</v>
      </c>
      <c r="U978" s="2" t="s">
        <v>4512</v>
      </c>
      <c r="V978" s="9">
        <v>0.8684</v>
      </c>
      <c r="W978" s="2" t="s">
        <v>1600</v>
      </c>
      <c r="X978" s="2" t="s">
        <v>1466</v>
      </c>
      <c r="Y978" s="2" t="s">
        <v>2821</v>
      </c>
      <c r="Z978" s="9">
        <v>0.6475</v>
      </c>
      <c r="AA978" s="9">
        <v>0.7295</v>
      </c>
      <c r="AB978" s="9">
        <v>0.8684</v>
      </c>
      <c r="AC978" s="9">
        <v>0.1393</v>
      </c>
      <c r="AD978" s="9" t="str">
        <f t="shared" si="1"/>
        <v>#REF!</v>
      </c>
    </row>
    <row r="979" hidden="1">
      <c r="A979" s="2" t="s">
        <v>918</v>
      </c>
      <c r="B979" s="2" t="s">
        <v>542</v>
      </c>
      <c r="C979" s="2" t="s">
        <v>119</v>
      </c>
      <c r="D979" s="2" t="s">
        <v>64</v>
      </c>
      <c r="E979" s="7" t="b">
        <v>1</v>
      </c>
      <c r="F979" s="9">
        <v>77.0</v>
      </c>
      <c r="G979" s="9">
        <v>10.57696161710967</v>
      </c>
      <c r="H979" s="9">
        <v>0.0011713142857142</v>
      </c>
      <c r="I979" s="7" t="b">
        <v>1</v>
      </c>
      <c r="J979" s="9">
        <v>0.0</v>
      </c>
      <c r="K979" s="7" t="b">
        <v>0</v>
      </c>
      <c r="L979" s="9">
        <v>108.0</v>
      </c>
      <c r="M979" s="9">
        <v>1.4026</v>
      </c>
      <c r="N979" s="2" t="s">
        <v>1425</v>
      </c>
      <c r="O979" s="2" t="s">
        <v>2090</v>
      </c>
      <c r="P979" s="9">
        <v>66.43</v>
      </c>
      <c r="Q979" s="9">
        <v>62.5</v>
      </c>
      <c r="R979" s="9">
        <v>0.04</v>
      </c>
      <c r="S979" s="9">
        <v>0.61</v>
      </c>
      <c r="T979" s="9">
        <v>1.0017</v>
      </c>
      <c r="U979" s="2" t="s">
        <v>3103</v>
      </c>
      <c r="V979" s="9">
        <v>0.0528</v>
      </c>
      <c r="W979" s="2" t="s">
        <v>181</v>
      </c>
      <c r="X979" s="2" t="s">
        <v>517</v>
      </c>
      <c r="Y979" s="2" t="s">
        <v>1399</v>
      </c>
      <c r="Z979" s="9">
        <v>0.4689</v>
      </c>
      <c r="AA979" s="9">
        <v>0.61</v>
      </c>
      <c r="AB979" s="9">
        <v>0.0528</v>
      </c>
      <c r="AC979" s="9">
        <v>0.1012</v>
      </c>
      <c r="AD979" s="9" t="str">
        <f t="shared" si="1"/>
        <v>#REF!</v>
      </c>
    </row>
    <row r="980" hidden="1">
      <c r="A980" s="2" t="s">
        <v>918</v>
      </c>
      <c r="B980" s="2" t="s">
        <v>937</v>
      </c>
      <c r="C980" s="2" t="s">
        <v>119</v>
      </c>
      <c r="D980" s="2" t="s">
        <v>64</v>
      </c>
      <c r="E980" s="7" t="b">
        <v>1</v>
      </c>
      <c r="F980" s="9">
        <v>883.0</v>
      </c>
      <c r="G980" s="9">
        <v>1.259950580171676</v>
      </c>
      <c r="H980" s="9">
        <v>0.0060529773499433</v>
      </c>
      <c r="I980" s="7" t="b">
        <v>1</v>
      </c>
      <c r="J980" s="9">
        <v>0.0</v>
      </c>
      <c r="K980" s="7" t="b">
        <v>0</v>
      </c>
      <c r="L980" s="9">
        <v>377489.0</v>
      </c>
      <c r="M980" s="9">
        <v>427.5074</v>
      </c>
      <c r="N980" s="2" t="s">
        <v>4686</v>
      </c>
      <c r="O980" s="2" t="s">
        <v>4687</v>
      </c>
      <c r="P980" s="9">
        <v>61.59</v>
      </c>
      <c r="Q980" s="9">
        <v>56.0</v>
      </c>
      <c r="R980" s="9">
        <v>0.011672</v>
      </c>
      <c r="S980" s="9">
        <v>0.8734</v>
      </c>
      <c r="T980" s="9">
        <v>0.1555</v>
      </c>
      <c r="U980" s="2" t="s">
        <v>4688</v>
      </c>
      <c r="V980" s="9">
        <v>0.7611</v>
      </c>
      <c r="W980" s="2" t="s">
        <v>2879</v>
      </c>
      <c r="X980" s="2" t="s">
        <v>495</v>
      </c>
      <c r="Y980" s="2" t="s">
        <v>2880</v>
      </c>
      <c r="Z980" s="9">
        <v>0.8277</v>
      </c>
      <c r="AA980" s="9">
        <v>0.8734</v>
      </c>
      <c r="AB980" s="9">
        <v>0.7611</v>
      </c>
      <c r="AC980" s="9">
        <v>0.1357</v>
      </c>
      <c r="AD980" s="9" t="str">
        <f t="shared" si="1"/>
        <v>#REF!</v>
      </c>
    </row>
    <row r="981" hidden="1">
      <c r="A981" s="2" t="s">
        <v>918</v>
      </c>
      <c r="B981" s="2" t="s">
        <v>1047</v>
      </c>
      <c r="C981" s="2" t="s">
        <v>119</v>
      </c>
      <c r="D981" s="2" t="s">
        <v>64</v>
      </c>
      <c r="E981" s="7" t="b">
        <v>1</v>
      </c>
      <c r="F981" s="9">
        <v>63.0</v>
      </c>
      <c r="G981" s="9">
        <v>3.004810943937562</v>
      </c>
      <c r="H981" s="9">
        <v>0.0010179</v>
      </c>
      <c r="I981" s="7" t="b">
        <v>1</v>
      </c>
      <c r="J981" s="9">
        <v>0.0</v>
      </c>
      <c r="K981" s="7" t="b">
        <v>0</v>
      </c>
      <c r="L981" s="9">
        <v>10475.0</v>
      </c>
      <c r="M981" s="9">
        <v>166.2698</v>
      </c>
      <c r="N981" s="2" t="s">
        <v>4689</v>
      </c>
      <c r="O981" s="2" t="s">
        <v>3012</v>
      </c>
      <c r="P981" s="9">
        <v>41.4</v>
      </c>
      <c r="Q981" s="9">
        <v>37.0</v>
      </c>
      <c r="R981" s="9">
        <v>0.010132</v>
      </c>
      <c r="S981" s="9">
        <v>0.7131</v>
      </c>
      <c r="T981" s="9">
        <v>0.1842</v>
      </c>
      <c r="U981" s="2" t="s">
        <v>4466</v>
      </c>
      <c r="V981" s="9">
        <v>0.8692</v>
      </c>
      <c r="W981" s="2" t="s">
        <v>1771</v>
      </c>
      <c r="X981" s="2" t="s">
        <v>517</v>
      </c>
      <c r="Y981" s="2" t="s">
        <v>1593</v>
      </c>
      <c r="Z981" s="9">
        <v>0.6256</v>
      </c>
      <c r="AA981" s="9">
        <v>0.7131</v>
      </c>
      <c r="AB981" s="9">
        <v>0.8692</v>
      </c>
      <c r="AC981" s="9">
        <v>0.1414</v>
      </c>
      <c r="AD981" s="9" t="str">
        <f t="shared" si="1"/>
        <v>#REF!</v>
      </c>
    </row>
    <row r="982" hidden="1">
      <c r="A982" s="2" t="s">
        <v>859</v>
      </c>
      <c r="B982" s="2" t="s">
        <v>163</v>
      </c>
      <c r="C982" s="2" t="s">
        <v>119</v>
      </c>
      <c r="D982" s="2" t="s">
        <v>64</v>
      </c>
      <c r="E982" s="7" t="b">
        <v>1</v>
      </c>
      <c r="F982" s="9">
        <v>3.0</v>
      </c>
      <c r="G982" s="9">
        <v>19.75182362283123</v>
      </c>
      <c r="H982" s="9">
        <v>0.0179930333333333</v>
      </c>
      <c r="I982" s="7" t="b">
        <v>1</v>
      </c>
      <c r="J982" s="9">
        <v>0.0</v>
      </c>
      <c r="K982" s="7" t="b">
        <v>0</v>
      </c>
      <c r="L982" s="9">
        <v>4.0</v>
      </c>
      <c r="M982" s="9">
        <v>1.3333</v>
      </c>
      <c r="N982" s="2" t="s">
        <v>1450</v>
      </c>
      <c r="O982" s="2" t="s">
        <v>1451</v>
      </c>
      <c r="P982" s="9">
        <v>67.25</v>
      </c>
      <c r="Q982" s="9">
        <v>68.5</v>
      </c>
      <c r="R982" s="9">
        <v>0.0</v>
      </c>
      <c r="S982" s="9">
        <v>0.2767</v>
      </c>
      <c r="T982" s="9">
        <v>1.0009</v>
      </c>
      <c r="U982" s="2" t="s">
        <v>194</v>
      </c>
      <c r="V982" s="15"/>
      <c r="W982" s="2" t="s">
        <v>82</v>
      </c>
      <c r="X982" s="2" t="s">
        <v>1621</v>
      </c>
      <c r="Y982" s="2" t="s">
        <v>1622</v>
      </c>
      <c r="Z982" s="9">
        <v>0.1896</v>
      </c>
      <c r="AA982" s="9">
        <v>0.2767</v>
      </c>
      <c r="AB982" s="15"/>
      <c r="AC982" s="9">
        <v>0.55</v>
      </c>
      <c r="AD982" s="9" t="str">
        <f t="shared" si="1"/>
        <v>#REF!</v>
      </c>
    </row>
    <row r="983" hidden="1">
      <c r="A983" s="2" t="s">
        <v>903</v>
      </c>
      <c r="B983" s="2" t="s">
        <v>203</v>
      </c>
      <c r="C983" s="2" t="s">
        <v>119</v>
      </c>
      <c r="D983" s="2" t="s">
        <v>64</v>
      </c>
      <c r="E983" s="7" t="b">
        <v>1</v>
      </c>
      <c r="F983" s="9">
        <v>9.0</v>
      </c>
      <c r="G983" s="9">
        <v>29.22309627866838</v>
      </c>
      <c r="H983" s="9">
        <v>0.0236673333333333</v>
      </c>
      <c r="I983" s="7" t="b">
        <v>1</v>
      </c>
      <c r="J983" s="9">
        <v>0.0</v>
      </c>
      <c r="K983" s="7" t="b">
        <v>0</v>
      </c>
      <c r="L983" s="9">
        <v>9.0</v>
      </c>
      <c r="M983" s="9">
        <v>1.0</v>
      </c>
      <c r="N983" s="2" t="s">
        <v>1784</v>
      </c>
      <c r="O983" s="2" t="s">
        <v>1426</v>
      </c>
      <c r="P983" s="9">
        <v>60.44</v>
      </c>
      <c r="Q983" s="9">
        <v>67.0</v>
      </c>
      <c r="R983" s="9">
        <v>0.0</v>
      </c>
      <c r="S983" s="9">
        <v>0.4183</v>
      </c>
      <c r="T983" s="9">
        <v>1.0014</v>
      </c>
      <c r="U983" s="2" t="s">
        <v>4690</v>
      </c>
      <c r="V983" s="15"/>
      <c r="W983" s="15"/>
      <c r="X983" s="2" t="s">
        <v>1455</v>
      </c>
      <c r="Y983" s="2" t="s">
        <v>1734</v>
      </c>
      <c r="Z983" s="9">
        <v>0.291</v>
      </c>
      <c r="AA983" s="9">
        <v>0.4183</v>
      </c>
      <c r="AB983" s="15"/>
      <c r="AC983" s="9">
        <v>0.8833</v>
      </c>
      <c r="AD983" s="9" t="str">
        <f t="shared" si="1"/>
        <v>#REF!</v>
      </c>
    </row>
    <row r="984" hidden="1">
      <c r="A984" s="2" t="s">
        <v>903</v>
      </c>
      <c r="B984" s="2" t="s">
        <v>542</v>
      </c>
      <c r="C984" s="2" t="s">
        <v>119</v>
      </c>
      <c r="D984" s="2" t="s">
        <v>64</v>
      </c>
      <c r="E984" s="7" t="b">
        <v>1</v>
      </c>
      <c r="F984" s="9">
        <v>131.0</v>
      </c>
      <c r="G984" s="9">
        <v>12.34870103718766</v>
      </c>
      <c r="H984" s="9">
        <v>0.0027138931297709</v>
      </c>
      <c r="I984" s="7" t="b">
        <v>1</v>
      </c>
      <c r="J984" s="9">
        <v>0.0</v>
      </c>
      <c r="K984" s="7" t="b">
        <v>0</v>
      </c>
      <c r="L984" s="9">
        <v>261.0</v>
      </c>
      <c r="M984" s="9">
        <v>1.9924</v>
      </c>
      <c r="N984" s="2" t="s">
        <v>1578</v>
      </c>
      <c r="O984" s="2" t="s">
        <v>4286</v>
      </c>
      <c r="P984" s="9">
        <v>66.72</v>
      </c>
      <c r="Q984" s="9">
        <v>61.0</v>
      </c>
      <c r="R984" s="9">
        <v>0.031746</v>
      </c>
      <c r="S984" s="9">
        <v>0.7003</v>
      </c>
      <c r="T984" s="9">
        <v>0.9879</v>
      </c>
      <c r="U984" s="2" t="s">
        <v>3103</v>
      </c>
      <c r="V984" s="9">
        <v>0.7583</v>
      </c>
      <c r="W984" s="2" t="s">
        <v>181</v>
      </c>
      <c r="X984" s="2" t="s">
        <v>495</v>
      </c>
      <c r="Y984" s="2" t="s">
        <v>1980</v>
      </c>
      <c r="Z984" s="9">
        <v>0.5556</v>
      </c>
      <c r="AA984" s="9">
        <v>0.7003</v>
      </c>
      <c r="AB984" s="9">
        <v>0.7583</v>
      </c>
      <c r="AC984" s="9">
        <v>0.2065</v>
      </c>
      <c r="AD984" s="9" t="str">
        <f t="shared" si="1"/>
        <v>#REF!</v>
      </c>
    </row>
    <row r="985" hidden="1">
      <c r="A985" s="2" t="s">
        <v>903</v>
      </c>
      <c r="B985" s="2" t="s">
        <v>937</v>
      </c>
      <c r="C985" s="2" t="s">
        <v>119</v>
      </c>
      <c r="D985" s="2" t="s">
        <v>64</v>
      </c>
      <c r="E985" s="7" t="b">
        <v>1</v>
      </c>
      <c r="F985" s="9">
        <v>1050.0</v>
      </c>
      <c r="G985" s="9">
        <v>1.371785541242749</v>
      </c>
      <c r="H985" s="9">
        <v>0.0084186228571428</v>
      </c>
      <c r="I985" s="7" t="b">
        <v>1</v>
      </c>
      <c r="J985" s="9">
        <v>0.0</v>
      </c>
      <c r="K985" s="7" t="b">
        <v>0</v>
      </c>
      <c r="L985" s="9">
        <v>392428.0</v>
      </c>
      <c r="M985" s="9">
        <v>373.741</v>
      </c>
      <c r="N985" s="2" t="s">
        <v>4691</v>
      </c>
      <c r="O985" s="2" t="s">
        <v>4692</v>
      </c>
      <c r="P985" s="9">
        <v>61.78</v>
      </c>
      <c r="Q985" s="9">
        <v>56.0</v>
      </c>
      <c r="R985" s="9">
        <v>0.012113</v>
      </c>
      <c r="S985" s="9">
        <v>0.8746</v>
      </c>
      <c r="T985" s="9">
        <v>0.1581</v>
      </c>
      <c r="U985" s="2" t="s">
        <v>4693</v>
      </c>
      <c r="V985" s="9">
        <v>0.7603</v>
      </c>
      <c r="W985" s="2" t="s">
        <v>2879</v>
      </c>
      <c r="X985" s="2" t="s">
        <v>495</v>
      </c>
      <c r="Y985" s="2" t="s">
        <v>2880</v>
      </c>
      <c r="Z985" s="9">
        <v>0.8296</v>
      </c>
      <c r="AA985" s="9">
        <v>0.8746</v>
      </c>
      <c r="AB985" s="9">
        <v>0.7603</v>
      </c>
      <c r="AC985" s="9">
        <v>0.13</v>
      </c>
      <c r="AD985" s="9" t="str">
        <f t="shared" si="1"/>
        <v>#REF!</v>
      </c>
    </row>
    <row r="986" hidden="1">
      <c r="A986" s="2" t="s">
        <v>903</v>
      </c>
      <c r="B986" s="2" t="s">
        <v>997</v>
      </c>
      <c r="C986" s="2" t="s">
        <v>119</v>
      </c>
      <c r="D986" s="2" t="s">
        <v>64</v>
      </c>
      <c r="E986" s="7" t="b">
        <v>1</v>
      </c>
      <c r="F986" s="9">
        <v>2858.0</v>
      </c>
      <c r="G986" s="9">
        <v>23.30111541086536</v>
      </c>
      <c r="H986" s="9">
        <v>0.1006399650104968</v>
      </c>
      <c r="I986" s="7" t="b">
        <v>1</v>
      </c>
      <c r="J986" s="9">
        <v>0.0</v>
      </c>
      <c r="K986" s="7" t="b">
        <v>0</v>
      </c>
      <c r="L986" s="9">
        <v>1635.0</v>
      </c>
      <c r="M986" s="9">
        <v>0.5721</v>
      </c>
      <c r="N986" s="2" t="s">
        <v>3571</v>
      </c>
      <c r="O986" s="2" t="s">
        <v>4694</v>
      </c>
      <c r="P986" s="9">
        <v>64.51</v>
      </c>
      <c r="Q986" s="9">
        <v>59.0</v>
      </c>
      <c r="R986" s="9">
        <v>0.017699</v>
      </c>
      <c r="S986" s="9">
        <v>0.8546</v>
      </c>
      <c r="T986" s="9">
        <v>0.9392</v>
      </c>
      <c r="U986" s="2" t="s">
        <v>572</v>
      </c>
      <c r="V986" s="9">
        <v>0.747</v>
      </c>
      <c r="W986" s="2" t="s">
        <v>157</v>
      </c>
      <c r="X986" s="2" t="s">
        <v>84</v>
      </c>
      <c r="Y986" s="2" t="s">
        <v>2675</v>
      </c>
      <c r="Z986" s="9">
        <v>0.6967</v>
      </c>
      <c r="AA986" s="9">
        <v>0.8546</v>
      </c>
      <c r="AB986" s="9">
        <v>0.747</v>
      </c>
      <c r="AC986" s="9">
        <v>0.7534</v>
      </c>
      <c r="AD986" s="9" t="str">
        <f t="shared" si="1"/>
        <v>#REF!</v>
      </c>
    </row>
    <row r="987" hidden="1">
      <c r="A987" s="2" t="s">
        <v>903</v>
      </c>
      <c r="B987" s="2" t="s">
        <v>1027</v>
      </c>
      <c r="C987" s="2" t="s">
        <v>119</v>
      </c>
      <c r="D987" s="2" t="s">
        <v>64</v>
      </c>
      <c r="E987" s="7" t="b">
        <v>1</v>
      </c>
      <c r="F987" s="9">
        <v>100.0</v>
      </c>
      <c r="G987" s="9">
        <v>12.58780292095447</v>
      </c>
      <c r="H987" s="9">
        <v>0.0016517539999999</v>
      </c>
      <c r="I987" s="7" t="b">
        <v>1</v>
      </c>
      <c r="J987" s="9">
        <v>0.0</v>
      </c>
      <c r="K987" s="7" t="b">
        <v>0</v>
      </c>
      <c r="L987" s="9">
        <v>72.0</v>
      </c>
      <c r="M987" s="9">
        <v>0.72</v>
      </c>
      <c r="N987" s="2" t="s">
        <v>1460</v>
      </c>
      <c r="O987" s="2" t="s">
        <v>2475</v>
      </c>
      <c r="P987" s="9">
        <v>45.72</v>
      </c>
      <c r="Q987" s="9">
        <v>41.5</v>
      </c>
      <c r="R987" s="9">
        <v>0.0</v>
      </c>
      <c r="S987" s="9">
        <v>0.1661</v>
      </c>
      <c r="T987" s="9">
        <v>0.287</v>
      </c>
      <c r="U987" s="2" t="s">
        <v>4506</v>
      </c>
      <c r="V987" s="9">
        <v>0.3</v>
      </c>
      <c r="W987" s="2" t="s">
        <v>157</v>
      </c>
      <c r="X987" s="2" t="s">
        <v>1521</v>
      </c>
      <c r="Y987" s="2" t="s">
        <v>1536</v>
      </c>
      <c r="Z987" s="9">
        <v>0.1278</v>
      </c>
      <c r="AA987" s="9">
        <v>0.1661</v>
      </c>
      <c r="AB987" s="9">
        <v>0.3</v>
      </c>
      <c r="AC987" s="9">
        <v>0.0074</v>
      </c>
      <c r="AD987" s="9" t="str">
        <f t="shared" si="1"/>
        <v>#REF!</v>
      </c>
    </row>
    <row r="988" hidden="1">
      <c r="A988" s="2" t="s">
        <v>903</v>
      </c>
      <c r="B988" s="2" t="s">
        <v>1047</v>
      </c>
      <c r="C988" s="2" t="s">
        <v>119</v>
      </c>
      <c r="D988" s="2" t="s">
        <v>64</v>
      </c>
      <c r="E988" s="7" t="b">
        <v>1</v>
      </c>
      <c r="F988" s="9">
        <v>84.0</v>
      </c>
      <c r="G988" s="9">
        <v>3.700187897515469</v>
      </c>
      <c r="H988" s="9">
        <v>0.00205375</v>
      </c>
      <c r="I988" s="7" t="b">
        <v>1</v>
      </c>
      <c r="J988" s="9">
        <v>0.0</v>
      </c>
      <c r="K988" s="7" t="b">
        <v>0</v>
      </c>
      <c r="L988" s="9">
        <v>12350.0</v>
      </c>
      <c r="M988" s="9">
        <v>147.0238</v>
      </c>
      <c r="N988" s="2" t="s">
        <v>4695</v>
      </c>
      <c r="O988" s="2" t="s">
        <v>4696</v>
      </c>
      <c r="P988" s="9">
        <v>40.61</v>
      </c>
      <c r="Q988" s="9">
        <v>36.0</v>
      </c>
      <c r="R988" s="9">
        <v>0.009302</v>
      </c>
      <c r="S988" s="9">
        <v>0.7288</v>
      </c>
      <c r="T988" s="9">
        <v>0.1925</v>
      </c>
      <c r="U988" s="2" t="s">
        <v>4453</v>
      </c>
      <c r="V988" s="9">
        <v>0.8688</v>
      </c>
      <c r="W988" s="2" t="s">
        <v>1771</v>
      </c>
      <c r="X988" s="2" t="s">
        <v>1466</v>
      </c>
      <c r="Y988" s="2" t="s">
        <v>2821</v>
      </c>
      <c r="Z988" s="9">
        <v>0.6427</v>
      </c>
      <c r="AA988" s="9">
        <v>0.7288</v>
      </c>
      <c r="AB988" s="9">
        <v>0.8688</v>
      </c>
      <c r="AC988" s="9">
        <v>0.1454</v>
      </c>
      <c r="AD988" s="9" t="str">
        <f t="shared" si="1"/>
        <v>#REF!</v>
      </c>
    </row>
    <row r="989" hidden="1">
      <c r="A989" s="2" t="s">
        <v>903</v>
      </c>
      <c r="B989" s="2" t="s">
        <v>1053</v>
      </c>
      <c r="C989" s="2" t="s">
        <v>119</v>
      </c>
      <c r="D989" s="2" t="s">
        <v>64</v>
      </c>
      <c r="E989" s="7" t="b">
        <v>1</v>
      </c>
      <c r="F989" s="9">
        <v>54.0</v>
      </c>
      <c r="G989" s="9">
        <v>3.709527517063663</v>
      </c>
      <c r="H989" s="9">
        <v>0.0012322222222222</v>
      </c>
      <c r="I989" s="7" t="b">
        <v>1</v>
      </c>
      <c r="J989" s="9">
        <v>0.0</v>
      </c>
      <c r="K989" s="7" t="b">
        <v>0</v>
      </c>
      <c r="L989" s="9">
        <v>13069.0</v>
      </c>
      <c r="M989" s="9">
        <v>242.0185</v>
      </c>
      <c r="N989" s="2" t="s">
        <v>4697</v>
      </c>
      <c r="O989" s="2" t="s">
        <v>4698</v>
      </c>
      <c r="P989" s="9">
        <v>40.47</v>
      </c>
      <c r="Q989" s="9">
        <v>36.0</v>
      </c>
      <c r="R989" s="9">
        <v>0.007786</v>
      </c>
      <c r="S989" s="9">
        <v>0.7276</v>
      </c>
      <c r="T989" s="9">
        <v>0.1979</v>
      </c>
      <c r="U989" s="2" t="s">
        <v>3483</v>
      </c>
      <c r="V989" s="9">
        <v>0.8703</v>
      </c>
      <c r="W989" s="2" t="s">
        <v>1600</v>
      </c>
      <c r="X989" s="2" t="s">
        <v>1466</v>
      </c>
      <c r="Y989" s="2" t="s">
        <v>2821</v>
      </c>
      <c r="Z989" s="9">
        <v>0.6429</v>
      </c>
      <c r="AA989" s="9">
        <v>0.7276</v>
      </c>
      <c r="AB989" s="9">
        <v>0.8703</v>
      </c>
      <c r="AC989" s="9">
        <v>0.1439</v>
      </c>
      <c r="AD989" s="9" t="str">
        <f t="shared" si="1"/>
        <v>#REF!</v>
      </c>
    </row>
    <row r="990" hidden="1">
      <c r="A990" s="2" t="s">
        <v>903</v>
      </c>
      <c r="B990" s="2" t="s">
        <v>1093</v>
      </c>
      <c r="C990" s="2" t="s">
        <v>119</v>
      </c>
      <c r="D990" s="2" t="s">
        <v>64</v>
      </c>
      <c r="E990" s="7" t="b">
        <v>1</v>
      </c>
      <c r="F990" s="9">
        <v>56.0</v>
      </c>
      <c r="G990" s="9">
        <v>9.94298652811134</v>
      </c>
      <c r="H990" s="9">
        <v>0.0068225357142857</v>
      </c>
      <c r="I990" s="7" t="b">
        <v>1</v>
      </c>
      <c r="J990" s="9">
        <v>0.0</v>
      </c>
      <c r="K990" s="7" t="b">
        <v>0</v>
      </c>
      <c r="L990" s="9">
        <v>1194.0</v>
      </c>
      <c r="M990" s="9">
        <v>21.3214</v>
      </c>
      <c r="N990" s="2" t="s">
        <v>4699</v>
      </c>
      <c r="O990" s="2" t="s">
        <v>231</v>
      </c>
      <c r="P990" s="9">
        <v>54.64</v>
      </c>
      <c r="Q990" s="9">
        <v>49.0</v>
      </c>
      <c r="R990" s="9">
        <v>0.005988</v>
      </c>
      <c r="S990" s="9">
        <v>0.0</v>
      </c>
      <c r="T990" s="9">
        <v>0.0822</v>
      </c>
      <c r="U990" s="2" t="s">
        <v>4453</v>
      </c>
      <c r="V990" s="9">
        <v>0.7059</v>
      </c>
      <c r="W990" s="2" t="s">
        <v>157</v>
      </c>
      <c r="X990" s="2" t="s">
        <v>1466</v>
      </c>
      <c r="Y990" s="2" t="s">
        <v>2821</v>
      </c>
      <c r="Z990" s="9">
        <v>0.0</v>
      </c>
      <c r="AA990" s="9">
        <v>0.0</v>
      </c>
      <c r="AB990" s="9">
        <v>0.7059</v>
      </c>
      <c r="AC990" s="9">
        <v>0.1019</v>
      </c>
      <c r="AD990" s="9" t="str">
        <f t="shared" si="1"/>
        <v>#REF!</v>
      </c>
    </row>
    <row r="991" hidden="1">
      <c r="A991" s="2" t="s">
        <v>880</v>
      </c>
      <c r="B991" s="2" t="s">
        <v>997</v>
      </c>
      <c r="C991" s="2" t="s">
        <v>119</v>
      </c>
      <c r="D991" s="2" t="s">
        <v>64</v>
      </c>
      <c r="E991" s="7" t="b">
        <v>1</v>
      </c>
      <c r="F991" s="9">
        <v>178.0</v>
      </c>
      <c r="G991" s="9">
        <v>37.47845685784333</v>
      </c>
      <c r="H991" s="9">
        <v>0.0168332342696629</v>
      </c>
      <c r="I991" s="7" t="b">
        <v>1</v>
      </c>
      <c r="J991" s="9">
        <v>0.0</v>
      </c>
      <c r="K991" s="7" t="b">
        <v>0</v>
      </c>
      <c r="L991" s="9">
        <v>121.0</v>
      </c>
      <c r="M991" s="9">
        <v>0.6798</v>
      </c>
      <c r="N991" s="2" t="s">
        <v>309</v>
      </c>
      <c r="O991" s="2" t="s">
        <v>310</v>
      </c>
      <c r="P991" s="9">
        <v>77.13</v>
      </c>
      <c r="Q991" s="9">
        <v>82.0</v>
      </c>
      <c r="R991" s="9">
        <v>0.0</v>
      </c>
      <c r="S991" s="9">
        <v>0.5849</v>
      </c>
      <c r="T991" s="9">
        <v>0.9992</v>
      </c>
      <c r="U991" s="2" t="s">
        <v>1741</v>
      </c>
      <c r="V991" s="9">
        <v>0.3</v>
      </c>
      <c r="W991" s="2" t="s">
        <v>157</v>
      </c>
      <c r="X991" s="2" t="s">
        <v>517</v>
      </c>
      <c r="Y991" s="2" t="s">
        <v>1375</v>
      </c>
      <c r="Z991" s="9">
        <v>0.4609</v>
      </c>
      <c r="AA991" s="9">
        <v>0.5849</v>
      </c>
      <c r="AB991" s="9">
        <v>0.3</v>
      </c>
      <c r="AC991" s="9">
        <v>0.6584</v>
      </c>
      <c r="AD991" s="9" t="str">
        <f t="shared" si="1"/>
        <v>#REF!</v>
      </c>
    </row>
    <row r="992" hidden="1">
      <c r="A992" s="2" t="s">
        <v>2083</v>
      </c>
      <c r="B992" s="2" t="s">
        <v>1015</v>
      </c>
      <c r="C992" s="2" t="s">
        <v>1439</v>
      </c>
      <c r="D992" s="2" t="s">
        <v>64</v>
      </c>
      <c r="E992" s="7" t="b">
        <v>1</v>
      </c>
      <c r="F992" s="9">
        <v>50.0</v>
      </c>
      <c r="G992" s="9">
        <v>15.21361612578673</v>
      </c>
      <c r="H992" s="9">
        <v>0.00288192</v>
      </c>
      <c r="I992" s="7" t="b">
        <v>1</v>
      </c>
      <c r="J992" s="9">
        <v>0.0</v>
      </c>
      <c r="K992" s="7" t="b">
        <v>0</v>
      </c>
      <c r="L992" s="9">
        <v>29.0</v>
      </c>
      <c r="M992" s="9">
        <v>0.58</v>
      </c>
      <c r="N992" s="2" t="s">
        <v>2619</v>
      </c>
      <c r="O992" s="2" t="s">
        <v>1552</v>
      </c>
      <c r="P992" s="9">
        <v>63.28</v>
      </c>
      <c r="Q992" s="9">
        <v>60.0</v>
      </c>
      <c r="R992" s="9">
        <v>0.0</v>
      </c>
      <c r="S992" s="9">
        <v>0.4099</v>
      </c>
      <c r="T992" s="9">
        <v>0.9801</v>
      </c>
      <c r="U992" s="2" t="s">
        <v>1995</v>
      </c>
      <c r="V992" s="15"/>
      <c r="W992" s="2" t="s">
        <v>134</v>
      </c>
      <c r="X992" s="2" t="s">
        <v>1455</v>
      </c>
      <c r="Y992" s="2" t="s">
        <v>1456</v>
      </c>
      <c r="Z992" s="9">
        <v>0.3242</v>
      </c>
      <c r="AA992" s="9">
        <v>0.4099</v>
      </c>
      <c r="AB992" s="15"/>
      <c r="AC992" s="9">
        <v>0.8382</v>
      </c>
      <c r="AD992" s="9" t="str">
        <f t="shared" si="1"/>
        <v>#REF!</v>
      </c>
    </row>
    <row r="993" hidden="1">
      <c r="A993" s="2" t="s">
        <v>2308</v>
      </c>
      <c r="B993" s="2" t="s">
        <v>87</v>
      </c>
      <c r="C993" s="2" t="s">
        <v>1316</v>
      </c>
      <c r="D993" s="2" t="s">
        <v>64</v>
      </c>
      <c r="E993" s="7" t="b">
        <v>1</v>
      </c>
      <c r="F993" s="9">
        <v>15.0</v>
      </c>
      <c r="G993" s="9">
        <v>4.613861049892972</v>
      </c>
      <c r="H993" s="9">
        <v>0.00293066</v>
      </c>
      <c r="I993" s="7" t="b">
        <v>1</v>
      </c>
      <c r="J993" s="9">
        <v>0.0</v>
      </c>
      <c r="K993" s="7" t="b">
        <v>0</v>
      </c>
      <c r="L993" s="9">
        <v>4.0</v>
      </c>
      <c r="M993" s="9">
        <v>0.2667</v>
      </c>
      <c r="N993" s="2" t="s">
        <v>2958</v>
      </c>
      <c r="O993" s="2" t="s">
        <v>1629</v>
      </c>
      <c r="P993" s="9">
        <v>87.0</v>
      </c>
      <c r="Q993" s="9">
        <v>78.5</v>
      </c>
      <c r="R993" s="9">
        <v>0.0</v>
      </c>
      <c r="S993" s="9">
        <v>0.0</v>
      </c>
      <c r="T993" s="9">
        <v>0.3825</v>
      </c>
      <c r="U993" s="2" t="s">
        <v>1165</v>
      </c>
      <c r="V993" s="9">
        <v>0.55</v>
      </c>
      <c r="W993" s="2" t="s">
        <v>82</v>
      </c>
      <c r="X993" s="2" t="s">
        <v>1466</v>
      </c>
      <c r="Y993" s="2" t="s">
        <v>4700</v>
      </c>
      <c r="Z993" s="9">
        <v>0.0747</v>
      </c>
      <c r="AA993" s="9">
        <v>0.0</v>
      </c>
      <c r="AB993" s="9">
        <v>0.55</v>
      </c>
      <c r="AC993" s="9">
        <v>0.0</v>
      </c>
      <c r="AD993" s="9" t="str">
        <f t="shared" si="1"/>
        <v>#REF!</v>
      </c>
    </row>
    <row r="994" hidden="1">
      <c r="A994" s="2" t="s">
        <v>2304</v>
      </c>
      <c r="B994" s="2" t="s">
        <v>997</v>
      </c>
      <c r="C994" s="2" t="s">
        <v>1316</v>
      </c>
      <c r="D994" s="2" t="s">
        <v>64</v>
      </c>
      <c r="E994" s="7" t="b">
        <v>1</v>
      </c>
      <c r="F994" s="9">
        <v>366.0</v>
      </c>
      <c r="G994" s="9">
        <v>31.27765629828073</v>
      </c>
      <c r="H994" s="9">
        <v>0.0240367426229508</v>
      </c>
      <c r="I994" s="7" t="b">
        <v>1</v>
      </c>
      <c r="J994" s="9">
        <v>0.0</v>
      </c>
      <c r="K994" s="7" t="b">
        <v>0</v>
      </c>
      <c r="L994" s="9">
        <v>169.0</v>
      </c>
      <c r="M994" s="9">
        <v>0.4617</v>
      </c>
      <c r="N994" s="2" t="s">
        <v>509</v>
      </c>
      <c r="O994" s="2" t="s">
        <v>1598</v>
      </c>
      <c r="P994" s="9">
        <v>83.57</v>
      </c>
      <c r="Q994" s="9">
        <v>77.0</v>
      </c>
      <c r="R994" s="9">
        <v>0.0</v>
      </c>
      <c r="S994" s="9">
        <v>0.6257</v>
      </c>
      <c r="T994" s="9">
        <v>0.9986</v>
      </c>
      <c r="U994" s="2" t="s">
        <v>2092</v>
      </c>
      <c r="V994" s="9">
        <v>0.8193</v>
      </c>
      <c r="W994" s="2" t="s">
        <v>82</v>
      </c>
      <c r="X994" s="2" t="s">
        <v>495</v>
      </c>
      <c r="Y994" s="2" t="s">
        <v>1792</v>
      </c>
      <c r="Z994" s="9">
        <v>0.4923</v>
      </c>
      <c r="AA994" s="9">
        <v>0.6257</v>
      </c>
      <c r="AB994" s="9">
        <v>0.8193</v>
      </c>
      <c r="AC994" s="9">
        <v>0.6858</v>
      </c>
      <c r="AD994" s="9" t="str">
        <f t="shared" si="1"/>
        <v>#REF!</v>
      </c>
    </row>
    <row r="995" hidden="1">
      <c r="A995" s="2" t="s">
        <v>2300</v>
      </c>
      <c r="B995" s="2" t="s">
        <v>87</v>
      </c>
      <c r="C995" s="2" t="s">
        <v>1316</v>
      </c>
      <c r="D995" s="2" t="s">
        <v>64</v>
      </c>
      <c r="E995" s="7" t="b">
        <v>1</v>
      </c>
      <c r="F995" s="9">
        <v>2.0</v>
      </c>
      <c r="G995" s="9">
        <v>23.54821474974666</v>
      </c>
      <c r="H995" s="9">
        <v>0.010199</v>
      </c>
      <c r="I995" s="7" t="b">
        <v>1</v>
      </c>
      <c r="J995" s="9">
        <v>0.0</v>
      </c>
      <c r="K995" s="7" t="b">
        <v>0</v>
      </c>
      <c r="L995" s="9">
        <v>1.0</v>
      </c>
      <c r="M995" s="9">
        <v>0.5</v>
      </c>
      <c r="N995" s="2" t="s">
        <v>1628</v>
      </c>
      <c r="O995" s="2" t="s">
        <v>1629</v>
      </c>
      <c r="P995" s="9">
        <v>129.0</v>
      </c>
      <c r="Q995" s="9">
        <v>129.0</v>
      </c>
      <c r="R995" s="9">
        <v>0.0</v>
      </c>
      <c r="S995" s="9">
        <v>0.0</v>
      </c>
      <c r="T995" s="9">
        <v>1.0003</v>
      </c>
      <c r="U995" s="2" t="s">
        <v>4701</v>
      </c>
      <c r="V995" s="15"/>
      <c r="W995" s="2" t="s">
        <v>82</v>
      </c>
      <c r="X995" s="2" t="s">
        <v>1621</v>
      </c>
      <c r="Y995" s="2" t="s">
        <v>1622</v>
      </c>
      <c r="Z995" s="9">
        <v>0.0</v>
      </c>
      <c r="AA995" s="9">
        <v>0.0</v>
      </c>
      <c r="AB995" s="15"/>
      <c r="AC995" s="9">
        <v>0.55</v>
      </c>
      <c r="AD995" s="9" t="str">
        <f t="shared" si="1"/>
        <v>#REF!</v>
      </c>
    </row>
    <row r="996" hidden="1">
      <c r="A996" s="2" t="s">
        <v>2300</v>
      </c>
      <c r="B996" s="2" t="s">
        <v>503</v>
      </c>
      <c r="C996" s="2" t="s">
        <v>1316</v>
      </c>
      <c r="D996" s="2" t="s">
        <v>64</v>
      </c>
      <c r="E996" s="7" t="b">
        <v>1</v>
      </c>
      <c r="F996" s="9">
        <v>140.0</v>
      </c>
      <c r="G996" s="9">
        <v>22.93803832578156</v>
      </c>
      <c r="H996" s="9">
        <v>0.0065376985714285</v>
      </c>
      <c r="I996" s="7" t="b">
        <v>1</v>
      </c>
      <c r="J996" s="9">
        <v>0.0</v>
      </c>
      <c r="K996" s="7" t="b">
        <v>0</v>
      </c>
      <c r="L996" s="9">
        <v>111.0</v>
      </c>
      <c r="M996" s="9">
        <v>0.7929</v>
      </c>
      <c r="N996" s="2" t="s">
        <v>1460</v>
      </c>
      <c r="O996" s="2" t="s">
        <v>1396</v>
      </c>
      <c r="P996" s="9">
        <v>61.95</v>
      </c>
      <c r="Q996" s="9">
        <v>44.0</v>
      </c>
      <c r="R996" s="9">
        <v>0.0</v>
      </c>
      <c r="S996" s="9">
        <v>0.4946</v>
      </c>
      <c r="T996" s="9">
        <v>0.8858</v>
      </c>
      <c r="U996" s="2" t="s">
        <v>1245</v>
      </c>
      <c r="V996" s="9">
        <v>0.8193</v>
      </c>
      <c r="W996" s="2" t="s">
        <v>157</v>
      </c>
      <c r="X996" s="2" t="s">
        <v>517</v>
      </c>
      <c r="Y996" s="2" t="s">
        <v>1711</v>
      </c>
      <c r="Z996" s="9">
        <v>0.394</v>
      </c>
      <c r="AA996" s="9">
        <v>0.4946</v>
      </c>
      <c r="AB996" s="9">
        <v>0.8193</v>
      </c>
      <c r="AC996" s="9">
        <v>0.2037</v>
      </c>
      <c r="AD996" s="9" t="str">
        <f t="shared" si="1"/>
        <v>#REF!</v>
      </c>
    </row>
    <row r="997" hidden="1">
      <c r="A997" s="2" t="s">
        <v>155</v>
      </c>
      <c r="B997" s="2" t="s">
        <v>997</v>
      </c>
      <c r="C997" s="2" t="s">
        <v>1439</v>
      </c>
      <c r="D997" s="2" t="s">
        <v>64</v>
      </c>
      <c r="E997" s="7" t="b">
        <v>1</v>
      </c>
      <c r="F997" s="9">
        <v>202.0</v>
      </c>
      <c r="G997" s="9">
        <v>20.20946409654193</v>
      </c>
      <c r="H997" s="9">
        <v>0.0055644995049504</v>
      </c>
      <c r="I997" s="7" t="b">
        <v>1</v>
      </c>
      <c r="J997" s="9">
        <v>0.0</v>
      </c>
      <c r="K997" s="7" t="b">
        <v>0</v>
      </c>
      <c r="L997" s="9">
        <v>109.0</v>
      </c>
      <c r="M997" s="9">
        <v>0.5396</v>
      </c>
      <c r="N997" s="2" t="s">
        <v>1825</v>
      </c>
      <c r="O997" s="2" t="s">
        <v>1533</v>
      </c>
      <c r="P997" s="9">
        <v>64.19</v>
      </c>
      <c r="Q997" s="9">
        <v>69.0</v>
      </c>
      <c r="R997" s="9">
        <v>0.0</v>
      </c>
      <c r="S997" s="9">
        <v>0.5763</v>
      </c>
      <c r="T997" s="9">
        <v>1.001</v>
      </c>
      <c r="U997" s="2" t="s">
        <v>603</v>
      </c>
      <c r="V997" s="9">
        <v>0.8625</v>
      </c>
      <c r="W997" s="2" t="s">
        <v>134</v>
      </c>
      <c r="X997" s="2" t="s">
        <v>495</v>
      </c>
      <c r="Y997" s="2" t="s">
        <v>1718</v>
      </c>
      <c r="Z997" s="9">
        <v>0.45</v>
      </c>
      <c r="AA997" s="9">
        <v>0.5763</v>
      </c>
      <c r="AB997" s="9">
        <v>0.8625</v>
      </c>
      <c r="AC997" s="9">
        <v>0.6707</v>
      </c>
      <c r="AD997" s="9" t="str">
        <f t="shared" si="1"/>
        <v>#REF!</v>
      </c>
    </row>
    <row r="998" hidden="1">
      <c r="A998" s="2" t="s">
        <v>1431</v>
      </c>
      <c r="B998" s="2" t="s">
        <v>997</v>
      </c>
      <c r="C998" s="2" t="s">
        <v>119</v>
      </c>
      <c r="D998" s="2" t="s">
        <v>64</v>
      </c>
      <c r="E998" s="7" t="b">
        <v>1</v>
      </c>
      <c r="F998" s="9">
        <v>237.0</v>
      </c>
      <c r="G998" s="9">
        <v>44.31242954771984</v>
      </c>
      <c r="H998" s="9">
        <v>0.0312596734177215</v>
      </c>
      <c r="I998" s="7" t="b">
        <v>1</v>
      </c>
      <c r="J998" s="9">
        <v>0.0</v>
      </c>
      <c r="K998" s="7" t="b">
        <v>0</v>
      </c>
      <c r="L998" s="9">
        <v>144.0</v>
      </c>
      <c r="M998" s="9">
        <v>0.6076</v>
      </c>
      <c r="N998" s="2" t="s">
        <v>1689</v>
      </c>
      <c r="O998" s="2" t="s">
        <v>1690</v>
      </c>
      <c r="P998" s="9">
        <v>90.81</v>
      </c>
      <c r="Q998" s="9">
        <v>80.0</v>
      </c>
      <c r="R998" s="9">
        <v>0.055556</v>
      </c>
      <c r="S998" s="9">
        <v>0.6058</v>
      </c>
      <c r="T998" s="9">
        <v>0.9858</v>
      </c>
      <c r="U998" s="2" t="s">
        <v>2338</v>
      </c>
      <c r="V998" s="9">
        <v>0.7472</v>
      </c>
      <c r="W998" s="2" t="s">
        <v>82</v>
      </c>
      <c r="X998" s="2" t="s">
        <v>84</v>
      </c>
      <c r="Y998" s="2" t="s">
        <v>2340</v>
      </c>
      <c r="Z998" s="9">
        <v>0.4758</v>
      </c>
      <c r="AA998" s="9">
        <v>0.6058</v>
      </c>
      <c r="AB998" s="9">
        <v>0.7472</v>
      </c>
      <c r="AC998" s="9">
        <v>0.6793</v>
      </c>
      <c r="AD998" s="9" t="str">
        <f t="shared" si="1"/>
        <v>#REF!</v>
      </c>
    </row>
    <row r="999" hidden="1">
      <c r="A999" s="2" t="s">
        <v>1918</v>
      </c>
      <c r="B999" s="2" t="s">
        <v>937</v>
      </c>
      <c r="C999" s="2" t="s">
        <v>1439</v>
      </c>
      <c r="D999" s="2" t="s">
        <v>64</v>
      </c>
      <c r="E999" s="7" t="b">
        <v>1</v>
      </c>
      <c r="F999" s="9">
        <v>888.0</v>
      </c>
      <c r="G999" s="9">
        <v>1.391179470123876</v>
      </c>
      <c r="H999" s="9">
        <v>0.0073839909909909</v>
      </c>
      <c r="I999" s="7" t="b">
        <v>1</v>
      </c>
      <c r="J999" s="9">
        <v>0.0</v>
      </c>
      <c r="K999" s="7" t="b">
        <v>0</v>
      </c>
      <c r="L999" s="9">
        <v>335389.0</v>
      </c>
      <c r="M999" s="9">
        <v>377.6903</v>
      </c>
      <c r="N999" s="2" t="s">
        <v>4702</v>
      </c>
      <c r="O999" s="2" t="s">
        <v>4703</v>
      </c>
      <c r="P999" s="9">
        <v>65.59</v>
      </c>
      <c r="Q999" s="9">
        <v>60.0</v>
      </c>
      <c r="R999" s="9">
        <v>0.011794</v>
      </c>
      <c r="S999" s="9">
        <v>0.8639</v>
      </c>
      <c r="T999" s="9">
        <v>0.1483</v>
      </c>
      <c r="U999" s="2" t="s">
        <v>4693</v>
      </c>
      <c r="V999" s="9">
        <v>0.7052</v>
      </c>
      <c r="W999" s="2" t="s">
        <v>2879</v>
      </c>
      <c r="X999" s="2" t="s">
        <v>495</v>
      </c>
      <c r="Y999" s="2" t="s">
        <v>2880</v>
      </c>
      <c r="Z999" s="9">
        <v>0.8164</v>
      </c>
      <c r="AA999" s="9">
        <v>0.8639</v>
      </c>
      <c r="AB999" s="9">
        <v>0.7052</v>
      </c>
      <c r="AC999" s="9">
        <v>0.1343</v>
      </c>
      <c r="AD999" s="9" t="str">
        <f t="shared" si="1"/>
        <v>#REF!</v>
      </c>
    </row>
    <row r="1000" hidden="1">
      <c r="A1000" s="2" t="s">
        <v>1918</v>
      </c>
      <c r="B1000" s="2" t="s">
        <v>997</v>
      </c>
      <c r="C1000" s="2" t="s">
        <v>1439</v>
      </c>
      <c r="D1000" s="2" t="s">
        <v>64</v>
      </c>
      <c r="E1000" s="7" t="b">
        <v>1</v>
      </c>
      <c r="F1000" s="9">
        <v>1091.0</v>
      </c>
      <c r="G1000" s="9">
        <v>24.34136208294819</v>
      </c>
      <c r="H1000" s="9">
        <v>0.0429888670944088</v>
      </c>
      <c r="I1000" s="7" t="b">
        <v>1</v>
      </c>
      <c r="J1000" s="9">
        <v>0.0</v>
      </c>
      <c r="K1000" s="7" t="b">
        <v>0</v>
      </c>
      <c r="L1000" s="9">
        <v>652.0</v>
      </c>
      <c r="M1000" s="9">
        <v>0.5976</v>
      </c>
      <c r="N1000" s="2" t="s">
        <v>4704</v>
      </c>
      <c r="O1000" s="2" t="s">
        <v>4705</v>
      </c>
      <c r="P1000" s="9">
        <v>64.62</v>
      </c>
      <c r="Q1000" s="9">
        <v>62.0</v>
      </c>
      <c r="R1000" s="9">
        <v>0.011765</v>
      </c>
      <c r="S1000" s="9">
        <v>0.7732</v>
      </c>
      <c r="T1000" s="9">
        <v>0.9961</v>
      </c>
      <c r="U1000" s="2" t="s">
        <v>1528</v>
      </c>
      <c r="V1000" s="9">
        <v>0.6317</v>
      </c>
      <c r="W1000" s="2" t="s">
        <v>157</v>
      </c>
      <c r="X1000" s="2" t="s">
        <v>237</v>
      </c>
      <c r="Y1000" s="2" t="s">
        <v>1703</v>
      </c>
      <c r="Z1000" s="9">
        <v>0.6214</v>
      </c>
      <c r="AA1000" s="9">
        <v>0.7732</v>
      </c>
      <c r="AB1000" s="9">
        <v>0.6317</v>
      </c>
      <c r="AC1000" s="9">
        <v>0.767</v>
      </c>
      <c r="AD1000" s="9" t="str">
        <f t="shared" si="1"/>
        <v>#REF!</v>
      </c>
    </row>
    <row r="1001" hidden="1">
      <c r="A1001" s="2" t="s">
        <v>1918</v>
      </c>
      <c r="B1001" s="2" t="s">
        <v>1053</v>
      </c>
      <c r="C1001" s="2" t="s">
        <v>1439</v>
      </c>
      <c r="D1001" s="2" t="s">
        <v>64</v>
      </c>
      <c r="E1001" s="7" t="b">
        <v>1</v>
      </c>
      <c r="F1001" s="9">
        <v>133.0</v>
      </c>
      <c r="G1001" s="9">
        <v>3.509033708187973</v>
      </c>
      <c r="H1001" s="9">
        <v>0.002703992481203</v>
      </c>
      <c r="I1001" s="7" t="b">
        <v>1</v>
      </c>
      <c r="J1001" s="9">
        <v>0.0</v>
      </c>
      <c r="K1001" s="7" t="b">
        <v>0</v>
      </c>
      <c r="L1001" s="9">
        <v>10277.0</v>
      </c>
      <c r="M1001" s="9">
        <v>77.2707</v>
      </c>
      <c r="N1001" s="2" t="s">
        <v>4706</v>
      </c>
      <c r="O1001" s="2" t="s">
        <v>4554</v>
      </c>
      <c r="P1001" s="9">
        <v>42.39</v>
      </c>
      <c r="Q1001" s="9">
        <v>37.0</v>
      </c>
      <c r="R1001" s="9">
        <v>0.008091</v>
      </c>
      <c r="S1001" s="9">
        <v>0.7184</v>
      </c>
      <c r="T1001" s="9">
        <v>0.2145</v>
      </c>
      <c r="U1001" s="2" t="s">
        <v>2820</v>
      </c>
      <c r="V1001" s="9">
        <v>0.8652</v>
      </c>
      <c r="W1001" s="2" t="s">
        <v>1771</v>
      </c>
      <c r="X1001" s="2" t="s">
        <v>1466</v>
      </c>
      <c r="Y1001" s="2" t="s">
        <v>2821</v>
      </c>
      <c r="Z1001" s="9">
        <v>0.6306</v>
      </c>
      <c r="AA1001" s="9">
        <v>0.7184</v>
      </c>
      <c r="AB1001" s="9">
        <v>0.8652</v>
      </c>
      <c r="AC1001" s="9">
        <v>0.1361</v>
      </c>
      <c r="AD1001" s="9" t="str">
        <f t="shared" si="1"/>
        <v>#REF!</v>
      </c>
    </row>
    <row r="1002" hidden="1">
      <c r="A1002" s="2" t="s">
        <v>1238</v>
      </c>
      <c r="B1002" s="2" t="s">
        <v>942</v>
      </c>
      <c r="C1002" s="2" t="s">
        <v>119</v>
      </c>
      <c r="D1002" s="2" t="s">
        <v>64</v>
      </c>
      <c r="E1002" s="7" t="b">
        <v>1</v>
      </c>
      <c r="F1002" s="9">
        <v>683.0</v>
      </c>
      <c r="G1002" s="9">
        <v>5.764536769410108</v>
      </c>
      <c r="H1002" s="9">
        <v>0.001604463250366</v>
      </c>
      <c r="I1002" s="7" t="b">
        <v>1</v>
      </c>
      <c r="J1002" s="9">
        <v>0.0</v>
      </c>
      <c r="K1002" s="7" t="b">
        <v>0</v>
      </c>
      <c r="L1002" s="9">
        <v>4395.0</v>
      </c>
      <c r="M1002" s="9">
        <v>6.4348</v>
      </c>
      <c r="N1002" s="2" t="s">
        <v>4707</v>
      </c>
      <c r="O1002" s="2" t="s">
        <v>4675</v>
      </c>
      <c r="P1002" s="9">
        <v>45.08</v>
      </c>
      <c r="Q1002" s="9">
        <v>39.0</v>
      </c>
      <c r="R1002" s="9">
        <v>0.010057</v>
      </c>
      <c r="S1002" s="9">
        <v>0.7911</v>
      </c>
      <c r="T1002" s="9">
        <v>0.6561</v>
      </c>
      <c r="U1002" s="2" t="s">
        <v>4186</v>
      </c>
      <c r="V1002" s="9">
        <v>0.8739</v>
      </c>
      <c r="W1002" s="2" t="s">
        <v>1591</v>
      </c>
      <c r="X1002" s="2" t="s">
        <v>517</v>
      </c>
      <c r="Y1002" s="2" t="s">
        <v>2719</v>
      </c>
      <c r="Z1002" s="9">
        <v>0.6962</v>
      </c>
      <c r="AA1002" s="9">
        <v>0.7911</v>
      </c>
      <c r="AB1002" s="9">
        <v>0.8739</v>
      </c>
      <c r="AC1002" s="9">
        <v>0.1846</v>
      </c>
      <c r="AD1002" s="9" t="str">
        <f t="shared" si="1"/>
        <v>#REF!</v>
      </c>
    </row>
    <row r="1003" hidden="1">
      <c r="A1003" s="2" t="s">
        <v>1511</v>
      </c>
      <c r="B1003" s="2" t="s">
        <v>611</v>
      </c>
      <c r="C1003" s="2" t="s">
        <v>1439</v>
      </c>
      <c r="D1003" s="2" t="s">
        <v>64</v>
      </c>
      <c r="E1003" s="7" t="b">
        <v>1</v>
      </c>
      <c r="F1003" s="9">
        <v>400.0</v>
      </c>
      <c r="G1003" s="9">
        <v>6.073147486933882</v>
      </c>
      <c r="H1003" s="9">
        <v>0.0011952974999999</v>
      </c>
      <c r="I1003" s="7" t="b">
        <v>1</v>
      </c>
      <c r="J1003" s="9">
        <v>0.0</v>
      </c>
      <c r="K1003" s="7" t="b">
        <v>0</v>
      </c>
      <c r="L1003" s="9">
        <v>0.0</v>
      </c>
      <c r="M1003" s="9">
        <v>0.0</v>
      </c>
      <c r="N1003" s="15"/>
      <c r="O1003" s="15"/>
      <c r="P1003" s="15"/>
      <c r="Q1003" s="15"/>
      <c r="R1003" s="15"/>
      <c r="S1003" s="9">
        <v>0.0</v>
      </c>
      <c r="T1003" s="9">
        <v>0.0</v>
      </c>
      <c r="U1003" s="15"/>
      <c r="V1003" s="15"/>
      <c r="W1003" s="2" t="s">
        <v>82</v>
      </c>
      <c r="X1003" s="2" t="s">
        <v>1787</v>
      </c>
      <c r="Y1003" s="2" t="s">
        <v>2211</v>
      </c>
      <c r="Z1003" s="9">
        <v>0.0</v>
      </c>
      <c r="AA1003" s="9">
        <v>0.0</v>
      </c>
      <c r="AB1003" s="15"/>
      <c r="AC1003" s="15"/>
      <c r="AD1003" s="9" t="str">
        <f t="shared" si="1"/>
        <v>#REF!</v>
      </c>
    </row>
    <row r="1004">
      <c r="A1004" s="2" t="s">
        <v>1511</v>
      </c>
      <c r="B1004" s="2" t="s">
        <v>306</v>
      </c>
      <c r="C1004" s="2" t="s">
        <v>1439</v>
      </c>
      <c r="D1004" s="2" t="s">
        <v>64</v>
      </c>
      <c r="E1004" s="7" t="b">
        <v>1</v>
      </c>
      <c r="F1004" s="9">
        <v>72.0</v>
      </c>
      <c r="G1004" s="9">
        <v>22.28480534948963</v>
      </c>
      <c r="H1004" s="9">
        <v>0.0132333333333333</v>
      </c>
      <c r="I1004" s="7" t="b">
        <v>1</v>
      </c>
      <c r="J1004" s="9">
        <v>0.0</v>
      </c>
      <c r="K1004" s="7" t="b">
        <v>0</v>
      </c>
      <c r="L1004" s="9">
        <v>50.0</v>
      </c>
      <c r="M1004" s="9">
        <v>0.6944</v>
      </c>
      <c r="N1004" s="2" t="s">
        <v>1825</v>
      </c>
      <c r="O1004" s="2" t="s">
        <v>1533</v>
      </c>
      <c r="P1004" s="9">
        <v>75.22</v>
      </c>
      <c r="Q1004" s="9">
        <v>76.5</v>
      </c>
      <c r="R1004" s="9">
        <v>0.0</v>
      </c>
      <c r="S1004" s="9">
        <v>0.523</v>
      </c>
      <c r="T1004" s="9">
        <v>1.0011</v>
      </c>
      <c r="U1004" s="2" t="s">
        <v>930</v>
      </c>
      <c r="V1004" s="9">
        <v>0.0</v>
      </c>
      <c r="W1004" s="2" t="s">
        <v>82</v>
      </c>
      <c r="X1004" s="2" t="s">
        <v>495</v>
      </c>
      <c r="Y1004" s="2" t="s">
        <v>1408</v>
      </c>
      <c r="Z1004" s="9">
        <v>0.3999</v>
      </c>
      <c r="AA1004" s="9">
        <v>0.523</v>
      </c>
      <c r="AB1004" s="9">
        <v>0.0</v>
      </c>
      <c r="AC1004" s="9">
        <v>0.8495</v>
      </c>
      <c r="AD1004" s="9" t="str">
        <f t="shared" si="1"/>
        <v>#REF!</v>
      </c>
    </row>
    <row r="1005" hidden="1">
      <c r="A1005" s="2" t="s">
        <v>1511</v>
      </c>
      <c r="B1005" s="2" t="s">
        <v>997</v>
      </c>
      <c r="C1005" s="2" t="s">
        <v>1439</v>
      </c>
      <c r="D1005" s="2" t="s">
        <v>64</v>
      </c>
      <c r="E1005" s="7" t="b">
        <v>1</v>
      </c>
      <c r="F1005" s="9">
        <v>1987.0</v>
      </c>
      <c r="G1005" s="9">
        <v>3.042595640804832</v>
      </c>
      <c r="H1005" s="9">
        <v>0.0012389894313034</v>
      </c>
      <c r="I1005" s="7" t="b">
        <v>1</v>
      </c>
      <c r="J1005" s="9">
        <v>0.0</v>
      </c>
      <c r="K1005" s="7" t="b">
        <v>0</v>
      </c>
      <c r="L1005" s="9">
        <v>92.0</v>
      </c>
      <c r="M1005" s="9">
        <v>0.0463</v>
      </c>
      <c r="N1005" s="2" t="s">
        <v>1825</v>
      </c>
      <c r="O1005" s="2" t="s">
        <v>1533</v>
      </c>
      <c r="P1005" s="9">
        <v>78.37</v>
      </c>
      <c r="Q1005" s="9">
        <v>84.5</v>
      </c>
      <c r="R1005" s="9">
        <v>0.0</v>
      </c>
      <c r="S1005" s="9">
        <v>0.5455</v>
      </c>
      <c r="T1005" s="9">
        <v>0.9568</v>
      </c>
      <c r="U1005" s="2" t="s">
        <v>1165</v>
      </c>
      <c r="V1005" s="9">
        <v>0.525</v>
      </c>
      <c r="W1005" s="2" t="s">
        <v>1094</v>
      </c>
      <c r="X1005" s="2" t="s">
        <v>517</v>
      </c>
      <c r="Y1005" s="2" t="s">
        <v>3252</v>
      </c>
      <c r="Z1005" s="9">
        <v>0.4262</v>
      </c>
      <c r="AA1005" s="9">
        <v>0.5455</v>
      </c>
      <c r="AB1005" s="9">
        <v>0.525</v>
      </c>
      <c r="AC1005" s="9">
        <v>0.7041</v>
      </c>
      <c r="AD1005" s="9" t="str">
        <f t="shared" si="1"/>
        <v>#REF!</v>
      </c>
    </row>
    <row r="1006" hidden="1">
      <c r="A1006" s="2" t="s">
        <v>1511</v>
      </c>
      <c r="B1006" s="2" t="s">
        <v>1015</v>
      </c>
      <c r="C1006" s="2" t="s">
        <v>1439</v>
      </c>
      <c r="D1006" s="2" t="s">
        <v>64</v>
      </c>
      <c r="E1006" s="7" t="b">
        <v>1</v>
      </c>
      <c r="F1006" s="9">
        <v>4615.0</v>
      </c>
      <c r="G1006" s="9">
        <v>2.230025756388568</v>
      </c>
      <c r="H1006" s="9">
        <v>0.0055901956663055</v>
      </c>
      <c r="I1006" s="7" t="b">
        <v>1</v>
      </c>
      <c r="J1006" s="9">
        <v>0.0</v>
      </c>
      <c r="K1006" s="7" t="b">
        <v>0</v>
      </c>
      <c r="L1006" s="9">
        <v>571.0</v>
      </c>
      <c r="M1006" s="9">
        <v>0.1237</v>
      </c>
      <c r="N1006" s="2" t="s">
        <v>2766</v>
      </c>
      <c r="O1006" s="2" t="s">
        <v>1769</v>
      </c>
      <c r="P1006" s="9">
        <v>85.38</v>
      </c>
      <c r="Q1006" s="9">
        <v>100.0</v>
      </c>
      <c r="R1006" s="9">
        <v>0.011236</v>
      </c>
      <c r="S1006" s="9">
        <v>0.4232</v>
      </c>
      <c r="T1006" s="9">
        <v>0.314</v>
      </c>
      <c r="U1006" s="2" t="s">
        <v>4269</v>
      </c>
      <c r="V1006" s="9">
        <v>0.6235</v>
      </c>
      <c r="W1006" s="2" t="s">
        <v>157</v>
      </c>
      <c r="X1006" s="2" t="s">
        <v>1466</v>
      </c>
      <c r="Y1006" s="2" t="s">
        <v>4310</v>
      </c>
      <c r="Z1006" s="9">
        <v>0.4627</v>
      </c>
      <c r="AA1006" s="9">
        <v>0.4232</v>
      </c>
      <c r="AB1006" s="9">
        <v>0.6235</v>
      </c>
      <c r="AC1006" s="9">
        <v>0.1619</v>
      </c>
      <c r="AD1006" s="9" t="str">
        <f t="shared" si="1"/>
        <v>#REF!</v>
      </c>
    </row>
    <row r="1007" hidden="1">
      <c r="A1007" s="2" t="s">
        <v>1511</v>
      </c>
      <c r="B1007" s="2" t="s">
        <v>1024</v>
      </c>
      <c r="C1007" s="2" t="s">
        <v>1439</v>
      </c>
      <c r="D1007" s="2" t="s">
        <v>64</v>
      </c>
      <c r="E1007" s="7" t="b">
        <v>1</v>
      </c>
      <c r="F1007" s="9">
        <v>81087.0</v>
      </c>
      <c r="G1007" s="9">
        <v>1.202571360736524</v>
      </c>
      <c r="H1007" s="9">
        <v>0.0038068422311837</v>
      </c>
      <c r="I1007" s="7" t="b">
        <v>1</v>
      </c>
      <c r="J1007" s="9">
        <v>0.0</v>
      </c>
      <c r="K1007" s="7" t="b">
        <v>0</v>
      </c>
      <c r="L1007" s="9">
        <v>4086.0</v>
      </c>
      <c r="M1007" s="9">
        <v>0.0504</v>
      </c>
      <c r="N1007" s="2" t="s">
        <v>4708</v>
      </c>
      <c r="O1007" s="2" t="s">
        <v>4037</v>
      </c>
      <c r="P1007" s="9">
        <v>84.1</v>
      </c>
      <c r="Q1007" s="9">
        <v>99.0</v>
      </c>
      <c r="R1007" s="9">
        <v>0.021622</v>
      </c>
      <c r="S1007" s="9">
        <v>0.6901</v>
      </c>
      <c r="T1007" s="9">
        <v>0.2791</v>
      </c>
      <c r="U1007" s="2" t="s">
        <v>4512</v>
      </c>
      <c r="V1007" s="9">
        <v>0.0794</v>
      </c>
      <c r="W1007" s="2" t="s">
        <v>82</v>
      </c>
      <c r="X1007" s="2" t="s">
        <v>1466</v>
      </c>
      <c r="Y1007" s="2" t="s">
        <v>2393</v>
      </c>
      <c r="Z1007" s="9">
        <v>0.6259</v>
      </c>
      <c r="AA1007" s="9">
        <v>0.6901</v>
      </c>
      <c r="AB1007" s="9">
        <v>0.0794</v>
      </c>
      <c r="AC1007" s="9">
        <v>0.1162</v>
      </c>
      <c r="AD1007" s="9" t="str">
        <f t="shared" si="1"/>
        <v>#REF!</v>
      </c>
    </row>
    <row r="1008" hidden="1">
      <c r="A1008" s="2" t="s">
        <v>1963</v>
      </c>
      <c r="B1008" s="2" t="s">
        <v>163</v>
      </c>
      <c r="C1008" s="2" t="s">
        <v>119</v>
      </c>
      <c r="D1008" s="2" t="s">
        <v>64</v>
      </c>
      <c r="E1008" s="7" t="b">
        <v>1</v>
      </c>
      <c r="F1008" s="9">
        <v>260.0</v>
      </c>
      <c r="G1008" s="9">
        <v>36.11059686229692</v>
      </c>
      <c r="H1008" s="9">
        <v>2.172135769230769</v>
      </c>
      <c r="I1008" s="7" t="b">
        <v>1</v>
      </c>
      <c r="J1008" s="9">
        <v>0.0</v>
      </c>
      <c r="K1008" s="7" t="b">
        <v>0</v>
      </c>
      <c r="L1008" s="9">
        <v>422.0</v>
      </c>
      <c r="M1008" s="9">
        <v>1.6231</v>
      </c>
      <c r="N1008" s="2" t="s">
        <v>4709</v>
      </c>
      <c r="O1008" s="2" t="s">
        <v>4710</v>
      </c>
      <c r="P1008" s="9">
        <v>97.56</v>
      </c>
      <c r="Q1008" s="9">
        <v>81.0</v>
      </c>
      <c r="R1008" s="9">
        <v>0.104167</v>
      </c>
      <c r="S1008" s="9">
        <v>0.9551</v>
      </c>
      <c r="T1008" s="9">
        <v>1.0141</v>
      </c>
      <c r="U1008" s="2" t="s">
        <v>109</v>
      </c>
      <c r="V1008" s="15"/>
      <c r="W1008" s="2" t="s">
        <v>82</v>
      </c>
      <c r="X1008" s="2" t="s">
        <v>99</v>
      </c>
      <c r="Y1008" s="2" t="s">
        <v>626</v>
      </c>
      <c r="Z1008" s="9">
        <v>0.7999</v>
      </c>
      <c r="AA1008" s="9">
        <v>0.9551</v>
      </c>
      <c r="AB1008" s="9">
        <v>0.875</v>
      </c>
      <c r="AC1008" s="9">
        <v>0.8312</v>
      </c>
      <c r="AD1008" s="9" t="str">
        <f t="shared" si="1"/>
        <v>#REF!</v>
      </c>
    </row>
    <row r="1009" hidden="1">
      <c r="A1009" s="2" t="s">
        <v>1963</v>
      </c>
      <c r="B1009" s="2" t="s">
        <v>170</v>
      </c>
      <c r="C1009" s="2" t="s">
        <v>119</v>
      </c>
      <c r="D1009" s="2" t="s">
        <v>64</v>
      </c>
      <c r="E1009" s="7" t="b">
        <v>1</v>
      </c>
      <c r="F1009" s="9">
        <v>8.0</v>
      </c>
      <c r="G1009" s="9">
        <v>18.13943714186877</v>
      </c>
      <c r="H1009" s="9">
        <v>0.029412</v>
      </c>
      <c r="I1009" s="7" t="b">
        <v>1</v>
      </c>
      <c r="J1009" s="9">
        <v>0.0</v>
      </c>
      <c r="K1009" s="7" t="b">
        <v>0</v>
      </c>
      <c r="L1009" s="9">
        <v>250.0</v>
      </c>
      <c r="M1009" s="9">
        <v>31.25</v>
      </c>
      <c r="N1009" s="2" t="s">
        <v>4711</v>
      </c>
      <c r="O1009" s="2" t="s">
        <v>4712</v>
      </c>
      <c r="P1009" s="9">
        <v>99.27</v>
      </c>
      <c r="Q1009" s="9">
        <v>81.0</v>
      </c>
      <c r="R1009" s="9">
        <v>0.035714</v>
      </c>
      <c r="S1009" s="9">
        <v>0.9291</v>
      </c>
      <c r="T1009" s="9">
        <v>0.9811</v>
      </c>
      <c r="U1009" s="2" t="s">
        <v>2506</v>
      </c>
      <c r="V1009" s="15"/>
      <c r="W1009" s="2" t="s">
        <v>134</v>
      </c>
      <c r="X1009" s="2" t="s">
        <v>237</v>
      </c>
      <c r="Y1009" s="2" t="s">
        <v>643</v>
      </c>
      <c r="Z1009" s="9">
        <v>0.7416</v>
      </c>
      <c r="AA1009" s="9">
        <v>0.9291</v>
      </c>
      <c r="AB1009" s="9">
        <v>0.7613</v>
      </c>
      <c r="AC1009" s="9">
        <v>0.1448</v>
      </c>
      <c r="AD1009" s="9" t="str">
        <f t="shared" si="1"/>
        <v>#REF!</v>
      </c>
    </row>
    <row r="1010" hidden="1">
      <c r="A1010" s="2" t="s">
        <v>1963</v>
      </c>
      <c r="B1010" s="2" t="s">
        <v>176</v>
      </c>
      <c r="C1010" s="2" t="s">
        <v>119</v>
      </c>
      <c r="D1010" s="2" t="s">
        <v>64</v>
      </c>
      <c r="E1010" s="7" t="b">
        <v>1</v>
      </c>
      <c r="F1010" s="9">
        <v>20.0</v>
      </c>
      <c r="G1010" s="9">
        <v>14.89789464506113</v>
      </c>
      <c r="H1010" s="9">
        <v>0.0624442</v>
      </c>
      <c r="I1010" s="7" t="b">
        <v>1</v>
      </c>
      <c r="J1010" s="9">
        <v>0.0</v>
      </c>
      <c r="K1010" s="7" t="b">
        <v>0</v>
      </c>
      <c r="L1010" s="9">
        <v>300.0</v>
      </c>
      <c r="M1010" s="9">
        <v>15.0</v>
      </c>
      <c r="N1010" s="2" t="s">
        <v>4713</v>
      </c>
      <c r="O1010" s="2" t="s">
        <v>4714</v>
      </c>
      <c r="P1010" s="9">
        <v>99.49</v>
      </c>
      <c r="Q1010" s="9">
        <v>82.0</v>
      </c>
      <c r="R1010" s="9">
        <v>0.058824</v>
      </c>
      <c r="S1010" s="9">
        <v>0.9362</v>
      </c>
      <c r="T1010" s="9">
        <v>1.0054</v>
      </c>
      <c r="U1010" s="2" t="s">
        <v>1599</v>
      </c>
      <c r="V1010" s="15"/>
      <c r="W1010" s="2" t="s">
        <v>157</v>
      </c>
      <c r="X1010" s="2" t="s">
        <v>495</v>
      </c>
      <c r="Y1010" s="2" t="s">
        <v>4715</v>
      </c>
      <c r="Z1010" s="9">
        <v>0.7599</v>
      </c>
      <c r="AA1010" s="9">
        <v>0.9362</v>
      </c>
      <c r="AB1010" s="9">
        <v>0.2173</v>
      </c>
      <c r="AC1010" s="9">
        <v>0.186</v>
      </c>
      <c r="AD1010" s="9" t="str">
        <f t="shared" si="1"/>
        <v>#REF!</v>
      </c>
    </row>
    <row r="1011" hidden="1">
      <c r="A1011" s="2" t="s">
        <v>1963</v>
      </c>
      <c r="B1011" s="2" t="s">
        <v>441</v>
      </c>
      <c r="C1011" s="2" t="s">
        <v>119</v>
      </c>
      <c r="D1011" s="2" t="s">
        <v>64</v>
      </c>
      <c r="E1011" s="7" t="b">
        <v>1</v>
      </c>
      <c r="F1011" s="9">
        <v>3879.0</v>
      </c>
      <c r="G1011" s="9">
        <v>69.17032467963348</v>
      </c>
      <c r="H1011" s="9">
        <v>3.427595137922145</v>
      </c>
      <c r="I1011" s="7" t="b">
        <v>1</v>
      </c>
      <c r="J1011" s="9">
        <v>0.0</v>
      </c>
      <c r="K1011" s="7" t="b">
        <v>0</v>
      </c>
      <c r="L1011" s="9">
        <v>3835.0</v>
      </c>
      <c r="M1011" s="9">
        <v>0.9887</v>
      </c>
      <c r="N1011" s="2" t="s">
        <v>4716</v>
      </c>
      <c r="O1011" s="2" t="s">
        <v>4717</v>
      </c>
      <c r="P1011" s="9">
        <v>93.95</v>
      </c>
      <c r="Q1011" s="9">
        <v>80.0</v>
      </c>
      <c r="R1011" s="9">
        <v>0.014414</v>
      </c>
      <c r="S1011" s="9">
        <v>0.9327</v>
      </c>
      <c r="T1011" s="9">
        <v>0.991</v>
      </c>
      <c r="U1011" s="2" t="s">
        <v>4690</v>
      </c>
      <c r="V1011" s="15"/>
      <c r="W1011" s="2" t="s">
        <v>134</v>
      </c>
      <c r="X1011" s="2" t="s">
        <v>84</v>
      </c>
      <c r="Y1011" s="2" t="s">
        <v>1299</v>
      </c>
      <c r="Z1011" s="9">
        <v>0.7821</v>
      </c>
      <c r="AA1011" s="9">
        <v>0.9327</v>
      </c>
      <c r="AB1011" s="9">
        <v>0.8224</v>
      </c>
      <c r="AC1011" s="9">
        <v>0.8368</v>
      </c>
      <c r="AD1011" s="9" t="str">
        <f t="shared" si="1"/>
        <v>#REF!</v>
      </c>
    </row>
    <row r="1012" hidden="1">
      <c r="A1012" s="2" t="s">
        <v>1963</v>
      </c>
      <c r="B1012" s="2" t="s">
        <v>895</v>
      </c>
      <c r="C1012" s="2" t="s">
        <v>119</v>
      </c>
      <c r="D1012" s="2" t="s">
        <v>64</v>
      </c>
      <c r="E1012" s="7" t="b">
        <v>1</v>
      </c>
      <c r="F1012" s="9">
        <v>91.0</v>
      </c>
      <c r="G1012" s="9">
        <v>8.51236997305742</v>
      </c>
      <c r="H1012" s="9">
        <v>0.0014552901098901</v>
      </c>
      <c r="I1012" s="7" t="b">
        <v>1</v>
      </c>
      <c r="J1012" s="9">
        <v>0.0</v>
      </c>
      <c r="K1012" s="7" t="b">
        <v>0</v>
      </c>
      <c r="L1012" s="9">
        <v>25.0</v>
      </c>
      <c r="M1012" s="9">
        <v>0.2747</v>
      </c>
      <c r="N1012" s="2" t="s">
        <v>2016</v>
      </c>
      <c r="O1012" s="2" t="s">
        <v>2552</v>
      </c>
      <c r="P1012" s="9">
        <v>49.52</v>
      </c>
      <c r="Q1012" s="9">
        <v>47.0</v>
      </c>
      <c r="R1012" s="9">
        <v>0.142857</v>
      </c>
      <c r="S1012" s="9">
        <v>0.2111</v>
      </c>
      <c r="T1012" s="9">
        <v>0.568</v>
      </c>
      <c r="U1012" s="2" t="s">
        <v>1192</v>
      </c>
      <c r="V1012" s="15"/>
      <c r="W1012" s="2" t="s">
        <v>82</v>
      </c>
      <c r="X1012" s="2" t="s">
        <v>517</v>
      </c>
      <c r="Y1012" s="2" t="s">
        <v>4718</v>
      </c>
      <c r="Z1012" s="9">
        <v>0.2303</v>
      </c>
      <c r="AA1012" s="9">
        <v>0.2111</v>
      </c>
      <c r="AB1012" s="9">
        <v>0.8193</v>
      </c>
      <c r="AC1012" s="9">
        <v>0.07</v>
      </c>
      <c r="AD1012" s="9" t="str">
        <f t="shared" si="1"/>
        <v>#REF!</v>
      </c>
    </row>
    <row r="1013">
      <c r="A1013" s="2" t="s">
        <v>1963</v>
      </c>
      <c r="B1013" s="2" t="s">
        <v>306</v>
      </c>
      <c r="C1013" s="2" t="s">
        <v>119</v>
      </c>
      <c r="D1013" s="2" t="s">
        <v>64</v>
      </c>
      <c r="E1013" s="7" t="b">
        <v>1</v>
      </c>
      <c r="F1013" s="9">
        <v>854.0</v>
      </c>
      <c r="G1013" s="9">
        <v>28.31081351657109</v>
      </c>
      <c r="H1013" s="9">
        <v>0.2347735573770492</v>
      </c>
      <c r="I1013" s="7" t="b">
        <v>1</v>
      </c>
      <c r="J1013" s="9">
        <v>0.0</v>
      </c>
      <c r="K1013" s="7" t="b">
        <v>0</v>
      </c>
      <c r="L1013" s="9">
        <v>795.0</v>
      </c>
      <c r="M1013" s="9">
        <v>0.9309</v>
      </c>
      <c r="N1013" s="2" t="s">
        <v>4719</v>
      </c>
      <c r="O1013" s="2" t="s">
        <v>4720</v>
      </c>
      <c r="P1013" s="9">
        <v>63.57</v>
      </c>
      <c r="Q1013" s="9">
        <v>59.0</v>
      </c>
      <c r="R1013" s="9">
        <v>0.021127</v>
      </c>
      <c r="S1013" s="9">
        <v>0.8526</v>
      </c>
      <c r="T1013" s="9">
        <v>1.0006</v>
      </c>
      <c r="U1013" s="2" t="s">
        <v>1936</v>
      </c>
      <c r="V1013" s="15"/>
      <c r="W1013" s="2" t="s">
        <v>82</v>
      </c>
      <c r="X1013" s="2" t="s">
        <v>99</v>
      </c>
      <c r="Y1013" s="2" t="s">
        <v>264</v>
      </c>
      <c r="Z1013" s="9">
        <v>0.6792</v>
      </c>
      <c r="AA1013" s="9">
        <v>0.8526</v>
      </c>
      <c r="AB1013" s="9">
        <v>0.8691</v>
      </c>
      <c r="AC1013" s="9">
        <v>0.8514</v>
      </c>
      <c r="AD1013" s="9" t="str">
        <f t="shared" si="1"/>
        <v>#REF!</v>
      </c>
    </row>
    <row r="1014" hidden="1">
      <c r="A1014" s="2" t="s">
        <v>1963</v>
      </c>
      <c r="B1014" s="2" t="s">
        <v>1009</v>
      </c>
      <c r="C1014" s="2" t="s">
        <v>119</v>
      </c>
      <c r="D1014" s="2" t="s">
        <v>64</v>
      </c>
      <c r="E1014" s="7" t="b">
        <v>1</v>
      </c>
      <c r="F1014" s="9">
        <v>94.0</v>
      </c>
      <c r="G1014" s="9">
        <v>9.638887413634343</v>
      </c>
      <c r="H1014" s="9">
        <v>0.0023761063829787</v>
      </c>
      <c r="I1014" s="7" t="b">
        <v>1</v>
      </c>
      <c r="J1014" s="9">
        <v>0.0</v>
      </c>
      <c r="K1014" s="7" t="b">
        <v>0</v>
      </c>
      <c r="L1014" s="9">
        <v>41.0</v>
      </c>
      <c r="M1014" s="9">
        <v>0.4362</v>
      </c>
      <c r="N1014" s="2" t="s">
        <v>2329</v>
      </c>
      <c r="O1014" s="2" t="s">
        <v>2330</v>
      </c>
      <c r="P1014" s="9">
        <v>49.78</v>
      </c>
      <c r="Q1014" s="9">
        <v>42.0</v>
      </c>
      <c r="R1014" s="9">
        <v>0.111111</v>
      </c>
      <c r="S1014" s="9">
        <v>0.4185</v>
      </c>
      <c r="T1014" s="9">
        <v>0.9382</v>
      </c>
      <c r="U1014" s="2" t="s">
        <v>515</v>
      </c>
      <c r="V1014" s="15"/>
      <c r="W1014" s="2" t="s">
        <v>1094</v>
      </c>
      <c r="X1014" s="2" t="s">
        <v>1466</v>
      </c>
      <c r="Y1014" s="2" t="s">
        <v>3229</v>
      </c>
      <c r="Z1014" s="9">
        <v>0.3423</v>
      </c>
      <c r="AA1014" s="9">
        <v>0.4185</v>
      </c>
      <c r="AB1014" s="9">
        <v>0.0</v>
      </c>
      <c r="AC1014" s="9">
        <v>0.183</v>
      </c>
      <c r="AD1014" s="9" t="str">
        <f t="shared" si="1"/>
        <v>#REF!</v>
      </c>
    </row>
    <row r="1015" hidden="1">
      <c r="A1015" s="2" t="s">
        <v>1963</v>
      </c>
      <c r="B1015" s="2" t="s">
        <v>1015</v>
      </c>
      <c r="C1015" s="2" t="s">
        <v>119</v>
      </c>
      <c r="D1015" s="2" t="s">
        <v>64</v>
      </c>
      <c r="E1015" s="7" t="b">
        <v>1</v>
      </c>
      <c r="F1015" s="9">
        <v>23691.0</v>
      </c>
      <c r="G1015" s="9">
        <v>97.60663133560686</v>
      </c>
      <c r="H1015" s="9">
        <v>7.603391498881432</v>
      </c>
      <c r="I1015" s="7" t="b">
        <v>1</v>
      </c>
      <c r="J1015" s="9">
        <v>0.0</v>
      </c>
      <c r="K1015" s="7" t="b">
        <v>0</v>
      </c>
      <c r="L1015" s="9">
        <v>14894.0</v>
      </c>
      <c r="M1015" s="9">
        <v>0.6287</v>
      </c>
      <c r="N1015" s="2" t="s">
        <v>4721</v>
      </c>
      <c r="O1015" s="2" t="s">
        <v>4722</v>
      </c>
      <c r="P1015" s="9">
        <v>85.05</v>
      </c>
      <c r="Q1015" s="9">
        <v>71.0</v>
      </c>
      <c r="R1015" s="9">
        <v>0.017746</v>
      </c>
      <c r="S1015" s="9">
        <v>0.9672</v>
      </c>
      <c r="T1015" s="9">
        <v>0.903</v>
      </c>
      <c r="U1015" s="2" t="s">
        <v>1957</v>
      </c>
      <c r="V1015" s="15"/>
      <c r="W1015" s="2" t="s">
        <v>82</v>
      </c>
      <c r="X1015" s="2" t="s">
        <v>84</v>
      </c>
      <c r="Y1015" s="2" t="s">
        <v>4723</v>
      </c>
      <c r="Z1015" s="9">
        <v>0.8904</v>
      </c>
      <c r="AA1015" s="9">
        <v>0.9672</v>
      </c>
      <c r="AB1015" s="9">
        <v>0.3692</v>
      </c>
      <c r="AC1015" s="9">
        <v>0.7226</v>
      </c>
      <c r="AD1015" s="9" t="str">
        <f t="shared" si="1"/>
        <v>#REF!</v>
      </c>
    </row>
    <row r="1016" hidden="1">
      <c r="A1016" s="2" t="s">
        <v>1963</v>
      </c>
      <c r="B1016" s="2" t="s">
        <v>1024</v>
      </c>
      <c r="C1016" s="2" t="s">
        <v>119</v>
      </c>
      <c r="D1016" s="2" t="s">
        <v>64</v>
      </c>
      <c r="E1016" s="7" t="b">
        <v>1</v>
      </c>
      <c r="F1016" s="9">
        <v>421.0</v>
      </c>
      <c r="G1016" s="9">
        <v>8.765201563354436</v>
      </c>
      <c r="H1016" s="9">
        <v>0.0010809957244655</v>
      </c>
      <c r="I1016" s="7" t="b">
        <v>1</v>
      </c>
      <c r="J1016" s="9">
        <v>0.0</v>
      </c>
      <c r="K1016" s="7" t="b">
        <v>0</v>
      </c>
      <c r="L1016" s="9">
        <v>45.0</v>
      </c>
      <c r="M1016" s="9">
        <v>0.1069</v>
      </c>
      <c r="N1016" s="2" t="s">
        <v>2619</v>
      </c>
      <c r="O1016" s="2" t="s">
        <v>1462</v>
      </c>
      <c r="P1016" s="9">
        <v>52.98</v>
      </c>
      <c r="Q1016" s="9">
        <v>46.0</v>
      </c>
      <c r="R1016" s="9">
        <v>0.0</v>
      </c>
      <c r="S1016" s="9">
        <v>0.3682</v>
      </c>
      <c r="T1016" s="9">
        <v>0.8097</v>
      </c>
      <c r="U1016" s="2" t="s">
        <v>515</v>
      </c>
      <c r="V1016" s="15"/>
      <c r="W1016" s="2" t="s">
        <v>1193</v>
      </c>
      <c r="X1016" s="2" t="s">
        <v>1521</v>
      </c>
      <c r="Y1016" s="2" t="s">
        <v>1491</v>
      </c>
      <c r="Z1016" s="9">
        <v>0.3168</v>
      </c>
      <c r="AA1016" s="9">
        <v>0.3682</v>
      </c>
      <c r="AB1016" s="9">
        <v>0.0</v>
      </c>
      <c r="AC1016" s="9">
        <v>0.1542</v>
      </c>
      <c r="AD1016" s="9" t="str">
        <f t="shared" si="1"/>
        <v>#REF!</v>
      </c>
    </row>
    <row r="1017" hidden="1">
      <c r="A1017" s="2" t="s">
        <v>1963</v>
      </c>
      <c r="B1017" s="2" t="s">
        <v>1027</v>
      </c>
      <c r="C1017" s="2" t="s">
        <v>119</v>
      </c>
      <c r="D1017" s="2" t="s">
        <v>64</v>
      </c>
      <c r="E1017" s="7" t="b">
        <v>1</v>
      </c>
      <c r="F1017" s="9">
        <v>15004.0</v>
      </c>
      <c r="G1017" s="9">
        <v>7.815930281983918</v>
      </c>
      <c r="H1017" s="9">
        <v>0.0857616742202079</v>
      </c>
      <c r="I1017" s="7" t="b">
        <v>1</v>
      </c>
      <c r="J1017" s="9">
        <v>0.0</v>
      </c>
      <c r="K1017" s="7" t="b">
        <v>0</v>
      </c>
      <c r="L1017" s="9">
        <v>2292.0</v>
      </c>
      <c r="M1017" s="9">
        <v>0.1528</v>
      </c>
      <c r="N1017" s="2" t="s">
        <v>4724</v>
      </c>
      <c r="O1017" s="2" t="s">
        <v>4725</v>
      </c>
      <c r="P1017" s="9">
        <v>70.5</v>
      </c>
      <c r="Q1017" s="9">
        <v>65.0</v>
      </c>
      <c r="R1017" s="9">
        <v>0.078534</v>
      </c>
      <c r="S1017" s="9">
        <v>0.794</v>
      </c>
      <c r="T1017" s="9">
        <v>0.6539</v>
      </c>
      <c r="U1017" s="2" t="s">
        <v>3095</v>
      </c>
      <c r="V1017" s="15"/>
      <c r="W1017" s="2" t="s">
        <v>82</v>
      </c>
      <c r="X1017" s="2" t="s">
        <v>517</v>
      </c>
      <c r="Y1017" s="2" t="s">
        <v>4718</v>
      </c>
      <c r="Z1017" s="9">
        <v>0.701</v>
      </c>
      <c r="AA1017" s="9">
        <v>0.794</v>
      </c>
      <c r="AB1017" s="9">
        <v>0.7034</v>
      </c>
      <c r="AC1017" s="9">
        <v>0.1803</v>
      </c>
      <c r="AD1017" s="9" t="str">
        <f t="shared" si="1"/>
        <v>#REF!</v>
      </c>
    </row>
    <row r="1018" hidden="1">
      <c r="A1018" s="2" t="s">
        <v>1963</v>
      </c>
      <c r="B1018" s="2" t="s">
        <v>1031</v>
      </c>
      <c r="C1018" s="2" t="s">
        <v>119</v>
      </c>
      <c r="D1018" s="2" t="s">
        <v>64</v>
      </c>
      <c r="E1018" s="7" t="b">
        <v>1</v>
      </c>
      <c r="F1018" s="9">
        <v>366.0</v>
      </c>
      <c r="G1018" s="9">
        <v>9.38014931958596</v>
      </c>
      <c r="H1018" s="9">
        <v>0.0081607606557377</v>
      </c>
      <c r="I1018" s="7" t="b">
        <v>1</v>
      </c>
      <c r="J1018" s="9">
        <v>0.0</v>
      </c>
      <c r="K1018" s="7" t="b">
        <v>0</v>
      </c>
      <c r="L1018" s="9">
        <v>80.0</v>
      </c>
      <c r="M1018" s="9">
        <v>0.2186</v>
      </c>
      <c r="N1018" s="2" t="s">
        <v>2277</v>
      </c>
      <c r="O1018" s="2" t="s">
        <v>1795</v>
      </c>
      <c r="P1018" s="9">
        <v>65.88</v>
      </c>
      <c r="Q1018" s="9">
        <v>56.0</v>
      </c>
      <c r="R1018" s="9">
        <v>0.071429</v>
      </c>
      <c r="S1018" s="9">
        <v>0.4881</v>
      </c>
      <c r="T1018" s="9">
        <v>0.915</v>
      </c>
      <c r="U1018" s="2" t="s">
        <v>1562</v>
      </c>
      <c r="V1018" s="15"/>
      <c r="W1018" s="2" t="s">
        <v>1124</v>
      </c>
      <c r="X1018" s="2" t="s">
        <v>1466</v>
      </c>
      <c r="Y1018" s="2" t="s">
        <v>3229</v>
      </c>
      <c r="Z1018" s="9">
        <v>0.4127</v>
      </c>
      <c r="AA1018" s="9">
        <v>0.4881</v>
      </c>
      <c r="AB1018" s="9">
        <v>0.0432</v>
      </c>
      <c r="AC1018" s="9">
        <v>0.2044</v>
      </c>
      <c r="AD1018" s="9" t="str">
        <f t="shared" si="1"/>
        <v>#REF!</v>
      </c>
    </row>
    <row r="1019" hidden="1">
      <c r="A1019" s="2" t="s">
        <v>2000</v>
      </c>
      <c r="B1019" s="2" t="s">
        <v>163</v>
      </c>
      <c r="C1019" s="2" t="s">
        <v>119</v>
      </c>
      <c r="D1019" s="2" t="s">
        <v>64</v>
      </c>
      <c r="E1019" s="7" t="b">
        <v>1</v>
      </c>
      <c r="F1019" s="9">
        <v>43.0</v>
      </c>
      <c r="G1019" s="9">
        <v>34.71337053011312</v>
      </c>
      <c r="H1019" s="9">
        <v>0.6590213953488372</v>
      </c>
      <c r="I1019" s="7" t="b">
        <v>1</v>
      </c>
      <c r="J1019" s="9">
        <v>0.0</v>
      </c>
      <c r="K1019" s="7" t="b">
        <v>0</v>
      </c>
      <c r="L1019" s="9">
        <v>67.0</v>
      </c>
      <c r="M1019" s="9">
        <v>1.5581</v>
      </c>
      <c r="N1019" s="2" t="s">
        <v>4726</v>
      </c>
      <c r="O1019" s="2" t="s">
        <v>4727</v>
      </c>
      <c r="P1019" s="9">
        <v>116.33</v>
      </c>
      <c r="Q1019" s="9">
        <v>98.0</v>
      </c>
      <c r="R1019" s="9">
        <v>0.090909</v>
      </c>
      <c r="S1019" s="9">
        <v>0.7896</v>
      </c>
      <c r="T1019" s="9">
        <v>1.019</v>
      </c>
      <c r="U1019" s="2" t="s">
        <v>2129</v>
      </c>
      <c r="V1019" s="15"/>
      <c r="W1019" s="2" t="s">
        <v>82</v>
      </c>
      <c r="X1019" s="2" t="s">
        <v>99</v>
      </c>
      <c r="Y1019" s="2" t="s">
        <v>626</v>
      </c>
      <c r="Z1019" s="9">
        <v>0.5749</v>
      </c>
      <c r="AA1019" s="9">
        <v>0.7896</v>
      </c>
      <c r="AB1019" s="9">
        <v>0.718</v>
      </c>
      <c r="AC1019" s="9">
        <v>0.7695</v>
      </c>
      <c r="AD1019" s="9" t="str">
        <f t="shared" si="1"/>
        <v>#REF!</v>
      </c>
    </row>
    <row r="1020" hidden="1">
      <c r="A1020" s="2" t="s">
        <v>2000</v>
      </c>
      <c r="B1020" s="2" t="s">
        <v>170</v>
      </c>
      <c r="C1020" s="2" t="s">
        <v>119</v>
      </c>
      <c r="D1020" s="2" t="s">
        <v>64</v>
      </c>
      <c r="E1020" s="7" t="b">
        <v>1</v>
      </c>
      <c r="F1020" s="9">
        <v>1.0</v>
      </c>
      <c r="G1020" s="9">
        <v>16.01372774665136</v>
      </c>
      <c r="H1020" s="9">
        <v>0.0029056</v>
      </c>
      <c r="I1020" s="7" t="b">
        <v>1</v>
      </c>
      <c r="J1020" s="9">
        <v>0.0</v>
      </c>
      <c r="K1020" s="7" t="b">
        <v>0</v>
      </c>
      <c r="L1020" s="9">
        <v>42.0</v>
      </c>
      <c r="M1020" s="9">
        <v>42.0</v>
      </c>
      <c r="N1020" s="2" t="s">
        <v>4526</v>
      </c>
      <c r="O1020" s="2" t="s">
        <v>4470</v>
      </c>
      <c r="P1020" s="9">
        <v>111.52</v>
      </c>
      <c r="Q1020" s="9">
        <v>93.5</v>
      </c>
      <c r="R1020" s="9">
        <v>0.125</v>
      </c>
      <c r="S1020" s="9">
        <v>0.7064</v>
      </c>
      <c r="T1020" s="9">
        <v>1.0157</v>
      </c>
      <c r="U1020" s="2" t="s">
        <v>2991</v>
      </c>
      <c r="V1020" s="15"/>
      <c r="W1020" s="2" t="s">
        <v>134</v>
      </c>
      <c r="X1020" s="2" t="s">
        <v>495</v>
      </c>
      <c r="Y1020" s="2" t="s">
        <v>4715</v>
      </c>
      <c r="Z1020" s="9">
        <v>0.5113</v>
      </c>
      <c r="AA1020" s="9">
        <v>0.7064</v>
      </c>
      <c r="AB1020" s="9">
        <v>0.3</v>
      </c>
      <c r="AC1020" s="9">
        <v>0.0713</v>
      </c>
      <c r="AD1020" s="9" t="str">
        <f t="shared" si="1"/>
        <v>#REF!</v>
      </c>
    </row>
    <row r="1021" hidden="1">
      <c r="A1021" s="2" t="s">
        <v>2000</v>
      </c>
      <c r="B1021" s="2" t="s">
        <v>176</v>
      </c>
      <c r="C1021" s="2" t="s">
        <v>119</v>
      </c>
      <c r="D1021" s="2" t="s">
        <v>64</v>
      </c>
      <c r="E1021" s="7" t="b">
        <v>1</v>
      </c>
      <c r="F1021" s="9">
        <v>2.0</v>
      </c>
      <c r="G1021" s="9">
        <v>11.01675562895207</v>
      </c>
      <c r="H1021" s="9">
        <v>0.0035452999999999</v>
      </c>
      <c r="I1021" s="7" t="b">
        <v>1</v>
      </c>
      <c r="J1021" s="9">
        <v>0.0</v>
      </c>
      <c r="K1021" s="7" t="b">
        <v>0</v>
      </c>
      <c r="L1021" s="9">
        <v>53.0</v>
      </c>
      <c r="M1021" s="9">
        <v>26.5</v>
      </c>
      <c r="N1021" s="2" t="s">
        <v>4728</v>
      </c>
      <c r="O1021" s="2" t="s">
        <v>4729</v>
      </c>
      <c r="P1021" s="9">
        <v>111.57</v>
      </c>
      <c r="Q1021" s="9">
        <v>97.0</v>
      </c>
      <c r="R1021" s="9">
        <v>0.111111</v>
      </c>
      <c r="S1021" s="9">
        <v>0.7705</v>
      </c>
      <c r="T1021" s="9">
        <v>1.0102</v>
      </c>
      <c r="U1021" s="2" t="s">
        <v>1067</v>
      </c>
      <c r="V1021" s="15"/>
      <c r="W1021" s="2" t="s">
        <v>157</v>
      </c>
      <c r="X1021" s="2" t="s">
        <v>495</v>
      </c>
      <c r="Y1021" s="2" t="s">
        <v>4715</v>
      </c>
      <c r="Z1021" s="9">
        <v>0.5425</v>
      </c>
      <c r="AA1021" s="9">
        <v>0.7705</v>
      </c>
      <c r="AB1021" s="9">
        <v>0.05</v>
      </c>
      <c r="AC1021" s="9">
        <v>0.1174</v>
      </c>
      <c r="AD1021" s="9" t="str">
        <f t="shared" si="1"/>
        <v>#REF!</v>
      </c>
    </row>
    <row r="1022">
      <c r="A1022" s="2" t="s">
        <v>2000</v>
      </c>
      <c r="B1022" s="2" t="s">
        <v>306</v>
      </c>
      <c r="C1022" s="2" t="s">
        <v>119</v>
      </c>
      <c r="D1022" s="2" t="s">
        <v>64</v>
      </c>
      <c r="E1022" s="7" t="b">
        <v>1</v>
      </c>
      <c r="F1022" s="9">
        <v>12599.0</v>
      </c>
      <c r="G1022" s="9">
        <v>92.22209126722058</v>
      </c>
      <c r="H1022" s="9">
        <v>7.109298166521153</v>
      </c>
      <c r="I1022" s="7" t="b">
        <v>1</v>
      </c>
      <c r="J1022" s="9">
        <v>0.0</v>
      </c>
      <c r="K1022" s="7" t="b">
        <v>0</v>
      </c>
      <c r="L1022" s="9">
        <v>11727.0</v>
      </c>
      <c r="M1022" s="9">
        <v>0.9308</v>
      </c>
      <c r="N1022" s="2" t="s">
        <v>4730</v>
      </c>
      <c r="O1022" s="2" t="s">
        <v>4731</v>
      </c>
      <c r="P1022" s="9">
        <v>88.01</v>
      </c>
      <c r="Q1022" s="9">
        <v>76.0</v>
      </c>
      <c r="R1022" s="9">
        <v>0.042948</v>
      </c>
      <c r="S1022" s="9">
        <v>0.9791</v>
      </c>
      <c r="T1022" s="9">
        <v>0.9712</v>
      </c>
      <c r="U1022" s="2" t="s">
        <v>81</v>
      </c>
      <c r="V1022" s="15"/>
      <c r="W1022" s="2" t="s">
        <v>82</v>
      </c>
      <c r="X1022" s="2" t="s">
        <v>99</v>
      </c>
      <c r="Y1022" s="2" t="s">
        <v>264</v>
      </c>
      <c r="Z1022" s="9">
        <v>0.9127</v>
      </c>
      <c r="AA1022" s="9">
        <v>0.9791</v>
      </c>
      <c r="AB1022" s="9">
        <v>0.8511</v>
      </c>
      <c r="AC1022" s="9">
        <v>0.8288</v>
      </c>
      <c r="AD1022" s="9" t="str">
        <f t="shared" si="1"/>
        <v>#REF!</v>
      </c>
    </row>
    <row r="1023" hidden="1">
      <c r="A1023" s="2" t="s">
        <v>2000</v>
      </c>
      <c r="B1023" s="2" t="s">
        <v>1015</v>
      </c>
      <c r="C1023" s="2" t="s">
        <v>119</v>
      </c>
      <c r="D1023" s="2" t="s">
        <v>64</v>
      </c>
      <c r="E1023" s="7" t="b">
        <v>1</v>
      </c>
      <c r="F1023" s="9">
        <v>971.0</v>
      </c>
      <c r="G1023" s="9">
        <v>60.74547933298043</v>
      </c>
      <c r="H1023" s="9">
        <v>0.7848654479917611</v>
      </c>
      <c r="I1023" s="7" t="b">
        <v>1</v>
      </c>
      <c r="J1023" s="9">
        <v>0.0</v>
      </c>
      <c r="K1023" s="7" t="b">
        <v>0</v>
      </c>
      <c r="L1023" s="9">
        <v>555.0</v>
      </c>
      <c r="M1023" s="9">
        <v>0.5716</v>
      </c>
      <c r="N1023" s="2" t="s">
        <v>4538</v>
      </c>
      <c r="O1023" s="2" t="s">
        <v>4079</v>
      </c>
      <c r="P1023" s="9">
        <v>102.22</v>
      </c>
      <c r="Q1023" s="9">
        <v>84.0</v>
      </c>
      <c r="R1023" s="9">
        <v>0.010989</v>
      </c>
      <c r="S1023" s="9">
        <v>0.7725</v>
      </c>
      <c r="T1023" s="9">
        <v>0.9915</v>
      </c>
      <c r="U1023" s="2" t="s">
        <v>640</v>
      </c>
      <c r="V1023" s="15"/>
      <c r="W1023" s="2" t="s">
        <v>82</v>
      </c>
      <c r="X1023" s="2" t="s">
        <v>237</v>
      </c>
      <c r="Y1023" s="2" t="s">
        <v>4732</v>
      </c>
      <c r="Z1023" s="9">
        <v>0.6133</v>
      </c>
      <c r="AA1023" s="9">
        <v>0.7725</v>
      </c>
      <c r="AB1023" s="9">
        <v>0.2801</v>
      </c>
      <c r="AC1023" s="9">
        <v>0.6404</v>
      </c>
      <c r="AD1023" s="9" t="str">
        <f t="shared" si="1"/>
        <v>#REF!</v>
      </c>
    </row>
    <row r="1024" hidden="1">
      <c r="A1024" s="2" t="s">
        <v>2000</v>
      </c>
      <c r="B1024" s="2" t="s">
        <v>1027</v>
      </c>
      <c r="C1024" s="2" t="s">
        <v>119</v>
      </c>
      <c r="D1024" s="2" t="s">
        <v>64</v>
      </c>
      <c r="E1024" s="7" t="b">
        <v>1</v>
      </c>
      <c r="F1024" s="9">
        <v>886.0</v>
      </c>
      <c r="G1024" s="9">
        <v>15.23008818295634</v>
      </c>
      <c r="H1024" s="9">
        <v>0.021166585778781</v>
      </c>
      <c r="I1024" s="7" t="b">
        <v>1</v>
      </c>
      <c r="J1024" s="9">
        <v>0.0</v>
      </c>
      <c r="K1024" s="7" t="b">
        <v>0</v>
      </c>
      <c r="L1024" s="9">
        <v>109.0</v>
      </c>
      <c r="M1024" s="9">
        <v>0.123</v>
      </c>
      <c r="N1024" s="2" t="s">
        <v>1903</v>
      </c>
      <c r="O1024" s="2" t="s">
        <v>1690</v>
      </c>
      <c r="P1024" s="9">
        <v>76.34</v>
      </c>
      <c r="Q1024" s="9">
        <v>72.0</v>
      </c>
      <c r="R1024" s="9">
        <v>0.0</v>
      </c>
      <c r="S1024" s="9">
        <v>0.5931</v>
      </c>
      <c r="T1024" s="9">
        <v>0.9955</v>
      </c>
      <c r="U1024" s="2" t="s">
        <v>4541</v>
      </c>
      <c r="V1024" s="15"/>
      <c r="W1024" s="2" t="s">
        <v>82</v>
      </c>
      <c r="X1024" s="2" t="s">
        <v>517</v>
      </c>
      <c r="Y1024" s="2" t="s">
        <v>4733</v>
      </c>
      <c r="Z1024" s="9">
        <v>0.4671</v>
      </c>
      <c r="AA1024" s="9">
        <v>0.5931</v>
      </c>
      <c r="AB1024" s="9">
        <v>0.7824</v>
      </c>
      <c r="AC1024" s="9">
        <v>0.1157</v>
      </c>
      <c r="AD1024" s="9" t="str">
        <f t="shared" si="1"/>
        <v>#REF!</v>
      </c>
    </row>
  </sheetData>
  <autoFilter ref="$A$1:$AD$1024">
    <filterColumn colId="1">
      <filters>
        <filter val="Erysipelothrix rhusiopathiae"/>
      </filters>
    </filterColumn>
    <filterColumn colId="18">
      <customFilters>
        <customFilter operator="greaterThanOrEqual" val="0.45"/>
      </customFilters>
    </filterColumn>
    <filterColumn colId="19">
      <customFilters>
        <customFilter operator="greaterThanOrEqual" val="0.5"/>
      </customFilters>
    </filterColumn>
    <filterColumn colId="28">
      <customFilters>
        <customFilter operator="greaterThanOrEqual" val="0.7"/>
      </customFilters>
    </filterColumn>
    <filterColumn colId="12">
      <customFilters>
        <customFilter operator="greaterThanOrEqual" val="0.5"/>
      </customFilters>
    </filterColumn>
    <filterColumn colId="22">
      <filters blank="1">
        <filter val="#52"/>
        <filter val="#30"/>
        <filter val="#31"/>
        <filter val="#53"/>
        <filter val="#10"/>
        <filter val="#11"/>
        <filter val="#12"/>
        <filter val="#13"/>
        <filter val="#35"/>
        <filter val="#14"/>
        <filter val="#15"/>
        <filter val="#16"/>
        <filter val="#17"/>
        <filter val="#18"/>
        <filter val="#19"/>
        <filter val="#40"/>
        <filter val="#20"/>
        <filter val="#21"/>
        <filter val="#45"/>
        <filter val="#23"/>
        <filter val="#24"/>
        <filter val="#25"/>
        <filter val="#26"/>
        <filter val="#28"/>
        <filter val="#29"/>
        <filter val="#1"/>
        <filter val="#3"/>
        <filter val="#4"/>
        <filter val="#5"/>
        <filter val="#6"/>
        <filter val="#7"/>
        <filter val="#8"/>
        <filter val="#9"/>
        <filter val="#51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1291</v>
      </c>
      <c r="D1" s="1" t="s">
        <v>65</v>
      </c>
      <c r="E1" s="1" t="s">
        <v>59</v>
      </c>
      <c r="F1" s="1" t="s">
        <v>1296</v>
      </c>
      <c r="G1" s="1" t="s">
        <v>1297</v>
      </c>
      <c r="H1" s="1" t="s">
        <v>13</v>
      </c>
      <c r="I1" s="1" t="s">
        <v>16</v>
      </c>
      <c r="J1" s="1" t="s">
        <v>1300</v>
      </c>
      <c r="K1" s="1" t="s">
        <v>79</v>
      </c>
      <c r="L1" s="1" t="s">
        <v>89</v>
      </c>
      <c r="M1" s="1" t="s">
        <v>85</v>
      </c>
      <c r="N1" s="1" t="s">
        <v>40</v>
      </c>
      <c r="O1" s="1" t="s">
        <v>52</v>
      </c>
      <c r="P1" s="1" t="s">
        <v>1304</v>
      </c>
      <c r="Q1" s="1" t="s">
        <v>42</v>
      </c>
      <c r="R1" s="1" t="s">
        <v>1305</v>
      </c>
      <c r="S1" s="1" t="s">
        <v>1307</v>
      </c>
      <c r="T1" s="1" t="s">
        <v>68</v>
      </c>
      <c r="U1" s="1" t="s">
        <v>71</v>
      </c>
      <c r="V1" s="1" t="s">
        <v>73</v>
      </c>
      <c r="W1" s="1" t="s">
        <v>74</v>
      </c>
      <c r="X1" s="1" t="s">
        <v>1311</v>
      </c>
    </row>
    <row r="2">
      <c r="A2" s="1" t="s">
        <v>1313</v>
      </c>
      <c r="B2" s="1" t="s">
        <v>997</v>
      </c>
      <c r="C2" s="1" t="s">
        <v>1315</v>
      </c>
      <c r="D2" s="1" t="s">
        <v>1315</v>
      </c>
      <c r="E2" s="1" t="s">
        <v>1316</v>
      </c>
      <c r="F2" s="1" t="s">
        <v>1209</v>
      </c>
      <c r="G2" s="1" t="s">
        <v>1209</v>
      </c>
      <c r="H2" s="1">
        <v>296.0</v>
      </c>
      <c r="I2" s="1">
        <v>0.006899708108</v>
      </c>
      <c r="J2" s="1">
        <v>9.0</v>
      </c>
      <c r="K2" s="1">
        <v>1065.0</v>
      </c>
      <c r="L2" s="1">
        <v>846.0</v>
      </c>
      <c r="M2" s="1">
        <v>966.0</v>
      </c>
      <c r="N2" s="1">
        <v>0.6616</v>
      </c>
      <c r="O2" s="1" t="s">
        <v>82</v>
      </c>
      <c r="P2" s="1">
        <v>0.821</v>
      </c>
      <c r="Q2" s="1">
        <v>1.0013</v>
      </c>
      <c r="R2" s="1">
        <v>99.03</v>
      </c>
      <c r="S2" s="1">
        <v>0.7703</v>
      </c>
      <c r="T2" s="1">
        <v>65.4854</v>
      </c>
      <c r="U2" s="1">
        <v>-19.3016</v>
      </c>
      <c r="V2" s="1" t="s">
        <v>1323</v>
      </c>
      <c r="W2" s="1" t="s">
        <v>1325</v>
      </c>
      <c r="X2" s="1" t="b">
        <v>1</v>
      </c>
    </row>
    <row r="3">
      <c r="A3" s="1" t="s">
        <v>1313</v>
      </c>
      <c r="B3" s="1" t="s">
        <v>306</v>
      </c>
      <c r="C3" s="1" t="s">
        <v>1315</v>
      </c>
      <c r="D3" s="1" t="s">
        <v>1315</v>
      </c>
      <c r="E3" s="1" t="s">
        <v>1316</v>
      </c>
      <c r="F3" s="1" t="s">
        <v>1209</v>
      </c>
      <c r="G3" s="1" t="s">
        <v>1209</v>
      </c>
      <c r="H3" s="1">
        <v>428.0</v>
      </c>
      <c r="I3" s="1">
        <v>0.09603880841</v>
      </c>
      <c r="J3" s="1">
        <v>9.0</v>
      </c>
      <c r="K3" s="1">
        <v>1065.0</v>
      </c>
      <c r="L3" s="1">
        <v>846.0</v>
      </c>
      <c r="M3" s="1">
        <v>966.0</v>
      </c>
      <c r="N3" s="1">
        <v>0.781</v>
      </c>
      <c r="O3" s="1" t="s">
        <v>82</v>
      </c>
      <c r="P3" s="1">
        <v>0.8426</v>
      </c>
      <c r="Q3" s="1">
        <v>0.9917</v>
      </c>
      <c r="R3" s="1">
        <v>99.23</v>
      </c>
      <c r="S3" s="1">
        <v>0.972</v>
      </c>
      <c r="T3" s="1">
        <v>65.4854</v>
      </c>
      <c r="U3" s="1">
        <v>-19.3016</v>
      </c>
      <c r="V3" s="1" t="s">
        <v>1323</v>
      </c>
      <c r="W3" s="1" t="s">
        <v>1325</v>
      </c>
      <c r="X3" s="1" t="b">
        <v>1</v>
      </c>
    </row>
    <row r="4">
      <c r="A4" s="1" t="s">
        <v>1333</v>
      </c>
      <c r="B4" s="1" t="s">
        <v>997</v>
      </c>
      <c r="C4" s="1" t="s">
        <v>1315</v>
      </c>
      <c r="D4" s="1" t="s">
        <v>1315</v>
      </c>
      <c r="E4" s="1" t="s">
        <v>1335</v>
      </c>
      <c r="F4" s="1" t="s">
        <v>1209</v>
      </c>
      <c r="G4" s="1" t="s">
        <v>1209</v>
      </c>
      <c r="H4" s="1">
        <v>911.0</v>
      </c>
      <c r="I4" s="1">
        <v>0.01688878156</v>
      </c>
      <c r="J4" s="1">
        <v>9.0</v>
      </c>
      <c r="K4" s="1">
        <v>7000.0</v>
      </c>
      <c r="L4" s="1" t="s">
        <v>1339</v>
      </c>
      <c r="M4" s="1" t="s">
        <v>1339</v>
      </c>
      <c r="N4" s="1">
        <v>0.763</v>
      </c>
      <c r="O4" s="1" t="s">
        <v>82</v>
      </c>
      <c r="P4" s="1">
        <v>0.72</v>
      </c>
      <c r="Q4" s="1">
        <v>0.9947</v>
      </c>
      <c r="R4" s="1">
        <v>98.65</v>
      </c>
      <c r="S4" s="1">
        <v>0.6235</v>
      </c>
      <c r="T4" s="1">
        <v>45.0144</v>
      </c>
      <c r="U4" s="1">
        <v>34.1821</v>
      </c>
      <c r="V4" s="1" t="s">
        <v>1342</v>
      </c>
      <c r="W4" s="1" t="s">
        <v>1345</v>
      </c>
      <c r="X4" s="1" t="b">
        <v>1</v>
      </c>
    </row>
    <row r="5">
      <c r="A5" s="1" t="s">
        <v>1347</v>
      </c>
      <c r="B5" s="1" t="s">
        <v>306</v>
      </c>
      <c r="C5" s="1" t="s">
        <v>1315</v>
      </c>
      <c r="D5" s="1" t="s">
        <v>1315</v>
      </c>
      <c r="E5" s="1" t="s">
        <v>1350</v>
      </c>
      <c r="F5" s="1" t="s">
        <v>1209</v>
      </c>
      <c r="G5" s="1" t="s">
        <v>1209</v>
      </c>
      <c r="H5" s="1">
        <v>82.0</v>
      </c>
      <c r="I5" s="1">
        <v>0.01560073171</v>
      </c>
      <c r="J5" s="1">
        <v>9.0</v>
      </c>
      <c r="K5" s="1">
        <v>10200.0</v>
      </c>
      <c r="L5" s="1">
        <v>10000.0</v>
      </c>
      <c r="M5" s="1">
        <v>10300.0</v>
      </c>
      <c r="N5" s="1">
        <v>0.583</v>
      </c>
      <c r="O5" s="1" t="s">
        <v>82</v>
      </c>
      <c r="P5" s="1">
        <v>0.8466</v>
      </c>
      <c r="Q5" s="1">
        <v>1.0014</v>
      </c>
      <c r="R5" s="1">
        <v>99.32</v>
      </c>
      <c r="S5" s="1">
        <v>0.9878</v>
      </c>
      <c r="T5" s="1">
        <v>38.34935</v>
      </c>
      <c r="U5" s="1">
        <v>34.230237</v>
      </c>
      <c r="V5" s="1" t="s">
        <v>213</v>
      </c>
      <c r="W5" s="1" t="s">
        <v>215</v>
      </c>
      <c r="X5" s="1" t="b">
        <v>1</v>
      </c>
    </row>
    <row r="6">
      <c r="A6" s="1" t="s">
        <v>250</v>
      </c>
      <c r="B6" s="1" t="s">
        <v>306</v>
      </c>
      <c r="C6" s="1" t="s">
        <v>121</v>
      </c>
      <c r="D6" s="1" t="s">
        <v>121</v>
      </c>
      <c r="E6" s="1" t="s">
        <v>119</v>
      </c>
      <c r="F6" s="1" t="s">
        <v>211</v>
      </c>
      <c r="G6" s="1" t="s">
        <v>209</v>
      </c>
      <c r="H6" s="1">
        <v>114.0</v>
      </c>
      <c r="I6" s="1">
        <v>0.01369285614</v>
      </c>
      <c r="J6" s="1">
        <v>7.0</v>
      </c>
      <c r="K6" s="1">
        <v>10200.0</v>
      </c>
      <c r="L6" s="1">
        <v>10000.0</v>
      </c>
      <c r="M6" s="1">
        <v>10400.0</v>
      </c>
      <c r="N6" s="1">
        <v>0.6324</v>
      </c>
      <c r="O6" s="1" t="s">
        <v>82</v>
      </c>
      <c r="P6" s="1">
        <v>0.8685</v>
      </c>
      <c r="Q6" s="1">
        <v>0.9996</v>
      </c>
      <c r="R6" s="1">
        <v>99.55</v>
      </c>
      <c r="S6" s="1">
        <v>1.0526</v>
      </c>
      <c r="T6" s="1">
        <v>38.34935</v>
      </c>
      <c r="U6" s="1">
        <v>34.230237</v>
      </c>
      <c r="V6" s="1" t="s">
        <v>213</v>
      </c>
      <c r="W6" s="1" t="s">
        <v>215</v>
      </c>
      <c r="X6" s="1" t="b">
        <v>1</v>
      </c>
    </row>
    <row r="7">
      <c r="A7" s="1" t="s">
        <v>259</v>
      </c>
      <c r="B7" s="1" t="s">
        <v>997</v>
      </c>
      <c r="C7" s="1" t="s">
        <v>121</v>
      </c>
      <c r="D7" s="1" t="s">
        <v>121</v>
      </c>
      <c r="E7" s="1" t="s">
        <v>119</v>
      </c>
      <c r="F7" s="1" t="s">
        <v>211</v>
      </c>
      <c r="G7" s="1" t="s">
        <v>209</v>
      </c>
      <c r="H7" s="1">
        <v>325997.0</v>
      </c>
      <c r="I7" s="1">
        <v>1.408473066</v>
      </c>
      <c r="J7" s="1">
        <v>9.0</v>
      </c>
      <c r="K7" s="1">
        <v>9904.0</v>
      </c>
      <c r="L7" s="1">
        <v>9689.0</v>
      </c>
      <c r="M7" s="1">
        <v>10118.0</v>
      </c>
      <c r="N7" s="1">
        <v>0.9639</v>
      </c>
      <c r="O7" s="1" t="s">
        <v>82</v>
      </c>
      <c r="P7" s="1">
        <v>0.7283</v>
      </c>
      <c r="Q7" s="1">
        <v>0.7548</v>
      </c>
      <c r="R7" s="1">
        <v>98.78</v>
      </c>
      <c r="S7" s="1">
        <v>0.6282</v>
      </c>
      <c r="T7" s="1">
        <v>38.34935</v>
      </c>
      <c r="U7" s="1">
        <v>34.230237</v>
      </c>
      <c r="V7" s="1" t="s">
        <v>213</v>
      </c>
      <c r="W7" s="1" t="s">
        <v>215</v>
      </c>
      <c r="X7" s="1" t="b">
        <v>1</v>
      </c>
    </row>
    <row r="8">
      <c r="A8" s="1" t="s">
        <v>1136</v>
      </c>
      <c r="B8" s="1" t="s">
        <v>306</v>
      </c>
      <c r="C8" s="1" t="s">
        <v>121</v>
      </c>
      <c r="D8" s="1" t="s">
        <v>121</v>
      </c>
      <c r="E8" s="1" t="s">
        <v>119</v>
      </c>
      <c r="F8" s="1" t="s">
        <v>197</v>
      </c>
      <c r="G8" s="1" t="s">
        <v>195</v>
      </c>
      <c r="H8" s="1">
        <v>153.0</v>
      </c>
      <c r="I8" s="1">
        <v>0.02179945098</v>
      </c>
      <c r="J8" s="1">
        <v>8.0</v>
      </c>
      <c r="K8" s="1">
        <v>9600.0</v>
      </c>
      <c r="L8" s="1">
        <v>9400.0</v>
      </c>
      <c r="M8" s="1">
        <v>9800.0</v>
      </c>
      <c r="N8" s="1">
        <v>0.6506</v>
      </c>
      <c r="O8" s="1" t="s">
        <v>82</v>
      </c>
      <c r="P8" s="1">
        <v>0.8508</v>
      </c>
      <c r="Q8" s="1">
        <v>0.9752</v>
      </c>
      <c r="R8" s="1">
        <v>99.33</v>
      </c>
      <c r="S8" s="1">
        <v>1.0131</v>
      </c>
      <c r="T8" s="1">
        <v>38.34935</v>
      </c>
      <c r="U8" s="1">
        <v>34.230237</v>
      </c>
      <c r="V8" s="1" t="s">
        <v>213</v>
      </c>
      <c r="W8" s="1" t="s">
        <v>215</v>
      </c>
      <c r="X8" s="1" t="b">
        <v>1</v>
      </c>
    </row>
    <row r="9">
      <c r="A9" s="1" t="s">
        <v>281</v>
      </c>
      <c r="B9" s="1" t="s">
        <v>997</v>
      </c>
      <c r="C9" s="1" t="s">
        <v>121</v>
      </c>
      <c r="D9" s="1" t="s">
        <v>121</v>
      </c>
      <c r="E9" s="1" t="s">
        <v>119</v>
      </c>
      <c r="F9" s="1" t="s">
        <v>197</v>
      </c>
      <c r="G9" s="1" t="s">
        <v>195</v>
      </c>
      <c r="H9" s="1">
        <v>26888.0</v>
      </c>
      <c r="I9" s="1">
        <v>0.7647528838</v>
      </c>
      <c r="J9" s="1">
        <v>10.0</v>
      </c>
      <c r="K9" s="1">
        <v>9860.0</v>
      </c>
      <c r="L9" s="1">
        <v>9608.0</v>
      </c>
      <c r="M9" s="1">
        <v>10111.0</v>
      </c>
      <c r="N9" s="1">
        <v>0.9542</v>
      </c>
      <c r="O9" s="1" t="s">
        <v>82</v>
      </c>
      <c r="P9" s="1">
        <v>0.7285</v>
      </c>
      <c r="Q9" s="1">
        <v>0.9184</v>
      </c>
      <c r="R9" s="1">
        <v>98.84</v>
      </c>
      <c r="S9" s="1">
        <v>0.5815</v>
      </c>
      <c r="T9" s="1">
        <v>38.34935</v>
      </c>
      <c r="U9" s="1">
        <v>34.230237</v>
      </c>
      <c r="V9" s="1" t="s">
        <v>213</v>
      </c>
      <c r="W9" s="1" t="s">
        <v>215</v>
      </c>
      <c r="X9" s="1" t="b">
        <v>1</v>
      </c>
    </row>
    <row r="10">
      <c r="A10" s="1" t="s">
        <v>281</v>
      </c>
      <c r="B10" s="1" t="s">
        <v>306</v>
      </c>
      <c r="C10" s="1" t="s">
        <v>121</v>
      </c>
      <c r="D10" s="1" t="s">
        <v>121</v>
      </c>
      <c r="E10" s="1" t="s">
        <v>119</v>
      </c>
      <c r="F10" s="1" t="s">
        <v>197</v>
      </c>
      <c r="G10" s="1" t="s">
        <v>195</v>
      </c>
      <c r="H10" s="1">
        <v>415.0</v>
      </c>
      <c r="I10" s="1">
        <v>0.1175419952</v>
      </c>
      <c r="J10" s="1">
        <v>7.0</v>
      </c>
      <c r="K10" s="1">
        <v>9860.0</v>
      </c>
      <c r="L10" s="1">
        <v>9608.0</v>
      </c>
      <c r="M10" s="1">
        <v>10111.0</v>
      </c>
      <c r="N10" s="1">
        <v>0.7558</v>
      </c>
      <c r="O10" s="1" t="s">
        <v>82</v>
      </c>
      <c r="P10" s="1">
        <v>0.8503</v>
      </c>
      <c r="Q10" s="1">
        <v>0.9917</v>
      </c>
      <c r="R10" s="1">
        <v>99.36</v>
      </c>
      <c r="S10" s="1">
        <v>0.8289</v>
      </c>
      <c r="T10" s="1">
        <v>38.34935</v>
      </c>
      <c r="U10" s="1">
        <v>34.230237</v>
      </c>
      <c r="V10" s="1" t="s">
        <v>213</v>
      </c>
      <c r="W10" s="1" t="s">
        <v>215</v>
      </c>
      <c r="X10" s="1" t="b">
        <v>1</v>
      </c>
    </row>
    <row r="11">
      <c r="A11" s="1" t="s">
        <v>1389</v>
      </c>
      <c r="B11" s="1" t="s">
        <v>441</v>
      </c>
      <c r="C11" s="1" t="s">
        <v>1390</v>
      </c>
      <c r="D11" s="1" t="s">
        <v>1390</v>
      </c>
      <c r="E11" s="1" t="s">
        <v>1392</v>
      </c>
      <c r="F11" s="1" t="s">
        <v>1209</v>
      </c>
      <c r="G11" s="1" t="s">
        <v>1209</v>
      </c>
      <c r="H11" s="1">
        <v>137.0</v>
      </c>
      <c r="I11" s="1">
        <v>0.02705656204</v>
      </c>
      <c r="J11" s="1">
        <v>6.0</v>
      </c>
      <c r="K11" s="1">
        <v>6100.0</v>
      </c>
      <c r="L11" s="1" t="s">
        <v>1339</v>
      </c>
      <c r="M11" s="1" t="s">
        <v>1339</v>
      </c>
      <c r="N11" s="1">
        <v>0.59</v>
      </c>
      <c r="O11" s="1" t="s">
        <v>82</v>
      </c>
      <c r="P11" s="1">
        <v>0.8345</v>
      </c>
      <c r="Q11" s="1">
        <v>0.9968</v>
      </c>
      <c r="R11" s="1">
        <v>99.45</v>
      </c>
      <c r="S11" s="1">
        <v>0.9343</v>
      </c>
      <c r="T11" s="1">
        <v>39.16</v>
      </c>
      <c r="U11" s="1">
        <v>45.27</v>
      </c>
      <c r="V11" s="1" t="s">
        <v>1104</v>
      </c>
      <c r="W11" s="1" t="s">
        <v>1402</v>
      </c>
      <c r="X11" s="1" t="b">
        <v>1</v>
      </c>
    </row>
    <row r="12">
      <c r="A12" s="1" t="s">
        <v>1403</v>
      </c>
      <c r="B12" s="1" t="s">
        <v>503</v>
      </c>
      <c r="C12" s="1" t="s">
        <v>1315</v>
      </c>
      <c r="D12" s="1" t="s">
        <v>1315</v>
      </c>
      <c r="E12" s="1" t="s">
        <v>1316</v>
      </c>
      <c r="F12" s="1" t="s">
        <v>1209</v>
      </c>
      <c r="G12" s="1" t="s">
        <v>1209</v>
      </c>
      <c r="H12" s="1">
        <v>65.0</v>
      </c>
      <c r="I12" s="1">
        <v>0.001277795077</v>
      </c>
      <c r="J12" s="1">
        <v>7.0</v>
      </c>
      <c r="K12" s="1">
        <v>6500.0</v>
      </c>
      <c r="L12" s="1" t="s">
        <v>1339</v>
      </c>
      <c r="M12" s="1" t="s">
        <v>1339</v>
      </c>
      <c r="N12" s="1">
        <v>0.4899</v>
      </c>
      <c r="O12" s="1" t="s">
        <v>82</v>
      </c>
      <c r="P12" s="1">
        <v>0.8351</v>
      </c>
      <c r="Q12" s="1">
        <v>1.0003</v>
      </c>
      <c r="R12" s="1">
        <v>99.01</v>
      </c>
      <c r="S12" s="1">
        <v>0.9538</v>
      </c>
      <c r="T12" s="1">
        <v>44.454</v>
      </c>
      <c r="U12" s="1">
        <v>20.3724</v>
      </c>
      <c r="V12" s="1" t="s">
        <v>295</v>
      </c>
      <c r="W12" s="1" t="s">
        <v>1409</v>
      </c>
      <c r="X12" s="1" t="b">
        <v>1</v>
      </c>
    </row>
    <row r="13">
      <c r="A13" s="1" t="s">
        <v>1410</v>
      </c>
      <c r="B13" s="1" t="s">
        <v>306</v>
      </c>
      <c r="C13" s="1" t="s">
        <v>1390</v>
      </c>
      <c r="D13" s="1" t="s">
        <v>1390</v>
      </c>
      <c r="E13" s="1" t="s">
        <v>1413</v>
      </c>
      <c r="F13" s="1" t="s">
        <v>1414</v>
      </c>
      <c r="G13" s="1" t="s">
        <v>195</v>
      </c>
      <c r="H13" s="1">
        <v>2261.0</v>
      </c>
      <c r="I13" s="1">
        <v>0.2649629279</v>
      </c>
      <c r="J13" s="1">
        <v>10.0</v>
      </c>
      <c r="K13" s="1">
        <v>10108.0</v>
      </c>
      <c r="L13" s="1">
        <v>11402.0</v>
      </c>
      <c r="M13" s="1">
        <v>11875.0</v>
      </c>
      <c r="N13" s="1">
        <v>0.93</v>
      </c>
      <c r="O13" s="1" t="s">
        <v>82</v>
      </c>
      <c r="P13" s="1">
        <v>0.8598</v>
      </c>
      <c r="Q13" s="1">
        <v>0.9889</v>
      </c>
      <c r="R13" s="1">
        <v>99.42</v>
      </c>
      <c r="S13" s="1">
        <v>1.0212</v>
      </c>
      <c r="T13" s="1">
        <v>51.107</v>
      </c>
      <c r="U13" s="1">
        <v>6.464</v>
      </c>
      <c r="V13" s="1" t="s">
        <v>201</v>
      </c>
      <c r="W13" s="1" t="s">
        <v>1417</v>
      </c>
      <c r="X13" s="1" t="b">
        <v>1</v>
      </c>
    </row>
    <row r="14">
      <c r="A14" s="1" t="s">
        <v>290</v>
      </c>
      <c r="B14" s="1" t="s">
        <v>982</v>
      </c>
      <c r="C14" s="1" t="s">
        <v>121</v>
      </c>
      <c r="D14" s="1" t="s">
        <v>121</v>
      </c>
      <c r="E14" s="1" t="s">
        <v>119</v>
      </c>
      <c r="F14" s="1" t="s">
        <v>197</v>
      </c>
      <c r="G14" s="1" t="s">
        <v>195</v>
      </c>
      <c r="H14" s="1">
        <v>310.0</v>
      </c>
      <c r="I14" s="1">
        <v>0.0344082871</v>
      </c>
      <c r="J14" s="1">
        <v>10.0</v>
      </c>
      <c r="K14" s="1">
        <v>8225.0</v>
      </c>
      <c r="L14" s="1">
        <v>8025.0</v>
      </c>
      <c r="M14" s="1">
        <v>8425.0</v>
      </c>
      <c r="N14" s="1">
        <v>0.8445</v>
      </c>
      <c r="O14" s="1" t="s">
        <v>82</v>
      </c>
      <c r="P14" s="1">
        <v>0.8487</v>
      </c>
      <c r="Q14" s="1">
        <v>0.9906</v>
      </c>
      <c r="R14" s="1">
        <v>99.23</v>
      </c>
      <c r="S14" s="1">
        <v>2.7355</v>
      </c>
      <c r="T14" s="1">
        <v>43.717483</v>
      </c>
      <c r="U14" s="1">
        <v>21.0978982</v>
      </c>
      <c r="V14" s="1" t="s">
        <v>295</v>
      </c>
      <c r="W14" s="1" t="s">
        <v>296</v>
      </c>
      <c r="X14" s="1" t="b">
        <v>1</v>
      </c>
    </row>
    <row r="15">
      <c r="A15" s="1" t="s">
        <v>324</v>
      </c>
      <c r="B15" s="1" t="s">
        <v>997</v>
      </c>
      <c r="C15" s="1" t="s">
        <v>121</v>
      </c>
      <c r="D15" s="1" t="s">
        <v>121</v>
      </c>
      <c r="E15" s="1" t="s">
        <v>119</v>
      </c>
      <c r="F15" s="1" t="s">
        <v>197</v>
      </c>
      <c r="G15" s="1" t="s">
        <v>195</v>
      </c>
      <c r="H15" s="1">
        <v>6101.0</v>
      </c>
      <c r="I15" s="1">
        <v>0.1374113458</v>
      </c>
      <c r="J15" s="1">
        <v>10.0</v>
      </c>
      <c r="K15" s="1">
        <v>8225.0</v>
      </c>
      <c r="L15" s="1">
        <v>8025.0</v>
      </c>
      <c r="M15" s="1">
        <v>8425.0</v>
      </c>
      <c r="N15" s="1">
        <v>0.8983</v>
      </c>
      <c r="O15" s="1" t="s">
        <v>82</v>
      </c>
      <c r="P15" s="1">
        <v>0.7604</v>
      </c>
      <c r="Q15" s="1">
        <v>0.9259</v>
      </c>
      <c r="R15" s="1">
        <v>99.01</v>
      </c>
      <c r="S15" s="1">
        <v>0.5132</v>
      </c>
      <c r="T15" s="1">
        <v>43.717483</v>
      </c>
      <c r="U15" s="1">
        <v>21.0978982</v>
      </c>
      <c r="V15" s="1" t="s">
        <v>295</v>
      </c>
      <c r="W15" s="1" t="s">
        <v>296</v>
      </c>
      <c r="X15" s="1" t="b">
        <v>1</v>
      </c>
    </row>
    <row r="16">
      <c r="A16" s="1" t="s">
        <v>324</v>
      </c>
      <c r="B16" s="1" t="s">
        <v>982</v>
      </c>
      <c r="C16" s="1" t="s">
        <v>121</v>
      </c>
      <c r="D16" s="1" t="s">
        <v>121</v>
      </c>
      <c r="E16" s="1" t="s">
        <v>119</v>
      </c>
      <c r="F16" s="1" t="s">
        <v>197</v>
      </c>
      <c r="G16" s="1" t="s">
        <v>195</v>
      </c>
      <c r="H16" s="1">
        <v>151.0</v>
      </c>
      <c r="I16" s="1">
        <v>0.009425306623</v>
      </c>
      <c r="J16" s="1">
        <v>9.0</v>
      </c>
      <c r="K16" s="1">
        <v>8225.0</v>
      </c>
      <c r="L16" s="1">
        <v>8025.0</v>
      </c>
      <c r="M16" s="1">
        <v>8425.0</v>
      </c>
      <c r="N16" s="1">
        <v>0.7485</v>
      </c>
      <c r="O16" s="1" t="s">
        <v>82</v>
      </c>
      <c r="P16" s="1">
        <v>0.8453</v>
      </c>
      <c r="Q16" s="1">
        <v>0.9359</v>
      </c>
      <c r="R16" s="1">
        <v>99.23</v>
      </c>
      <c r="S16" s="1">
        <v>2.4834</v>
      </c>
      <c r="T16" s="1">
        <v>43.717483</v>
      </c>
      <c r="U16" s="1">
        <v>21.0978982</v>
      </c>
      <c r="V16" s="1" t="s">
        <v>295</v>
      </c>
      <c r="W16" s="1" t="s">
        <v>296</v>
      </c>
      <c r="X16" s="1" t="b">
        <v>1</v>
      </c>
    </row>
    <row r="17">
      <c r="A17" s="1" t="s">
        <v>1436</v>
      </c>
      <c r="B17" s="1" t="s">
        <v>306</v>
      </c>
      <c r="C17" s="1" t="s">
        <v>1438</v>
      </c>
      <c r="D17" s="1" t="s">
        <v>1438</v>
      </c>
      <c r="E17" s="1" t="s">
        <v>1439</v>
      </c>
      <c r="F17" s="1" t="s">
        <v>1441</v>
      </c>
      <c r="G17" s="1" t="s">
        <v>209</v>
      </c>
      <c r="H17" s="1">
        <v>5913.0</v>
      </c>
      <c r="I17" s="1">
        <v>1.657349574</v>
      </c>
      <c r="J17" s="1">
        <v>9.0</v>
      </c>
      <c r="K17" s="1">
        <v>394.0</v>
      </c>
      <c r="L17" s="1">
        <v>315.0</v>
      </c>
      <c r="M17" s="1">
        <v>473.0</v>
      </c>
      <c r="N17" s="1">
        <v>0.9597</v>
      </c>
      <c r="O17" s="1" t="s">
        <v>82</v>
      </c>
      <c r="P17" s="1">
        <v>0.7952</v>
      </c>
      <c r="Q17" s="1">
        <v>0.9794</v>
      </c>
      <c r="R17" s="1">
        <v>99.4</v>
      </c>
      <c r="S17" s="1">
        <v>0.8813</v>
      </c>
      <c r="T17" s="1">
        <v>54.713611</v>
      </c>
      <c r="U17" s="1">
        <v>-5.8075</v>
      </c>
      <c r="V17" s="1" t="s">
        <v>437</v>
      </c>
      <c r="W17" s="1" t="s">
        <v>1449</v>
      </c>
      <c r="X17" s="1" t="b">
        <v>1</v>
      </c>
    </row>
    <row r="18">
      <c r="A18" s="1" t="s">
        <v>1452</v>
      </c>
      <c r="B18" s="1" t="s">
        <v>1015</v>
      </c>
      <c r="C18" s="1" t="s">
        <v>1438</v>
      </c>
      <c r="D18" s="1" t="s">
        <v>1438</v>
      </c>
      <c r="E18" s="1" t="s">
        <v>1439</v>
      </c>
      <c r="F18" s="1" t="s">
        <v>1414</v>
      </c>
      <c r="G18" s="1" t="s">
        <v>195</v>
      </c>
      <c r="H18" s="1">
        <v>9603.0</v>
      </c>
      <c r="I18" s="1">
        <v>3.922723586</v>
      </c>
      <c r="J18" s="1">
        <v>9.0</v>
      </c>
      <c r="K18" s="1">
        <v>4100.0</v>
      </c>
      <c r="L18" s="1">
        <v>3950.0</v>
      </c>
      <c r="M18" s="1">
        <v>4250.0</v>
      </c>
      <c r="N18" s="1">
        <v>0.9691</v>
      </c>
      <c r="O18" s="1" t="s">
        <v>82</v>
      </c>
      <c r="P18" s="1">
        <v>0.8659</v>
      </c>
      <c r="Q18" s="1">
        <v>0.982</v>
      </c>
      <c r="R18" s="1">
        <v>99.65</v>
      </c>
      <c r="S18" s="1">
        <v>0.9661</v>
      </c>
      <c r="T18" s="1">
        <v>37.10355</v>
      </c>
      <c r="U18" s="1">
        <v>56.885281</v>
      </c>
      <c r="V18" s="1" t="s">
        <v>1104</v>
      </c>
      <c r="W18" s="1" t="s">
        <v>1459</v>
      </c>
      <c r="X18" s="1" t="b">
        <v>1</v>
      </c>
    </row>
    <row r="19">
      <c r="A19" s="1" t="s">
        <v>1235</v>
      </c>
      <c r="B19" s="1" t="s">
        <v>534</v>
      </c>
      <c r="C19" s="1" t="s">
        <v>121</v>
      </c>
      <c r="D19" s="1" t="s">
        <v>121</v>
      </c>
      <c r="E19" s="1" t="s">
        <v>119</v>
      </c>
      <c r="F19" s="1" t="s">
        <v>197</v>
      </c>
      <c r="G19" s="1" t="s">
        <v>195</v>
      </c>
      <c r="H19" s="1">
        <v>2416.0</v>
      </c>
      <c r="I19" s="1">
        <v>0.2746876366</v>
      </c>
      <c r="J19" s="1">
        <v>10.0</v>
      </c>
      <c r="K19" s="1">
        <v>4400.0</v>
      </c>
      <c r="L19" s="1">
        <v>4200.0</v>
      </c>
      <c r="M19" s="1">
        <v>4600.0</v>
      </c>
      <c r="N19" s="1">
        <v>0.9035</v>
      </c>
      <c r="O19" s="1" t="s">
        <v>82</v>
      </c>
      <c r="P19" s="1">
        <v>0.8464</v>
      </c>
      <c r="Q19" s="1">
        <v>0.9939</v>
      </c>
      <c r="R19" s="1">
        <v>99.43</v>
      </c>
      <c r="S19" s="1">
        <v>0.9164</v>
      </c>
      <c r="T19" s="1">
        <v>37.10355</v>
      </c>
      <c r="U19" s="1">
        <v>56.885281</v>
      </c>
      <c r="V19" s="1" t="s">
        <v>1104</v>
      </c>
      <c r="W19" s="1" t="s">
        <v>1237</v>
      </c>
      <c r="X19" s="1" t="b">
        <v>1</v>
      </c>
    </row>
    <row r="20">
      <c r="A20" s="1" t="s">
        <v>1471</v>
      </c>
      <c r="B20" s="1" t="s">
        <v>441</v>
      </c>
      <c r="C20" s="1" t="s">
        <v>1390</v>
      </c>
      <c r="D20" s="1" t="s">
        <v>1390</v>
      </c>
      <c r="E20" s="1" t="s">
        <v>1392</v>
      </c>
      <c r="F20" s="1" t="s">
        <v>1209</v>
      </c>
      <c r="G20" s="1" t="s">
        <v>1209</v>
      </c>
      <c r="H20" s="1">
        <v>130.0</v>
      </c>
      <c r="I20" s="1">
        <v>0.0247804</v>
      </c>
      <c r="J20" s="1">
        <v>8.0</v>
      </c>
      <c r="K20" s="1">
        <v>5200.0</v>
      </c>
      <c r="L20" s="1" t="s">
        <v>1339</v>
      </c>
      <c r="M20" s="1" t="s">
        <v>1339</v>
      </c>
      <c r="N20" s="1">
        <v>0.5887</v>
      </c>
      <c r="O20" s="1" t="s">
        <v>82</v>
      </c>
      <c r="P20" s="1">
        <v>0.8667</v>
      </c>
      <c r="Q20" s="1">
        <v>1.0011</v>
      </c>
      <c r="R20" s="1">
        <v>99.47</v>
      </c>
      <c r="S20" s="1">
        <v>0.9538</v>
      </c>
      <c r="T20" s="1">
        <v>33.25</v>
      </c>
      <c r="U20" s="1">
        <v>35.65</v>
      </c>
      <c r="V20" s="1" t="s">
        <v>1050</v>
      </c>
      <c r="W20" s="1" t="s">
        <v>1478</v>
      </c>
      <c r="X20" s="1" t="b">
        <v>1</v>
      </c>
    </row>
    <row r="21">
      <c r="A21" s="1" t="s">
        <v>1480</v>
      </c>
      <c r="B21" s="1" t="s">
        <v>997</v>
      </c>
      <c r="C21" s="1" t="s">
        <v>1438</v>
      </c>
      <c r="D21" s="1" t="s">
        <v>1438</v>
      </c>
      <c r="E21" s="1" t="s">
        <v>1483</v>
      </c>
      <c r="F21" s="1" t="s">
        <v>1484</v>
      </c>
      <c r="G21" s="1" t="s">
        <v>195</v>
      </c>
      <c r="H21" s="1">
        <v>157988.0</v>
      </c>
      <c r="I21" s="1">
        <v>2.411912053</v>
      </c>
      <c r="J21" s="1">
        <v>9.0</v>
      </c>
      <c r="K21" s="1">
        <v>13243.5</v>
      </c>
      <c r="L21" s="1">
        <v>13170.0</v>
      </c>
      <c r="M21" s="1">
        <v>13317.0</v>
      </c>
      <c r="N21" s="1">
        <v>0.9693</v>
      </c>
      <c r="O21" s="1" t="s">
        <v>82</v>
      </c>
      <c r="P21" s="1">
        <v>0.731</v>
      </c>
      <c r="Q21" s="1">
        <v>0.7978</v>
      </c>
      <c r="R21" s="1">
        <v>98.86</v>
      </c>
      <c r="S21" s="1">
        <v>0.5921</v>
      </c>
      <c r="T21" s="1">
        <v>37.8578</v>
      </c>
      <c r="U21" s="1">
        <v>36.653883</v>
      </c>
      <c r="V21" s="1" t="s">
        <v>213</v>
      </c>
      <c r="W21" s="1" t="s">
        <v>1490</v>
      </c>
      <c r="X21" s="1" t="b">
        <v>1</v>
      </c>
    </row>
    <row r="22">
      <c r="A22" s="1" t="s">
        <v>428</v>
      </c>
      <c r="B22" s="1" t="s">
        <v>306</v>
      </c>
      <c r="C22" s="1" t="s">
        <v>121</v>
      </c>
      <c r="D22" s="1" t="s">
        <v>121</v>
      </c>
      <c r="E22" s="1" t="s">
        <v>119</v>
      </c>
      <c r="F22" s="1" t="s">
        <v>197</v>
      </c>
      <c r="G22" s="1" t="s">
        <v>195</v>
      </c>
      <c r="H22" s="1">
        <v>274.0</v>
      </c>
      <c r="I22" s="1">
        <v>0.06533509489</v>
      </c>
      <c r="J22" s="1">
        <v>7.0</v>
      </c>
      <c r="K22" s="1">
        <v>1250.0</v>
      </c>
      <c r="L22" s="1">
        <v>1050.0</v>
      </c>
      <c r="M22" s="1">
        <v>1450.0</v>
      </c>
      <c r="N22" s="1">
        <v>0.7439</v>
      </c>
      <c r="O22" s="1" t="s">
        <v>82</v>
      </c>
      <c r="P22" s="1">
        <v>0.8715</v>
      </c>
      <c r="Q22" s="1">
        <v>0.9971</v>
      </c>
      <c r="R22" s="1">
        <v>99.64</v>
      </c>
      <c r="S22" s="1">
        <v>1.0839</v>
      </c>
      <c r="T22" s="1">
        <v>53.8132</v>
      </c>
      <c r="U22" s="1">
        <v>-6.75617</v>
      </c>
      <c r="V22" s="1" t="s">
        <v>437</v>
      </c>
      <c r="W22" s="1" t="s">
        <v>439</v>
      </c>
      <c r="X22" s="1" t="b">
        <v>1</v>
      </c>
    </row>
    <row r="23">
      <c r="A23" s="1" t="s">
        <v>444</v>
      </c>
      <c r="B23" s="1" t="s">
        <v>306</v>
      </c>
      <c r="C23" s="1" t="s">
        <v>121</v>
      </c>
      <c r="D23" s="1" t="s">
        <v>121</v>
      </c>
      <c r="E23" s="1" t="s">
        <v>119</v>
      </c>
      <c r="F23" s="1" t="s">
        <v>197</v>
      </c>
      <c r="G23" s="1" t="s">
        <v>195</v>
      </c>
      <c r="H23" s="1">
        <v>60895.0</v>
      </c>
      <c r="I23" s="1">
        <v>6.524105329</v>
      </c>
      <c r="J23" s="1">
        <v>9.0</v>
      </c>
      <c r="K23" s="1">
        <v>900.0</v>
      </c>
      <c r="L23" s="1">
        <v>700.0</v>
      </c>
      <c r="M23" s="1">
        <v>1100.0</v>
      </c>
      <c r="N23" s="1">
        <v>0.9831</v>
      </c>
      <c r="O23" s="1" t="s">
        <v>82</v>
      </c>
      <c r="P23" s="1">
        <v>0.8648</v>
      </c>
      <c r="Q23" s="1">
        <v>0.9012</v>
      </c>
      <c r="R23" s="1">
        <v>99.59</v>
      </c>
      <c r="S23" s="1">
        <v>0.9982</v>
      </c>
      <c r="T23" s="1">
        <v>53.343889</v>
      </c>
      <c r="U23" s="1">
        <v>-6.27</v>
      </c>
      <c r="V23" s="1" t="s">
        <v>437</v>
      </c>
      <c r="W23" s="1" t="s">
        <v>453</v>
      </c>
      <c r="X23" s="1" t="b">
        <v>1</v>
      </c>
    </row>
    <row r="24">
      <c r="A24" s="1" t="s">
        <v>1247</v>
      </c>
      <c r="B24" s="1" t="s">
        <v>306</v>
      </c>
      <c r="C24" s="1" t="s">
        <v>121</v>
      </c>
      <c r="D24" s="1" t="s">
        <v>121</v>
      </c>
      <c r="E24" s="1" t="s">
        <v>119</v>
      </c>
      <c r="F24" s="1" t="s">
        <v>197</v>
      </c>
      <c r="G24" s="1" t="s">
        <v>195</v>
      </c>
      <c r="H24" s="1">
        <v>1021.0</v>
      </c>
      <c r="I24" s="1">
        <v>0.3725714006</v>
      </c>
      <c r="J24" s="1">
        <v>10.0</v>
      </c>
      <c r="K24" s="1">
        <v>3080.0</v>
      </c>
      <c r="L24" s="1">
        <v>2998.0</v>
      </c>
      <c r="M24" s="1">
        <v>3162.0</v>
      </c>
      <c r="N24" s="1">
        <v>0.8643</v>
      </c>
      <c r="O24" s="1" t="s">
        <v>82</v>
      </c>
      <c r="P24" s="1">
        <v>0.8609</v>
      </c>
      <c r="Q24" s="1">
        <v>1.0049</v>
      </c>
      <c r="R24" s="1">
        <v>99.57</v>
      </c>
      <c r="S24" s="1">
        <v>0.8609</v>
      </c>
      <c r="T24" s="1">
        <v>52.7</v>
      </c>
      <c r="U24" s="1">
        <v>5.3</v>
      </c>
      <c r="V24" s="1" t="s">
        <v>1250</v>
      </c>
      <c r="W24" s="1" t="s">
        <v>1251</v>
      </c>
      <c r="X24" s="1" t="b">
        <v>1</v>
      </c>
    </row>
    <row r="25">
      <c r="A25" s="1" t="s">
        <v>1511</v>
      </c>
      <c r="B25" s="1" t="s">
        <v>306</v>
      </c>
      <c r="C25" s="1" t="s">
        <v>1438</v>
      </c>
      <c r="D25" s="1" t="s">
        <v>1438</v>
      </c>
      <c r="E25" s="1" t="s">
        <v>1513</v>
      </c>
      <c r="F25" s="1" t="s">
        <v>1115</v>
      </c>
      <c r="G25" s="1" t="s">
        <v>1114</v>
      </c>
      <c r="H25" s="1">
        <v>72.0</v>
      </c>
      <c r="I25" s="1">
        <v>0.01323333333</v>
      </c>
      <c r="J25" s="1">
        <v>7.0</v>
      </c>
      <c r="K25" s="1">
        <v>-38.0</v>
      </c>
      <c r="L25" s="1">
        <v>-38.5</v>
      </c>
      <c r="M25" s="1">
        <v>-37.5</v>
      </c>
      <c r="N25" s="1">
        <v>0.523</v>
      </c>
      <c r="O25" s="1" t="s">
        <v>82</v>
      </c>
      <c r="P25" s="1">
        <v>0.8495</v>
      </c>
      <c r="Q25" s="1">
        <v>1.0011</v>
      </c>
      <c r="R25" s="1">
        <v>99.44</v>
      </c>
      <c r="S25" s="1">
        <v>0.6944</v>
      </c>
      <c r="T25" s="1">
        <v>48.504</v>
      </c>
      <c r="U25" s="1">
        <v>2.2136</v>
      </c>
      <c r="V25" s="1" t="s">
        <v>1209</v>
      </c>
      <c r="W25" s="1" t="s">
        <v>1519</v>
      </c>
      <c r="X25" s="1" t="b">
        <v>1</v>
      </c>
    </row>
    <row r="26">
      <c r="A26" s="1" t="s">
        <v>535</v>
      </c>
      <c r="B26" s="1" t="s">
        <v>526</v>
      </c>
      <c r="C26" s="1" t="s">
        <v>121</v>
      </c>
      <c r="D26" s="1" t="s">
        <v>121</v>
      </c>
      <c r="E26" s="1" t="s">
        <v>119</v>
      </c>
      <c r="F26" s="1" t="s">
        <v>197</v>
      </c>
      <c r="G26" s="1" t="s">
        <v>195</v>
      </c>
      <c r="H26" s="1">
        <v>546.0</v>
      </c>
      <c r="I26" s="1">
        <v>0.002778989011</v>
      </c>
      <c r="J26" s="1">
        <v>9.0</v>
      </c>
      <c r="K26" s="1">
        <v>1700.0</v>
      </c>
      <c r="L26" s="1">
        <v>1500.0</v>
      </c>
      <c r="M26" s="1">
        <v>1900.0</v>
      </c>
      <c r="N26" s="1">
        <v>0.7665</v>
      </c>
      <c r="O26" s="1" t="s">
        <v>82</v>
      </c>
      <c r="P26" s="1">
        <v>0.7295</v>
      </c>
      <c r="Q26" s="1">
        <v>0.8003</v>
      </c>
      <c r="R26" s="1">
        <v>98.56</v>
      </c>
      <c r="S26" s="1">
        <v>3.3462</v>
      </c>
      <c r="T26" s="1">
        <v>50.1612625</v>
      </c>
      <c r="U26" s="1">
        <v>8.6424693</v>
      </c>
      <c r="V26" s="1" t="s">
        <v>201</v>
      </c>
      <c r="W26" s="1" t="s">
        <v>547</v>
      </c>
      <c r="X26" s="1" t="b">
        <v>1</v>
      </c>
    </row>
    <row r="27">
      <c r="A27" s="1" t="s">
        <v>535</v>
      </c>
      <c r="B27" s="1" t="s">
        <v>992</v>
      </c>
      <c r="C27" s="1" t="s">
        <v>121</v>
      </c>
      <c r="D27" s="1" t="s">
        <v>121</v>
      </c>
      <c r="E27" s="1" t="s">
        <v>119</v>
      </c>
      <c r="F27" s="1" t="s">
        <v>197</v>
      </c>
      <c r="G27" s="1" t="s">
        <v>195</v>
      </c>
      <c r="H27" s="1">
        <v>64.0</v>
      </c>
      <c r="I27" s="1">
        <v>0.002524048438</v>
      </c>
      <c r="J27" s="1">
        <v>8.0</v>
      </c>
      <c r="K27" s="1">
        <v>1700.0</v>
      </c>
      <c r="L27" s="1">
        <v>1500.0</v>
      </c>
      <c r="M27" s="1">
        <v>1900.0</v>
      </c>
      <c r="N27" s="1">
        <v>0.6799</v>
      </c>
      <c r="O27" s="1" t="s">
        <v>82</v>
      </c>
      <c r="P27" s="1">
        <v>0.7616</v>
      </c>
      <c r="Q27" s="1">
        <v>0.9974</v>
      </c>
      <c r="R27" s="1">
        <v>98.96</v>
      </c>
      <c r="S27" s="1">
        <v>3.25</v>
      </c>
      <c r="T27" s="1">
        <v>50.1612625</v>
      </c>
      <c r="U27" s="1">
        <v>8.6424693</v>
      </c>
      <c r="V27" s="1" t="s">
        <v>201</v>
      </c>
      <c r="W27" s="1" t="s">
        <v>547</v>
      </c>
      <c r="X27" s="1" t="b">
        <v>1</v>
      </c>
    </row>
    <row r="28">
      <c r="A28" s="1" t="s">
        <v>535</v>
      </c>
      <c r="B28" s="1" t="s">
        <v>306</v>
      </c>
      <c r="C28" s="1" t="s">
        <v>121</v>
      </c>
      <c r="D28" s="1" t="s">
        <v>121</v>
      </c>
      <c r="E28" s="1" t="s">
        <v>119</v>
      </c>
      <c r="F28" s="1" t="s">
        <v>197</v>
      </c>
      <c r="G28" s="1" t="s">
        <v>195</v>
      </c>
      <c r="H28" s="1">
        <v>229.0</v>
      </c>
      <c r="I28" s="1">
        <v>0.03635283843</v>
      </c>
      <c r="J28" s="1">
        <v>8.0</v>
      </c>
      <c r="K28" s="1">
        <v>1700.0</v>
      </c>
      <c r="L28" s="1">
        <v>1500.0</v>
      </c>
      <c r="M28" s="1">
        <v>1900.0</v>
      </c>
      <c r="N28" s="1">
        <v>0.722</v>
      </c>
      <c r="O28" s="1" t="s">
        <v>82</v>
      </c>
      <c r="P28" s="1">
        <v>0.8708</v>
      </c>
      <c r="Q28" s="1">
        <v>0.9976</v>
      </c>
      <c r="R28" s="1">
        <v>99.56</v>
      </c>
      <c r="S28" s="1">
        <v>1.0393</v>
      </c>
      <c r="T28" s="1">
        <v>50.1612625</v>
      </c>
      <c r="U28" s="1">
        <v>8.6424693</v>
      </c>
      <c r="V28" s="1" t="s">
        <v>201</v>
      </c>
      <c r="W28" s="1" t="s">
        <v>547</v>
      </c>
      <c r="X28" s="1" t="b">
        <v>1</v>
      </c>
    </row>
    <row r="29">
      <c r="A29" s="1" t="s">
        <v>1538</v>
      </c>
      <c r="B29" s="1" t="s">
        <v>306</v>
      </c>
      <c r="C29" s="1" t="s">
        <v>1390</v>
      </c>
      <c r="D29" s="1" t="s">
        <v>1390</v>
      </c>
      <c r="E29" s="1" t="s">
        <v>1413</v>
      </c>
      <c r="F29" s="1" t="s">
        <v>1541</v>
      </c>
      <c r="G29" s="1" t="s">
        <v>195</v>
      </c>
      <c r="H29" s="1">
        <v>1706.0</v>
      </c>
      <c r="I29" s="1">
        <v>0.6157323623</v>
      </c>
      <c r="J29" s="1">
        <v>10.0</v>
      </c>
      <c r="K29" s="1">
        <v>8297.0</v>
      </c>
      <c r="L29" s="1">
        <v>9035.0</v>
      </c>
      <c r="M29" s="1">
        <v>9464.0</v>
      </c>
      <c r="N29" s="1">
        <v>0.9109</v>
      </c>
      <c r="O29" s="1" t="s">
        <v>82</v>
      </c>
      <c r="P29" s="1">
        <v>0.853</v>
      </c>
      <c r="Q29" s="1">
        <v>0.9901</v>
      </c>
      <c r="R29" s="1">
        <v>99.49</v>
      </c>
      <c r="S29" s="1">
        <v>1.0059</v>
      </c>
      <c r="T29" s="1">
        <v>43.072</v>
      </c>
      <c r="U29" s="1">
        <v>-8.661</v>
      </c>
      <c r="V29" s="1" t="s">
        <v>1116</v>
      </c>
      <c r="W29" s="1" t="s">
        <v>1546</v>
      </c>
      <c r="X29" s="1" t="b">
        <v>1</v>
      </c>
    </row>
    <row r="30">
      <c r="A30" s="1" t="s">
        <v>1548</v>
      </c>
      <c r="B30" s="1" t="s">
        <v>306</v>
      </c>
      <c r="C30" s="1" t="s">
        <v>1390</v>
      </c>
      <c r="D30" s="1" t="s">
        <v>1390</v>
      </c>
      <c r="E30" s="1" t="s">
        <v>1413</v>
      </c>
      <c r="F30" s="1" t="s">
        <v>211</v>
      </c>
      <c r="G30" s="1" t="s">
        <v>209</v>
      </c>
      <c r="H30" s="1">
        <v>2848733.0</v>
      </c>
      <c r="I30" s="1">
        <v>0.2524212078</v>
      </c>
      <c r="J30" s="1">
        <v>10.0</v>
      </c>
      <c r="K30" s="1">
        <v>8311.0</v>
      </c>
      <c r="L30" s="1">
        <v>9039.0</v>
      </c>
      <c r="M30" s="1">
        <v>9474.0</v>
      </c>
      <c r="N30" s="1">
        <v>0.9873</v>
      </c>
      <c r="O30" s="1" t="s">
        <v>82</v>
      </c>
      <c r="P30" s="1">
        <v>0.8563</v>
      </c>
      <c r="Q30" s="1">
        <v>0.9076</v>
      </c>
      <c r="R30" s="1">
        <v>99.5</v>
      </c>
      <c r="S30" s="1">
        <v>0.551</v>
      </c>
      <c r="T30" s="1">
        <v>43.072</v>
      </c>
      <c r="U30" s="1">
        <v>-8.661</v>
      </c>
      <c r="V30" s="1" t="s">
        <v>1116</v>
      </c>
      <c r="W30" s="1" t="s">
        <v>1546</v>
      </c>
      <c r="X30" s="1" t="b">
        <v>1</v>
      </c>
    </row>
    <row r="31">
      <c r="A31" s="1" t="s">
        <v>1277</v>
      </c>
      <c r="B31" s="1" t="s">
        <v>997</v>
      </c>
      <c r="C31" s="1" t="s">
        <v>121</v>
      </c>
      <c r="D31" s="1" t="s">
        <v>121</v>
      </c>
      <c r="E31" s="1" t="s">
        <v>1279</v>
      </c>
      <c r="F31" s="1" t="s">
        <v>197</v>
      </c>
      <c r="G31" s="1" t="s">
        <v>195</v>
      </c>
      <c r="H31" s="1">
        <v>1098.0</v>
      </c>
      <c r="I31" s="1">
        <v>0.04039913661</v>
      </c>
      <c r="J31" s="1">
        <v>9.0</v>
      </c>
      <c r="K31" s="1">
        <v>10070.0</v>
      </c>
      <c r="L31" s="1">
        <v>9910.0</v>
      </c>
      <c r="M31" s="1">
        <v>10229.0</v>
      </c>
      <c r="N31" s="1">
        <v>0.7828</v>
      </c>
      <c r="O31" s="1" t="s">
        <v>82</v>
      </c>
      <c r="P31" s="1">
        <v>0.7625</v>
      </c>
      <c r="Q31" s="1">
        <v>0.9941</v>
      </c>
      <c r="R31" s="1">
        <v>98.86</v>
      </c>
      <c r="S31" s="1">
        <v>0.6157</v>
      </c>
      <c r="T31" s="1">
        <v>34.2721</v>
      </c>
      <c r="U31" s="1">
        <v>47.4758</v>
      </c>
      <c r="V31" s="1" t="s">
        <v>1104</v>
      </c>
      <c r="W31" s="1" t="s">
        <v>1281</v>
      </c>
      <c r="X31" s="1" t="b">
        <v>1</v>
      </c>
    </row>
    <row r="32">
      <c r="A32" s="1" t="s">
        <v>1565</v>
      </c>
      <c r="B32" s="1" t="s">
        <v>982</v>
      </c>
      <c r="C32" s="1" t="s">
        <v>1438</v>
      </c>
      <c r="D32" s="1" t="s">
        <v>1438</v>
      </c>
      <c r="E32" s="1" t="s">
        <v>1439</v>
      </c>
      <c r="F32" s="1" t="s">
        <v>1566</v>
      </c>
      <c r="G32" s="1" t="s">
        <v>195</v>
      </c>
      <c r="H32" s="1">
        <v>495.0</v>
      </c>
      <c r="I32" s="1">
        <v>0.03842284848</v>
      </c>
      <c r="J32" s="1">
        <v>10.0</v>
      </c>
      <c r="K32" s="1">
        <v>9850.0</v>
      </c>
      <c r="L32" s="1">
        <v>9550.0</v>
      </c>
      <c r="M32" s="1">
        <v>10150.0</v>
      </c>
      <c r="N32" s="1">
        <v>0.8777</v>
      </c>
      <c r="O32" s="1" t="s">
        <v>82</v>
      </c>
      <c r="P32" s="1">
        <v>0.8124</v>
      </c>
      <c r="Q32" s="1">
        <v>1.0006</v>
      </c>
      <c r="R32" s="1">
        <v>99.13</v>
      </c>
      <c r="S32" s="1">
        <v>2.3414</v>
      </c>
      <c r="T32" s="1">
        <v>34.27218</v>
      </c>
      <c r="U32" s="1">
        <v>47.476423</v>
      </c>
      <c r="V32" s="1" t="s">
        <v>1104</v>
      </c>
      <c r="W32" s="1" t="s">
        <v>1573</v>
      </c>
      <c r="X32" s="1" t="b">
        <v>1</v>
      </c>
    </row>
    <row r="33">
      <c r="A33" s="1" t="s">
        <v>1575</v>
      </c>
      <c r="B33" s="1" t="s">
        <v>982</v>
      </c>
      <c r="C33" s="1" t="s">
        <v>1438</v>
      </c>
      <c r="D33" s="1" t="s">
        <v>1438</v>
      </c>
      <c r="E33" s="1" t="s">
        <v>1439</v>
      </c>
      <c r="F33" s="1" t="s">
        <v>1577</v>
      </c>
      <c r="G33" s="1" t="s">
        <v>195</v>
      </c>
      <c r="H33" s="1">
        <v>51.0</v>
      </c>
      <c r="I33" s="1">
        <v>0.002936809804</v>
      </c>
      <c r="J33" s="1">
        <v>7.0</v>
      </c>
      <c r="K33" s="1">
        <v>9850.0</v>
      </c>
      <c r="L33" s="1">
        <v>9550.0</v>
      </c>
      <c r="M33" s="1">
        <v>10150.0</v>
      </c>
      <c r="N33" s="1">
        <v>0.6121</v>
      </c>
      <c r="O33" s="1" t="s">
        <v>82</v>
      </c>
      <c r="P33" s="1">
        <v>0.7658</v>
      </c>
      <c r="Q33" s="1">
        <v>1.0017</v>
      </c>
      <c r="R33" s="1">
        <v>98.86</v>
      </c>
      <c r="S33" s="1">
        <v>2.1176</v>
      </c>
      <c r="T33" s="1">
        <v>34.27218</v>
      </c>
      <c r="U33" s="1">
        <v>47.476423</v>
      </c>
      <c r="V33" s="1" t="s">
        <v>1104</v>
      </c>
      <c r="W33" s="1" t="s">
        <v>1573</v>
      </c>
      <c r="X33" s="1" t="b">
        <v>1</v>
      </c>
    </row>
    <row r="34">
      <c r="A34" s="1" t="s">
        <v>1585</v>
      </c>
      <c r="B34" s="1" t="s">
        <v>997</v>
      </c>
      <c r="C34" s="1" t="s">
        <v>1438</v>
      </c>
      <c r="D34" s="1" t="s">
        <v>1438</v>
      </c>
      <c r="E34" s="1" t="s">
        <v>1439</v>
      </c>
      <c r="F34" s="1" t="s">
        <v>1588</v>
      </c>
      <c r="G34" s="1" t="s">
        <v>195</v>
      </c>
      <c r="H34" s="1">
        <v>496.0</v>
      </c>
      <c r="I34" s="1">
        <v>0.01285400403</v>
      </c>
      <c r="J34" s="1">
        <v>8.0</v>
      </c>
      <c r="K34" s="1">
        <v>9850.0</v>
      </c>
      <c r="L34" s="1">
        <v>9550.0</v>
      </c>
      <c r="M34" s="1">
        <v>10150.0</v>
      </c>
      <c r="N34" s="1">
        <v>0.6874</v>
      </c>
      <c r="O34" s="1" t="s">
        <v>82</v>
      </c>
      <c r="P34" s="1">
        <v>0.7408</v>
      </c>
      <c r="Q34" s="1">
        <v>0.9968</v>
      </c>
      <c r="R34" s="1">
        <v>98.99</v>
      </c>
      <c r="S34" s="1">
        <v>0.5726</v>
      </c>
      <c r="T34" s="1">
        <v>34.27218</v>
      </c>
      <c r="U34" s="1">
        <v>47.476423</v>
      </c>
      <c r="V34" s="1" t="s">
        <v>1104</v>
      </c>
      <c r="W34" s="1" t="s">
        <v>1573</v>
      </c>
      <c r="X34" s="1" t="b">
        <v>1</v>
      </c>
    </row>
    <row r="35">
      <c r="A35" s="1" t="s">
        <v>1585</v>
      </c>
      <c r="B35" s="1" t="s">
        <v>982</v>
      </c>
      <c r="C35" s="1" t="s">
        <v>1438</v>
      </c>
      <c r="D35" s="1" t="s">
        <v>1438</v>
      </c>
      <c r="E35" s="1" t="s">
        <v>1439</v>
      </c>
      <c r="F35" s="1" t="s">
        <v>1588</v>
      </c>
      <c r="G35" s="1" t="s">
        <v>195</v>
      </c>
      <c r="H35" s="1">
        <v>114.0</v>
      </c>
      <c r="I35" s="1">
        <v>0.0102787</v>
      </c>
      <c r="J35" s="1">
        <v>8.0</v>
      </c>
      <c r="K35" s="1">
        <v>9850.0</v>
      </c>
      <c r="L35" s="1">
        <v>9550.0</v>
      </c>
      <c r="M35" s="1">
        <v>10150.0</v>
      </c>
      <c r="N35" s="1">
        <v>0.7154</v>
      </c>
      <c r="O35" s="1" t="s">
        <v>82</v>
      </c>
      <c r="P35" s="1">
        <v>0.8261</v>
      </c>
      <c r="Q35" s="1">
        <v>0.9979</v>
      </c>
      <c r="R35" s="1">
        <v>99.18</v>
      </c>
      <c r="S35" s="1">
        <v>2.2018</v>
      </c>
      <c r="T35" s="1">
        <v>34.27218</v>
      </c>
      <c r="U35" s="1">
        <v>47.476423</v>
      </c>
      <c r="V35" s="1" t="s">
        <v>1104</v>
      </c>
      <c r="W35" s="1" t="s">
        <v>1573</v>
      </c>
      <c r="X35" s="1" t="b">
        <v>1</v>
      </c>
    </row>
    <row r="36">
      <c r="A36" s="1" t="s">
        <v>796</v>
      </c>
      <c r="B36" s="1" t="s">
        <v>306</v>
      </c>
      <c r="C36" s="1" t="s">
        <v>121</v>
      </c>
      <c r="D36" s="1" t="s">
        <v>121</v>
      </c>
      <c r="E36" s="1" t="s">
        <v>119</v>
      </c>
      <c r="F36" s="1" t="s">
        <v>197</v>
      </c>
      <c r="G36" s="1" t="s">
        <v>195</v>
      </c>
      <c r="H36" s="1">
        <v>412.0</v>
      </c>
      <c r="I36" s="1">
        <v>0.08664837379</v>
      </c>
      <c r="J36" s="1">
        <v>7.0</v>
      </c>
      <c r="K36" s="1">
        <v>800.0</v>
      </c>
      <c r="L36" s="1">
        <v>600.0</v>
      </c>
      <c r="M36" s="1">
        <v>1000.0</v>
      </c>
      <c r="N36" s="1">
        <v>0.7829</v>
      </c>
      <c r="O36" s="1" t="s">
        <v>82</v>
      </c>
      <c r="P36" s="1">
        <v>0.8591</v>
      </c>
      <c r="Q36" s="1">
        <v>0.996</v>
      </c>
      <c r="R36" s="1">
        <v>99.59</v>
      </c>
      <c r="S36" s="1">
        <v>1.0631</v>
      </c>
      <c r="T36" s="1">
        <v>53.9590444</v>
      </c>
      <c r="U36" s="1">
        <v>-1.0765495</v>
      </c>
      <c r="V36" s="1" t="s">
        <v>804</v>
      </c>
      <c r="W36" s="1" t="s">
        <v>805</v>
      </c>
      <c r="X36" s="1" t="b">
        <v>1</v>
      </c>
    </row>
    <row r="37">
      <c r="A37" s="1" t="s">
        <v>1614</v>
      </c>
      <c r="B37" s="1" t="s">
        <v>306</v>
      </c>
      <c r="C37" s="1" t="s">
        <v>1390</v>
      </c>
      <c r="D37" s="1" t="s">
        <v>1390</v>
      </c>
      <c r="E37" s="1" t="s">
        <v>1413</v>
      </c>
      <c r="F37" s="1" t="s">
        <v>1414</v>
      </c>
      <c r="G37" s="1" t="s">
        <v>195</v>
      </c>
      <c r="H37" s="1">
        <v>550.0</v>
      </c>
      <c r="I37" s="1">
        <v>0.07043780182</v>
      </c>
      <c r="J37" s="1">
        <v>9.0</v>
      </c>
      <c r="K37" s="1" t="s">
        <v>1339</v>
      </c>
      <c r="L37" s="1" t="s">
        <v>1339</v>
      </c>
      <c r="M37" s="1" t="s">
        <v>1339</v>
      </c>
      <c r="N37" s="1">
        <v>0.7835</v>
      </c>
      <c r="O37" s="1" t="s">
        <v>82</v>
      </c>
      <c r="P37" s="1">
        <v>0.8596</v>
      </c>
      <c r="Q37" s="1">
        <v>0.9686</v>
      </c>
      <c r="R37" s="1">
        <v>99.42</v>
      </c>
      <c r="S37" s="1">
        <v>0.9673</v>
      </c>
      <c r="T37" s="1">
        <v>49.145</v>
      </c>
      <c r="U37" s="1">
        <v>8.222</v>
      </c>
      <c r="V37" s="1" t="s">
        <v>201</v>
      </c>
      <c r="W37" s="1" t="s">
        <v>783</v>
      </c>
      <c r="X37" s="1" t="b">
        <v>1</v>
      </c>
    </row>
    <row r="38">
      <c r="A38" s="1" t="s">
        <v>1623</v>
      </c>
      <c r="B38" s="1" t="s">
        <v>1031</v>
      </c>
      <c r="C38" s="1" t="s">
        <v>1438</v>
      </c>
      <c r="D38" s="1" t="s">
        <v>1438</v>
      </c>
      <c r="E38" s="1" t="s">
        <v>1626</v>
      </c>
      <c r="F38" s="1" t="s">
        <v>1115</v>
      </c>
      <c r="G38" s="1" t="s">
        <v>1114</v>
      </c>
      <c r="H38" s="1">
        <v>1032.0</v>
      </c>
      <c r="I38" s="1">
        <v>0.323953593</v>
      </c>
      <c r="J38" s="1">
        <v>9.0</v>
      </c>
      <c r="K38" s="1">
        <v>51.0</v>
      </c>
      <c r="L38" s="1">
        <v>51.0</v>
      </c>
      <c r="M38" s="1">
        <v>71.0</v>
      </c>
      <c r="N38" s="1">
        <v>0.809</v>
      </c>
      <c r="O38" s="1" t="s">
        <v>82</v>
      </c>
      <c r="P38" s="1">
        <v>0.8414</v>
      </c>
      <c r="Q38" s="1">
        <v>0.9873</v>
      </c>
      <c r="R38" s="1">
        <v>99.33</v>
      </c>
      <c r="S38" s="1">
        <v>0.6531</v>
      </c>
      <c r="T38" s="1" t="s">
        <v>1339</v>
      </c>
      <c r="U38" s="1" t="s">
        <v>1339</v>
      </c>
      <c r="V38" s="1" t="s">
        <v>1209</v>
      </c>
      <c r="W38" s="1" t="s">
        <v>1209</v>
      </c>
      <c r="X38" s="1" t="b">
        <v>1</v>
      </c>
    </row>
    <row r="39">
      <c r="A39" s="1" t="s">
        <v>1623</v>
      </c>
      <c r="B39" s="1" t="s">
        <v>526</v>
      </c>
      <c r="C39" s="1" t="s">
        <v>1438</v>
      </c>
      <c r="D39" s="1" t="s">
        <v>1438</v>
      </c>
      <c r="E39" s="1" t="s">
        <v>1626</v>
      </c>
      <c r="F39" s="1" t="s">
        <v>1115</v>
      </c>
      <c r="G39" s="1" t="s">
        <v>1114</v>
      </c>
      <c r="H39" s="1">
        <v>2094.0</v>
      </c>
      <c r="I39" s="1">
        <v>0.01733205578</v>
      </c>
      <c r="J39" s="1">
        <v>10.0</v>
      </c>
      <c r="K39" s="1">
        <v>51.0</v>
      </c>
      <c r="L39" s="1">
        <v>51.0</v>
      </c>
      <c r="M39" s="1">
        <v>71.0</v>
      </c>
      <c r="N39" s="1">
        <v>0.9199</v>
      </c>
      <c r="O39" s="1" t="s">
        <v>82</v>
      </c>
      <c r="P39" s="1">
        <v>0.7828</v>
      </c>
      <c r="Q39" s="1">
        <v>0.9721</v>
      </c>
      <c r="R39" s="1">
        <v>99.1</v>
      </c>
      <c r="S39" s="1">
        <v>2.8801</v>
      </c>
      <c r="T39" s="1" t="s">
        <v>1339</v>
      </c>
      <c r="U39" s="1" t="s">
        <v>1339</v>
      </c>
      <c r="V39" s="1" t="s">
        <v>1209</v>
      </c>
      <c r="W39" s="1" t="s">
        <v>1209</v>
      </c>
      <c r="X39" s="1" t="b">
        <v>1</v>
      </c>
    </row>
    <row r="40">
      <c r="A40" s="1" t="s">
        <v>1640</v>
      </c>
      <c r="B40" s="1" t="s">
        <v>997</v>
      </c>
      <c r="C40" s="1" t="s">
        <v>1315</v>
      </c>
      <c r="D40" s="1" t="s">
        <v>1315</v>
      </c>
      <c r="E40" s="1" t="s">
        <v>1316</v>
      </c>
      <c r="F40" s="1" t="s">
        <v>1209</v>
      </c>
      <c r="G40" s="1" t="s">
        <v>1209</v>
      </c>
      <c r="H40" s="1">
        <v>58.0</v>
      </c>
      <c r="I40" s="1">
        <v>0.002437756552</v>
      </c>
      <c r="J40" s="1">
        <v>7.0</v>
      </c>
      <c r="K40" s="1">
        <v>850.0</v>
      </c>
      <c r="L40" s="1">
        <v>450.0</v>
      </c>
      <c r="M40" s="1">
        <v>950.0</v>
      </c>
      <c r="N40" s="1">
        <v>0.4698</v>
      </c>
      <c r="O40" s="1" t="s">
        <v>82</v>
      </c>
      <c r="P40" s="1">
        <v>0.7302</v>
      </c>
      <c r="Q40" s="1">
        <v>1.0004</v>
      </c>
      <c r="R40" s="1">
        <v>99.01</v>
      </c>
      <c r="S40" s="1">
        <v>0.7759</v>
      </c>
      <c r="T40" s="1">
        <v>52.0186</v>
      </c>
      <c r="U40" s="1">
        <v>5.1758</v>
      </c>
      <c r="V40" s="1" t="s">
        <v>1250</v>
      </c>
      <c r="W40" s="1" t="s">
        <v>1650</v>
      </c>
      <c r="X40" s="1" t="b">
        <v>1</v>
      </c>
    </row>
    <row r="41">
      <c r="A41" s="1" t="s">
        <v>949</v>
      </c>
      <c r="B41" s="1" t="s">
        <v>982</v>
      </c>
      <c r="C41" s="1" t="s">
        <v>1438</v>
      </c>
      <c r="D41" s="1" t="s">
        <v>1438</v>
      </c>
      <c r="E41" s="1" t="s">
        <v>1439</v>
      </c>
      <c r="F41" s="1" t="s">
        <v>1653</v>
      </c>
      <c r="G41" s="1" t="s">
        <v>209</v>
      </c>
      <c r="H41" s="1">
        <v>352.0</v>
      </c>
      <c r="I41" s="1">
        <v>0.03016522727</v>
      </c>
      <c r="J41" s="1">
        <v>10.0</v>
      </c>
      <c r="K41" s="1">
        <v>9700.0</v>
      </c>
      <c r="L41" s="1">
        <v>9250.0</v>
      </c>
      <c r="M41" s="1">
        <v>10150.0</v>
      </c>
      <c r="N41" s="1">
        <v>0.8367</v>
      </c>
      <c r="O41" s="1" t="s">
        <v>82</v>
      </c>
      <c r="P41" s="1">
        <v>0.7727</v>
      </c>
      <c r="Q41" s="1">
        <v>0.9994</v>
      </c>
      <c r="R41" s="1">
        <v>98.81</v>
      </c>
      <c r="S41" s="1">
        <v>2.1449</v>
      </c>
      <c r="T41" s="1">
        <v>34.2721</v>
      </c>
      <c r="U41" s="1">
        <v>47.4758</v>
      </c>
      <c r="V41" s="1" t="s">
        <v>1104</v>
      </c>
      <c r="W41" s="1" t="s">
        <v>1281</v>
      </c>
      <c r="X41" s="1" t="b">
        <v>1</v>
      </c>
    </row>
    <row r="42">
      <c r="A42" s="1" t="s">
        <v>1662</v>
      </c>
      <c r="B42" s="1" t="s">
        <v>396</v>
      </c>
      <c r="C42" s="1" t="s">
        <v>1390</v>
      </c>
      <c r="D42" s="1" t="s">
        <v>1390</v>
      </c>
      <c r="E42" s="1" t="s">
        <v>1663</v>
      </c>
      <c r="F42" s="1" t="s">
        <v>1209</v>
      </c>
      <c r="G42" s="1" t="s">
        <v>1209</v>
      </c>
      <c r="H42" s="1">
        <v>89.0</v>
      </c>
      <c r="I42" s="1">
        <v>0.008743031461</v>
      </c>
      <c r="J42" s="1">
        <v>7.0</v>
      </c>
      <c r="K42" s="1">
        <v>1200.0</v>
      </c>
      <c r="L42" s="1" t="s">
        <v>1339</v>
      </c>
      <c r="M42" s="1" t="s">
        <v>1339</v>
      </c>
      <c r="N42" s="1">
        <v>0.5221</v>
      </c>
      <c r="O42" s="1" t="s">
        <v>82</v>
      </c>
      <c r="P42" s="1">
        <v>0.8143</v>
      </c>
      <c r="Q42" s="1">
        <v>1.0005</v>
      </c>
      <c r="R42" s="1">
        <v>99.07</v>
      </c>
      <c r="S42" s="1">
        <v>0.8989</v>
      </c>
      <c r="T42" s="1">
        <v>42.66</v>
      </c>
      <c r="U42" s="1">
        <v>44.65</v>
      </c>
      <c r="V42" s="1" t="s">
        <v>564</v>
      </c>
      <c r="W42" s="1" t="s">
        <v>1673</v>
      </c>
      <c r="X42" s="1" t="b">
        <v>1</v>
      </c>
    </row>
    <row r="43">
      <c r="A43" s="1" t="s">
        <v>837</v>
      </c>
      <c r="B43" s="1" t="s">
        <v>306</v>
      </c>
      <c r="C43" s="1" t="s">
        <v>121</v>
      </c>
      <c r="D43" s="1" t="s">
        <v>121</v>
      </c>
      <c r="E43" s="1" t="s">
        <v>119</v>
      </c>
      <c r="F43" s="1" t="s">
        <v>197</v>
      </c>
      <c r="G43" s="1" t="s">
        <v>195</v>
      </c>
      <c r="H43" s="1">
        <v>1890.0</v>
      </c>
      <c r="I43" s="1">
        <v>0.8792400317</v>
      </c>
      <c r="J43" s="1">
        <v>9.0</v>
      </c>
      <c r="K43" s="1">
        <v>900.0</v>
      </c>
      <c r="L43" s="1">
        <v>700.0</v>
      </c>
      <c r="M43" s="1">
        <v>1100.0</v>
      </c>
      <c r="N43" s="1">
        <v>0.9182</v>
      </c>
      <c r="O43" s="1" t="s">
        <v>82</v>
      </c>
      <c r="P43" s="1">
        <v>0.8623</v>
      </c>
      <c r="Q43" s="1">
        <v>0.9893</v>
      </c>
      <c r="R43" s="1">
        <v>99.57</v>
      </c>
      <c r="S43" s="1">
        <v>1.0079</v>
      </c>
      <c r="T43" s="1">
        <v>57.1508548</v>
      </c>
      <c r="U43" s="1">
        <v>-7.3906365</v>
      </c>
      <c r="V43" s="1" t="s">
        <v>804</v>
      </c>
      <c r="W43" s="1" t="s">
        <v>845</v>
      </c>
      <c r="X43" s="1" t="b">
        <v>1</v>
      </c>
    </row>
    <row r="44">
      <c r="A44" s="1" t="s">
        <v>366</v>
      </c>
      <c r="B44" s="1" t="s">
        <v>1015</v>
      </c>
      <c r="C44" s="1" t="s">
        <v>1687</v>
      </c>
      <c r="D44" s="1" t="s">
        <v>1687</v>
      </c>
      <c r="E44" s="1" t="s">
        <v>1687</v>
      </c>
      <c r="F44" s="1" t="s">
        <v>1691</v>
      </c>
      <c r="G44" s="1" t="s">
        <v>209</v>
      </c>
      <c r="H44" s="1">
        <v>61.0</v>
      </c>
      <c r="I44" s="1">
        <v>0.01179135738</v>
      </c>
      <c r="J44" s="1">
        <v>6.0</v>
      </c>
      <c r="K44" s="1">
        <v>10000.0</v>
      </c>
      <c r="L44" s="1">
        <v>9800.0</v>
      </c>
      <c r="M44" s="1">
        <v>10200.0</v>
      </c>
      <c r="N44" s="1">
        <v>0.5252</v>
      </c>
      <c r="O44" s="1" t="s">
        <v>82</v>
      </c>
      <c r="P44" s="1">
        <v>0.8736</v>
      </c>
      <c r="Q44" s="1">
        <v>1.0007</v>
      </c>
      <c r="R44" s="1">
        <v>99.67</v>
      </c>
      <c r="S44" s="1">
        <v>1.0984</v>
      </c>
      <c r="T44" s="1">
        <v>34.2721</v>
      </c>
      <c r="U44" s="1">
        <v>47.4758</v>
      </c>
      <c r="V44" s="1" t="s">
        <v>1104</v>
      </c>
      <c r="W44" s="1" t="s">
        <v>1281</v>
      </c>
      <c r="X44" s="1" t="b">
        <v>1</v>
      </c>
    </row>
    <row r="45">
      <c r="A45" s="1" t="s">
        <v>529</v>
      </c>
      <c r="B45" s="1" t="s">
        <v>963</v>
      </c>
      <c r="C45" s="1" t="s">
        <v>121</v>
      </c>
      <c r="D45" s="1" t="s">
        <v>121</v>
      </c>
      <c r="E45" s="1" t="s">
        <v>119</v>
      </c>
      <c r="F45" s="1" t="s">
        <v>1704</v>
      </c>
      <c r="G45" s="1" t="s">
        <v>1114</v>
      </c>
      <c r="H45" s="1">
        <v>297.0</v>
      </c>
      <c r="I45" s="1">
        <v>0.009561438721</v>
      </c>
      <c r="J45" s="1">
        <v>7.0</v>
      </c>
      <c r="K45" s="1">
        <v>4250.0</v>
      </c>
      <c r="L45" s="1">
        <v>4150.0</v>
      </c>
      <c r="M45" s="1">
        <v>4350.0</v>
      </c>
      <c r="N45" s="1">
        <v>0.5343</v>
      </c>
      <c r="O45" s="1" t="s">
        <v>82</v>
      </c>
      <c r="P45" s="1">
        <v>0.7271</v>
      </c>
      <c r="Q45" s="1">
        <v>0.8107</v>
      </c>
      <c r="R45" s="1">
        <v>98.85</v>
      </c>
      <c r="S45" s="1">
        <v>0.9293</v>
      </c>
      <c r="T45" s="1">
        <v>50.95963315</v>
      </c>
      <c r="U45" s="1">
        <v>35.62339593</v>
      </c>
      <c r="V45" s="1" t="s">
        <v>1244</v>
      </c>
      <c r="W45" s="1" t="s">
        <v>1709</v>
      </c>
      <c r="X45" s="1" t="b">
        <v>1</v>
      </c>
    </row>
    <row r="46">
      <c r="A46" s="1" t="s">
        <v>529</v>
      </c>
      <c r="B46" s="1" t="s">
        <v>1031</v>
      </c>
      <c r="C46" s="1" t="s">
        <v>121</v>
      </c>
      <c r="D46" s="1" t="s">
        <v>121</v>
      </c>
      <c r="E46" s="1" t="s">
        <v>119</v>
      </c>
      <c r="F46" s="1" t="s">
        <v>1704</v>
      </c>
      <c r="G46" s="1" t="s">
        <v>1114</v>
      </c>
      <c r="H46" s="1">
        <v>100.0</v>
      </c>
      <c r="I46" s="1">
        <v>0.005305762</v>
      </c>
      <c r="J46" s="1">
        <v>8.0</v>
      </c>
      <c r="K46" s="1">
        <v>4250.0</v>
      </c>
      <c r="L46" s="1">
        <v>4150.0</v>
      </c>
      <c r="M46" s="1">
        <v>4350.0</v>
      </c>
      <c r="N46" s="1">
        <v>0.5379</v>
      </c>
      <c r="O46" s="1" t="s">
        <v>82</v>
      </c>
      <c r="P46" s="1">
        <v>0.852</v>
      </c>
      <c r="Q46" s="1">
        <v>0.9913</v>
      </c>
      <c r="R46" s="1">
        <v>99.27</v>
      </c>
      <c r="S46" s="1">
        <v>0.68</v>
      </c>
      <c r="T46" s="1">
        <v>50.95963315</v>
      </c>
      <c r="U46" s="1">
        <v>35.62339593</v>
      </c>
      <c r="V46" s="1" t="s">
        <v>1244</v>
      </c>
      <c r="W46" s="1" t="s">
        <v>1709</v>
      </c>
      <c r="X46" s="1" t="b">
        <v>1</v>
      </c>
    </row>
    <row r="47">
      <c r="A47" s="1" t="s">
        <v>539</v>
      </c>
      <c r="B47" s="1" t="s">
        <v>963</v>
      </c>
      <c r="C47" s="1" t="s">
        <v>121</v>
      </c>
      <c r="D47" s="1" t="s">
        <v>121</v>
      </c>
      <c r="E47" s="1" t="s">
        <v>119</v>
      </c>
      <c r="F47" s="1" t="s">
        <v>1721</v>
      </c>
      <c r="G47" s="1" t="s">
        <v>1114</v>
      </c>
      <c r="H47" s="1">
        <v>268.0</v>
      </c>
      <c r="I47" s="1">
        <v>0.008962276119</v>
      </c>
      <c r="J47" s="1">
        <v>6.0</v>
      </c>
      <c r="K47" s="1">
        <v>4550.0</v>
      </c>
      <c r="L47" s="1">
        <v>4350.0</v>
      </c>
      <c r="M47" s="1">
        <v>4750.0</v>
      </c>
      <c r="N47" s="1">
        <v>0.535</v>
      </c>
      <c r="O47" s="1" t="s">
        <v>82</v>
      </c>
      <c r="P47" s="1">
        <v>0.7864</v>
      </c>
      <c r="Q47" s="1">
        <v>0.787</v>
      </c>
      <c r="R47" s="1">
        <v>99.01</v>
      </c>
      <c r="S47" s="1">
        <v>1.0187</v>
      </c>
      <c r="T47" s="1">
        <v>45.71790307</v>
      </c>
      <c r="U47" s="1">
        <v>42.91327448</v>
      </c>
      <c r="V47" s="1" t="s">
        <v>1244</v>
      </c>
      <c r="W47" s="1" t="s">
        <v>1730</v>
      </c>
      <c r="X47" s="1" t="b">
        <v>1</v>
      </c>
    </row>
    <row r="48">
      <c r="A48" s="1" t="s">
        <v>543</v>
      </c>
      <c r="B48" s="1" t="s">
        <v>623</v>
      </c>
      <c r="C48" s="1" t="s">
        <v>121</v>
      </c>
      <c r="D48" s="1" t="s">
        <v>121</v>
      </c>
      <c r="E48" s="1" t="s">
        <v>119</v>
      </c>
      <c r="F48" s="1" t="s">
        <v>1721</v>
      </c>
      <c r="G48" s="1" t="s">
        <v>1114</v>
      </c>
      <c r="H48" s="1">
        <v>273.0</v>
      </c>
      <c r="I48" s="1">
        <v>0.001847607326</v>
      </c>
      <c r="J48" s="1">
        <v>7.0</v>
      </c>
      <c r="K48" s="1">
        <v>4550.0</v>
      </c>
      <c r="L48" s="1">
        <v>4350.0</v>
      </c>
      <c r="M48" s="1">
        <v>4750.0</v>
      </c>
      <c r="N48" s="1">
        <v>0.6707</v>
      </c>
      <c r="O48" s="1" t="s">
        <v>82</v>
      </c>
      <c r="P48" s="1">
        <v>0.7397</v>
      </c>
      <c r="Q48" s="1">
        <v>0.7582</v>
      </c>
      <c r="R48" s="1">
        <v>98.97</v>
      </c>
      <c r="S48" s="1">
        <v>1.9084</v>
      </c>
      <c r="T48" s="1">
        <v>45.71790307</v>
      </c>
      <c r="U48" s="1">
        <v>42.91327448</v>
      </c>
      <c r="V48" s="1" t="s">
        <v>1244</v>
      </c>
      <c r="W48" s="1" t="s">
        <v>1740</v>
      </c>
      <c r="X48" s="1" t="b">
        <v>1</v>
      </c>
    </row>
    <row r="49">
      <c r="A49" s="1" t="s">
        <v>545</v>
      </c>
      <c r="B49" s="1" t="s">
        <v>963</v>
      </c>
      <c r="C49" s="1" t="s">
        <v>121</v>
      </c>
      <c r="D49" s="1" t="s">
        <v>121</v>
      </c>
      <c r="E49" s="1" t="s">
        <v>119</v>
      </c>
      <c r="F49" s="1" t="s">
        <v>1745</v>
      </c>
      <c r="G49" s="1" t="s">
        <v>1114</v>
      </c>
      <c r="H49" s="1">
        <v>54.0</v>
      </c>
      <c r="I49" s="1">
        <v>0.004051016667</v>
      </c>
      <c r="J49" s="1">
        <v>7.0</v>
      </c>
      <c r="K49" s="1">
        <v>4250.0</v>
      </c>
      <c r="L49" s="1">
        <v>4150.0</v>
      </c>
      <c r="M49" s="1">
        <v>4350.0</v>
      </c>
      <c r="N49" s="1">
        <v>0.52</v>
      </c>
      <c r="O49" s="1" t="s">
        <v>82</v>
      </c>
      <c r="P49" s="1">
        <v>0.801</v>
      </c>
      <c r="Q49" s="1">
        <v>0.991</v>
      </c>
      <c r="R49" s="1">
        <v>99.01</v>
      </c>
      <c r="S49" s="1">
        <v>1.1296</v>
      </c>
      <c r="T49" s="1">
        <v>45.4149</v>
      </c>
      <c r="U49" s="1">
        <v>43.6968</v>
      </c>
      <c r="V49" s="1" t="s">
        <v>1244</v>
      </c>
      <c r="W49" s="1" t="s">
        <v>1751</v>
      </c>
      <c r="X49" s="1" t="b">
        <v>1</v>
      </c>
    </row>
    <row r="50">
      <c r="A50" s="1" t="s">
        <v>545</v>
      </c>
      <c r="B50" s="1" t="s">
        <v>623</v>
      </c>
      <c r="C50" s="1" t="s">
        <v>121</v>
      </c>
      <c r="D50" s="1" t="s">
        <v>121</v>
      </c>
      <c r="E50" s="1" t="s">
        <v>119</v>
      </c>
      <c r="F50" s="1" t="s">
        <v>1745</v>
      </c>
      <c r="G50" s="1" t="s">
        <v>1114</v>
      </c>
      <c r="H50" s="1">
        <v>2455.0</v>
      </c>
      <c r="I50" s="1">
        <v>0.1256067939</v>
      </c>
      <c r="J50" s="1">
        <v>10.0</v>
      </c>
      <c r="K50" s="1">
        <v>4250.0</v>
      </c>
      <c r="L50" s="1">
        <v>4150.0</v>
      </c>
      <c r="M50" s="1">
        <v>4350.0</v>
      </c>
      <c r="N50" s="1">
        <v>0.9531</v>
      </c>
      <c r="O50" s="1" t="s">
        <v>82</v>
      </c>
      <c r="P50" s="1">
        <v>0.7954</v>
      </c>
      <c r="Q50" s="1">
        <v>0.9836</v>
      </c>
      <c r="R50" s="1">
        <v>99.12</v>
      </c>
      <c r="S50" s="1">
        <v>1.936</v>
      </c>
      <c r="T50" s="1">
        <v>45.4149</v>
      </c>
      <c r="U50" s="1">
        <v>43.6968</v>
      </c>
      <c r="V50" s="1" t="s">
        <v>1244</v>
      </c>
      <c r="W50" s="1" t="s">
        <v>1751</v>
      </c>
      <c r="X50" s="1" t="b">
        <v>1</v>
      </c>
    </row>
    <row r="51">
      <c r="A51" s="1" t="s">
        <v>554</v>
      </c>
      <c r="B51" s="1" t="s">
        <v>963</v>
      </c>
      <c r="C51" s="1" t="s">
        <v>121</v>
      </c>
      <c r="D51" s="1" t="s">
        <v>121</v>
      </c>
      <c r="E51" s="1" t="s">
        <v>119</v>
      </c>
      <c r="F51" s="1" t="s">
        <v>1759</v>
      </c>
      <c r="G51" s="1" t="s">
        <v>1114</v>
      </c>
      <c r="H51" s="1">
        <v>52.0</v>
      </c>
      <c r="I51" s="1">
        <v>0.005114105769</v>
      </c>
      <c r="J51" s="1">
        <v>6.0</v>
      </c>
      <c r="K51" s="1">
        <v>4575.0</v>
      </c>
      <c r="L51" s="1">
        <v>4350.0</v>
      </c>
      <c r="M51" s="1">
        <v>4800.0</v>
      </c>
      <c r="N51" s="1">
        <v>0.4963</v>
      </c>
      <c r="O51" s="1" t="s">
        <v>82</v>
      </c>
      <c r="P51" s="1">
        <v>0.7572</v>
      </c>
      <c r="Q51" s="1">
        <v>1.0005</v>
      </c>
      <c r="R51" s="1">
        <v>98.95</v>
      </c>
      <c r="S51" s="1">
        <v>0.9038</v>
      </c>
      <c r="T51" s="1">
        <v>36.8485</v>
      </c>
      <c r="U51" s="1">
        <v>60.4181</v>
      </c>
      <c r="V51" s="1" t="s">
        <v>1764</v>
      </c>
      <c r="W51" s="1" t="s">
        <v>1765</v>
      </c>
      <c r="X51" s="1" t="b">
        <v>1</v>
      </c>
    </row>
    <row r="52">
      <c r="A52" s="1" t="s">
        <v>554</v>
      </c>
      <c r="B52" s="1" t="s">
        <v>1031</v>
      </c>
      <c r="C52" s="1" t="s">
        <v>121</v>
      </c>
      <c r="D52" s="1" t="s">
        <v>121</v>
      </c>
      <c r="E52" s="1" t="s">
        <v>119</v>
      </c>
      <c r="F52" s="1" t="s">
        <v>1759</v>
      </c>
      <c r="G52" s="1" t="s">
        <v>1114</v>
      </c>
      <c r="H52" s="1">
        <v>124.0</v>
      </c>
      <c r="I52" s="1">
        <v>0.009269112097</v>
      </c>
      <c r="J52" s="1">
        <v>7.0</v>
      </c>
      <c r="K52" s="1">
        <v>4575.0</v>
      </c>
      <c r="L52" s="1">
        <v>4350.0</v>
      </c>
      <c r="M52" s="1">
        <v>4800.0</v>
      </c>
      <c r="N52" s="1">
        <v>0.58</v>
      </c>
      <c r="O52" s="1" t="s">
        <v>82</v>
      </c>
      <c r="P52" s="1">
        <v>0.8522</v>
      </c>
      <c r="Q52" s="1">
        <v>1.001</v>
      </c>
      <c r="R52" s="1">
        <v>99.34</v>
      </c>
      <c r="S52" s="1">
        <v>0.7419</v>
      </c>
      <c r="T52" s="1">
        <v>36.8485</v>
      </c>
      <c r="U52" s="1">
        <v>60.4181</v>
      </c>
      <c r="V52" s="1" t="s">
        <v>1764</v>
      </c>
      <c r="W52" s="1" t="s">
        <v>1765</v>
      </c>
      <c r="X52" s="1" t="b">
        <v>1</v>
      </c>
    </row>
    <row r="53">
      <c r="A53" s="1" t="s">
        <v>559</v>
      </c>
      <c r="B53" s="1" t="s">
        <v>963</v>
      </c>
      <c r="C53" s="1" t="s">
        <v>121</v>
      </c>
      <c r="D53" s="1" t="s">
        <v>121</v>
      </c>
      <c r="E53" s="1" t="s">
        <v>119</v>
      </c>
      <c r="F53" s="1" t="s">
        <v>1774</v>
      </c>
      <c r="G53" s="1" t="s">
        <v>1114</v>
      </c>
      <c r="H53" s="1">
        <v>203.0</v>
      </c>
      <c r="I53" s="1">
        <v>0.02885180296</v>
      </c>
      <c r="J53" s="1">
        <v>7.0</v>
      </c>
      <c r="K53" s="1">
        <v>4250.0</v>
      </c>
      <c r="L53" s="1">
        <v>4150.0</v>
      </c>
      <c r="M53" s="1">
        <v>4350.0</v>
      </c>
      <c r="N53" s="1">
        <v>0.6254</v>
      </c>
      <c r="O53" s="1" t="s">
        <v>82</v>
      </c>
      <c r="P53" s="1">
        <v>0.8167</v>
      </c>
      <c r="Q53" s="1">
        <v>0.9393</v>
      </c>
      <c r="R53" s="1">
        <v>99.07</v>
      </c>
      <c r="S53" s="1">
        <v>0.9261</v>
      </c>
      <c r="T53" s="1">
        <v>50.95963315</v>
      </c>
      <c r="U53" s="1">
        <v>35.62339593</v>
      </c>
      <c r="V53" s="1" t="s">
        <v>1244</v>
      </c>
      <c r="W53" s="1" t="s">
        <v>1709</v>
      </c>
      <c r="X53" s="1" t="b">
        <v>1</v>
      </c>
    </row>
    <row r="54">
      <c r="A54" s="1" t="s">
        <v>577</v>
      </c>
      <c r="B54" s="1" t="s">
        <v>997</v>
      </c>
      <c r="C54" s="1" t="s">
        <v>1438</v>
      </c>
      <c r="D54" s="1" t="s">
        <v>1438</v>
      </c>
      <c r="E54" s="1" t="s">
        <v>1439</v>
      </c>
      <c r="F54" s="1" t="s">
        <v>1783</v>
      </c>
      <c r="G54" s="1" t="s">
        <v>209</v>
      </c>
      <c r="H54" s="1">
        <v>758.0</v>
      </c>
      <c r="I54" s="1">
        <v>0.02671705805</v>
      </c>
      <c r="J54" s="1">
        <v>9.0</v>
      </c>
      <c r="K54" s="1">
        <v>10000.0</v>
      </c>
      <c r="L54" s="1">
        <v>9800.0</v>
      </c>
      <c r="M54" s="1">
        <v>10200.0</v>
      </c>
      <c r="N54" s="1">
        <v>0.739</v>
      </c>
      <c r="O54" s="1" t="s">
        <v>82</v>
      </c>
      <c r="P54" s="1">
        <v>0.7152</v>
      </c>
      <c r="Q54" s="1">
        <v>0.997</v>
      </c>
      <c r="R54" s="1">
        <v>98.88</v>
      </c>
      <c r="S54" s="1">
        <v>0.6161</v>
      </c>
      <c r="T54" s="1">
        <v>34.2721</v>
      </c>
      <c r="U54" s="1">
        <v>47.4758</v>
      </c>
      <c r="V54" s="1" t="s">
        <v>1104</v>
      </c>
      <c r="W54" s="1" t="s">
        <v>1281</v>
      </c>
      <c r="X54" s="1" t="b">
        <v>1</v>
      </c>
    </row>
    <row r="55">
      <c r="A55" s="1" t="s">
        <v>53</v>
      </c>
      <c r="B55" s="1" t="s">
        <v>441</v>
      </c>
      <c r="C55" s="1" t="s">
        <v>1438</v>
      </c>
      <c r="D55" s="1" t="s">
        <v>1438</v>
      </c>
      <c r="E55" s="1" t="s">
        <v>1439</v>
      </c>
      <c r="F55" s="1" t="s">
        <v>1785</v>
      </c>
      <c r="G55" s="1" t="s">
        <v>209</v>
      </c>
      <c r="H55" s="1">
        <v>178852.0</v>
      </c>
      <c r="I55" s="1">
        <v>9.754157886</v>
      </c>
      <c r="J55" s="1">
        <v>10.0</v>
      </c>
      <c r="K55" s="1">
        <v>9837.5</v>
      </c>
      <c r="L55" s="1">
        <v>9557.0</v>
      </c>
      <c r="M55" s="1">
        <v>10118.0</v>
      </c>
      <c r="N55" s="1">
        <v>0.9859</v>
      </c>
      <c r="O55" s="1" t="s">
        <v>82</v>
      </c>
      <c r="P55" s="1">
        <v>0.8593</v>
      </c>
      <c r="Q55" s="1">
        <v>0.8917</v>
      </c>
      <c r="R55" s="1">
        <v>99.75</v>
      </c>
      <c r="S55" s="1">
        <v>0.8249</v>
      </c>
      <c r="T55" s="1">
        <v>34.2721</v>
      </c>
      <c r="U55" s="1">
        <v>47.4758</v>
      </c>
      <c r="V55" s="1" t="s">
        <v>1104</v>
      </c>
      <c r="W55" s="1" t="s">
        <v>1281</v>
      </c>
      <c r="X55" s="1" t="b">
        <v>1</v>
      </c>
    </row>
    <row r="56">
      <c r="A56" s="1" t="s">
        <v>604</v>
      </c>
      <c r="B56" s="1" t="s">
        <v>997</v>
      </c>
      <c r="C56" s="1" t="s">
        <v>1438</v>
      </c>
      <c r="D56" s="1" t="s">
        <v>1438</v>
      </c>
      <c r="E56" s="1" t="s">
        <v>1439</v>
      </c>
      <c r="F56" s="1" t="s">
        <v>1789</v>
      </c>
      <c r="G56" s="1" t="s">
        <v>195</v>
      </c>
      <c r="H56" s="1">
        <v>331.0</v>
      </c>
      <c r="I56" s="1">
        <v>0.008759680967</v>
      </c>
      <c r="J56" s="1">
        <v>8.0</v>
      </c>
      <c r="K56" s="1">
        <v>8085.0</v>
      </c>
      <c r="L56" s="1">
        <v>7885.0</v>
      </c>
      <c r="M56" s="1">
        <v>8285.0</v>
      </c>
      <c r="N56" s="1">
        <v>0.6516</v>
      </c>
      <c r="O56" s="1" t="s">
        <v>82</v>
      </c>
      <c r="P56" s="1">
        <v>0.8047</v>
      </c>
      <c r="Q56" s="1">
        <v>1.0019</v>
      </c>
      <c r="R56" s="1">
        <v>99.14</v>
      </c>
      <c r="S56" s="1">
        <v>0.6012</v>
      </c>
      <c r="T56" s="1">
        <v>33.73</v>
      </c>
      <c r="U56" s="1">
        <v>47.07</v>
      </c>
      <c r="V56" s="1" t="s">
        <v>1104</v>
      </c>
      <c r="W56" s="1" t="s">
        <v>1790</v>
      </c>
      <c r="X56" s="1" t="b">
        <v>1</v>
      </c>
    </row>
    <row r="57">
      <c r="A57" s="1" t="s">
        <v>604</v>
      </c>
      <c r="B57" s="1" t="s">
        <v>534</v>
      </c>
      <c r="C57" s="1" t="s">
        <v>1438</v>
      </c>
      <c r="D57" s="1" t="s">
        <v>1438</v>
      </c>
      <c r="E57" s="1" t="s">
        <v>1439</v>
      </c>
      <c r="F57" s="1" t="s">
        <v>1789</v>
      </c>
      <c r="G57" s="1" t="s">
        <v>195</v>
      </c>
      <c r="H57" s="1">
        <v>933.0</v>
      </c>
      <c r="I57" s="1">
        <v>0.02179480171</v>
      </c>
      <c r="J57" s="1">
        <v>9.0</v>
      </c>
      <c r="K57" s="1">
        <v>8085.0</v>
      </c>
      <c r="L57" s="1">
        <v>7885.0</v>
      </c>
      <c r="M57" s="1">
        <v>8285.0</v>
      </c>
      <c r="N57" s="1">
        <v>0.8095</v>
      </c>
      <c r="O57" s="1" t="s">
        <v>82</v>
      </c>
      <c r="P57" s="1">
        <v>0.8546</v>
      </c>
      <c r="Q57" s="1">
        <v>0.9983</v>
      </c>
      <c r="R57" s="1">
        <v>99.4</v>
      </c>
      <c r="S57" s="1">
        <v>0.821</v>
      </c>
      <c r="T57" s="1">
        <v>33.73</v>
      </c>
      <c r="U57" s="1">
        <v>47.07</v>
      </c>
      <c r="V57" s="1" t="s">
        <v>1104</v>
      </c>
      <c r="W57" s="1" t="s">
        <v>1790</v>
      </c>
      <c r="X57" s="1" t="b">
        <v>1</v>
      </c>
    </row>
    <row r="58">
      <c r="A58" s="1" t="s">
        <v>609</v>
      </c>
      <c r="B58" s="1" t="s">
        <v>963</v>
      </c>
      <c r="C58" s="1" t="s">
        <v>1438</v>
      </c>
      <c r="D58" s="1" t="s">
        <v>1438</v>
      </c>
      <c r="E58" s="1" t="s">
        <v>1439</v>
      </c>
      <c r="F58" s="1" t="s">
        <v>1114</v>
      </c>
      <c r="G58" s="1" t="s">
        <v>1114</v>
      </c>
      <c r="H58" s="1">
        <v>150.0</v>
      </c>
      <c r="I58" s="1">
        <v>0.008582515333</v>
      </c>
      <c r="J58" s="1">
        <v>8.0</v>
      </c>
      <c r="K58" s="1">
        <v>7732.0</v>
      </c>
      <c r="L58" s="1">
        <v>7532.0</v>
      </c>
      <c r="M58" s="1">
        <v>7932.0</v>
      </c>
      <c r="N58" s="1">
        <v>0.6293</v>
      </c>
      <c r="O58" s="1" t="s">
        <v>82</v>
      </c>
      <c r="P58" s="1">
        <v>0.8538</v>
      </c>
      <c r="Q58" s="1">
        <v>0.9893</v>
      </c>
      <c r="R58" s="1">
        <v>99.29</v>
      </c>
      <c r="S58" s="1">
        <v>0.9333</v>
      </c>
      <c r="T58" s="1">
        <v>33.73</v>
      </c>
      <c r="U58" s="1">
        <v>47.07</v>
      </c>
      <c r="V58" s="1" t="s">
        <v>1104</v>
      </c>
      <c r="W58" s="1" t="s">
        <v>1790</v>
      </c>
      <c r="X58" s="1" t="b">
        <v>1</v>
      </c>
    </row>
    <row r="59">
      <c r="A59" s="1" t="s">
        <v>609</v>
      </c>
      <c r="B59" s="1" t="s">
        <v>1031</v>
      </c>
      <c r="C59" s="1" t="s">
        <v>1438</v>
      </c>
      <c r="D59" s="1" t="s">
        <v>1438</v>
      </c>
      <c r="E59" s="1" t="s">
        <v>1439</v>
      </c>
      <c r="F59" s="1" t="s">
        <v>1114</v>
      </c>
      <c r="G59" s="1" t="s">
        <v>1114</v>
      </c>
      <c r="H59" s="1">
        <v>12491.0</v>
      </c>
      <c r="I59" s="1">
        <v>0.4819403587</v>
      </c>
      <c r="J59" s="1">
        <v>10.0</v>
      </c>
      <c r="K59" s="1">
        <v>7732.0</v>
      </c>
      <c r="L59" s="1">
        <v>7532.0</v>
      </c>
      <c r="M59" s="1">
        <v>7932.0</v>
      </c>
      <c r="N59" s="1">
        <v>0.9566</v>
      </c>
      <c r="O59" s="1" t="s">
        <v>82</v>
      </c>
      <c r="P59" s="1">
        <v>0.86</v>
      </c>
      <c r="Q59" s="1">
        <v>0.9292</v>
      </c>
      <c r="R59" s="1">
        <v>99.38</v>
      </c>
      <c r="S59" s="1">
        <v>0.9111</v>
      </c>
      <c r="T59" s="1">
        <v>33.73</v>
      </c>
      <c r="U59" s="1">
        <v>47.07</v>
      </c>
      <c r="V59" s="1" t="s">
        <v>1104</v>
      </c>
      <c r="W59" s="1" t="s">
        <v>1790</v>
      </c>
      <c r="X59" s="1" t="b">
        <v>1</v>
      </c>
    </row>
    <row r="60">
      <c r="A60" s="1" t="s">
        <v>613</v>
      </c>
      <c r="B60" s="1" t="s">
        <v>963</v>
      </c>
      <c r="C60" s="1" t="s">
        <v>121</v>
      </c>
      <c r="D60" s="1" t="s">
        <v>121</v>
      </c>
      <c r="E60" s="1" t="s">
        <v>119</v>
      </c>
      <c r="F60" s="1" t="s">
        <v>1789</v>
      </c>
      <c r="G60" s="1" t="s">
        <v>195</v>
      </c>
      <c r="H60" s="1">
        <v>54.0</v>
      </c>
      <c r="I60" s="1">
        <v>0.0031571</v>
      </c>
      <c r="J60" s="1">
        <v>8.0</v>
      </c>
      <c r="K60" s="1">
        <v>7732.0</v>
      </c>
      <c r="L60" s="1">
        <v>7532.0</v>
      </c>
      <c r="M60" s="1">
        <v>7932.0</v>
      </c>
      <c r="N60" s="1">
        <v>0.5361</v>
      </c>
      <c r="O60" s="1" t="s">
        <v>82</v>
      </c>
      <c r="P60" s="1">
        <v>0.8458</v>
      </c>
      <c r="Q60" s="1">
        <v>1.0006</v>
      </c>
      <c r="R60" s="1">
        <v>99.29</v>
      </c>
      <c r="S60" s="1">
        <v>1.1852</v>
      </c>
      <c r="T60" s="1">
        <v>33.73</v>
      </c>
      <c r="U60" s="1">
        <v>47.07</v>
      </c>
      <c r="V60" s="1" t="s">
        <v>1104</v>
      </c>
      <c r="W60" s="1" t="s">
        <v>1790</v>
      </c>
      <c r="X60" s="1" t="b">
        <v>1</v>
      </c>
    </row>
    <row r="61">
      <c r="A61" s="1" t="s">
        <v>624</v>
      </c>
      <c r="B61" s="1" t="s">
        <v>963</v>
      </c>
      <c r="C61" s="1" t="s">
        <v>121</v>
      </c>
      <c r="D61" s="1" t="s">
        <v>121</v>
      </c>
      <c r="E61" s="1" t="s">
        <v>119</v>
      </c>
      <c r="F61" s="1" t="s">
        <v>1114</v>
      </c>
      <c r="G61" s="1" t="s">
        <v>1114</v>
      </c>
      <c r="H61" s="1">
        <v>70.0</v>
      </c>
      <c r="I61" s="1">
        <v>0.003773571429</v>
      </c>
      <c r="J61" s="1">
        <v>8.0</v>
      </c>
      <c r="K61" s="1">
        <v>7732.0</v>
      </c>
      <c r="L61" s="1">
        <v>7532.0</v>
      </c>
      <c r="M61" s="1">
        <v>7932.0</v>
      </c>
      <c r="N61" s="1">
        <v>0.5305</v>
      </c>
      <c r="O61" s="1" t="s">
        <v>82</v>
      </c>
      <c r="P61" s="1">
        <v>0.7628</v>
      </c>
      <c r="Q61" s="1">
        <v>1.0006</v>
      </c>
      <c r="R61" s="1">
        <v>98.88</v>
      </c>
      <c r="S61" s="1">
        <v>0.9143</v>
      </c>
      <c r="T61" s="1">
        <v>33.73</v>
      </c>
      <c r="U61" s="1">
        <v>47.07</v>
      </c>
      <c r="V61" s="1" t="s">
        <v>1104</v>
      </c>
      <c r="W61" s="1" t="s">
        <v>1790</v>
      </c>
      <c r="X61" s="1" t="b">
        <v>1</v>
      </c>
    </row>
    <row r="62">
      <c r="A62" s="1" t="s">
        <v>678</v>
      </c>
      <c r="B62" s="1" t="s">
        <v>997</v>
      </c>
      <c r="C62" s="1" t="s">
        <v>121</v>
      </c>
      <c r="D62" s="1" t="s">
        <v>121</v>
      </c>
      <c r="E62" s="1" t="s">
        <v>119</v>
      </c>
      <c r="F62" s="1" t="s">
        <v>1783</v>
      </c>
      <c r="G62" s="1" t="s">
        <v>209</v>
      </c>
      <c r="H62" s="1">
        <v>368.0</v>
      </c>
      <c r="I62" s="1">
        <v>0.008187758152</v>
      </c>
      <c r="J62" s="1">
        <v>8.0</v>
      </c>
      <c r="K62" s="1">
        <v>7732.0</v>
      </c>
      <c r="L62" s="1">
        <v>7532.0</v>
      </c>
      <c r="M62" s="1">
        <v>7932.0</v>
      </c>
      <c r="N62" s="1">
        <v>0.6717</v>
      </c>
      <c r="O62" s="1" t="s">
        <v>82</v>
      </c>
      <c r="P62" s="1">
        <v>0.7179</v>
      </c>
      <c r="Q62" s="1">
        <v>0.9952</v>
      </c>
      <c r="R62" s="1">
        <v>98.81</v>
      </c>
      <c r="S62" s="1">
        <v>0.6984</v>
      </c>
      <c r="T62" s="1">
        <v>33.73</v>
      </c>
      <c r="U62" s="1">
        <v>47.07</v>
      </c>
      <c r="V62" s="1" t="s">
        <v>1104</v>
      </c>
      <c r="W62" s="1" t="s">
        <v>1790</v>
      </c>
      <c r="X62" s="1" t="b">
        <v>1</v>
      </c>
    </row>
    <row r="63">
      <c r="A63" s="1" t="s">
        <v>750</v>
      </c>
      <c r="B63" s="1" t="s">
        <v>963</v>
      </c>
      <c r="C63" s="1" t="s">
        <v>121</v>
      </c>
      <c r="D63" s="1" t="s">
        <v>121</v>
      </c>
      <c r="E63" s="1" t="s">
        <v>119</v>
      </c>
      <c r="F63" s="1" t="s">
        <v>1816</v>
      </c>
      <c r="G63" s="1" t="s">
        <v>195</v>
      </c>
      <c r="H63" s="1">
        <v>61.0</v>
      </c>
      <c r="I63" s="1">
        <v>0.004966970492</v>
      </c>
      <c r="J63" s="1">
        <v>7.0</v>
      </c>
      <c r="K63" s="1">
        <v>7450.0</v>
      </c>
      <c r="L63" s="1">
        <v>7250.0</v>
      </c>
      <c r="M63" s="1">
        <v>7650.0</v>
      </c>
      <c r="N63" s="1">
        <v>0.5412</v>
      </c>
      <c r="O63" s="1" t="s">
        <v>82</v>
      </c>
      <c r="P63" s="1">
        <v>0.7737</v>
      </c>
      <c r="Q63" s="1">
        <v>1.0007</v>
      </c>
      <c r="R63" s="1">
        <v>99.09</v>
      </c>
      <c r="S63" s="1">
        <v>1.1148</v>
      </c>
      <c r="T63" s="1">
        <v>33.73</v>
      </c>
      <c r="U63" s="1">
        <v>47.07</v>
      </c>
      <c r="V63" s="1" t="s">
        <v>1104</v>
      </c>
      <c r="W63" s="1" t="s">
        <v>1790</v>
      </c>
      <c r="X63" s="1" t="b">
        <v>1</v>
      </c>
    </row>
    <row r="64">
      <c r="A64" s="1" t="s">
        <v>1218</v>
      </c>
      <c r="B64" s="1" t="s">
        <v>1031</v>
      </c>
      <c r="C64" s="1" t="s">
        <v>121</v>
      </c>
      <c r="D64" s="1" t="s">
        <v>121</v>
      </c>
      <c r="E64" s="1" t="s">
        <v>119</v>
      </c>
      <c r="F64" s="1" t="s">
        <v>1823</v>
      </c>
      <c r="G64" s="1" t="s">
        <v>1114</v>
      </c>
      <c r="H64" s="1">
        <v>139.0</v>
      </c>
      <c r="I64" s="1">
        <v>0.05244938849</v>
      </c>
      <c r="J64" s="1">
        <v>9.0</v>
      </c>
      <c r="K64" s="1" t="s">
        <v>1339</v>
      </c>
      <c r="L64" s="1" t="s">
        <v>1339</v>
      </c>
      <c r="M64" s="1" t="s">
        <v>1339</v>
      </c>
      <c r="N64" s="1">
        <v>0.5754</v>
      </c>
      <c r="O64" s="1" t="s">
        <v>82</v>
      </c>
      <c r="P64" s="1">
        <v>0.7435</v>
      </c>
      <c r="Q64" s="1">
        <v>1.0018</v>
      </c>
      <c r="R64" s="1">
        <v>98.89</v>
      </c>
      <c r="S64" s="1">
        <v>0.6115</v>
      </c>
      <c r="T64" s="1">
        <v>42.73396243</v>
      </c>
      <c r="U64" s="1">
        <v>44.63367638</v>
      </c>
      <c r="V64" s="1" t="s">
        <v>564</v>
      </c>
      <c r="W64" s="1" t="s">
        <v>1829</v>
      </c>
      <c r="X64" s="1" t="b">
        <v>1</v>
      </c>
    </row>
    <row r="65">
      <c r="A65" s="1" t="s">
        <v>17</v>
      </c>
      <c r="B65" s="1" t="s">
        <v>963</v>
      </c>
      <c r="C65" s="1" t="s">
        <v>121</v>
      </c>
      <c r="D65" s="1" t="s">
        <v>121</v>
      </c>
      <c r="E65" s="1" t="s">
        <v>119</v>
      </c>
      <c r="F65" s="1" t="s">
        <v>1832</v>
      </c>
      <c r="G65" s="1" t="s">
        <v>1114</v>
      </c>
      <c r="H65" s="1">
        <v>358.0</v>
      </c>
      <c r="I65" s="1">
        <v>0.01211252235</v>
      </c>
      <c r="J65" s="1">
        <v>6.0</v>
      </c>
      <c r="K65" s="1">
        <v>1899.5</v>
      </c>
      <c r="L65" s="1">
        <v>1750.0</v>
      </c>
      <c r="M65" s="1">
        <v>2049.0</v>
      </c>
      <c r="N65" s="1">
        <v>0.5819</v>
      </c>
      <c r="O65" s="1" t="s">
        <v>82</v>
      </c>
      <c r="P65" s="1">
        <v>0.7107</v>
      </c>
      <c r="Q65" s="1">
        <v>0.7708</v>
      </c>
      <c r="R65" s="1">
        <v>98.79</v>
      </c>
      <c r="S65" s="1">
        <v>1.1592</v>
      </c>
      <c r="T65" s="1">
        <v>39.9709361</v>
      </c>
      <c r="U65" s="1">
        <v>64.61849722</v>
      </c>
      <c r="V65" s="1" t="s">
        <v>1461</v>
      </c>
      <c r="W65" s="1" t="s">
        <v>1836</v>
      </c>
      <c r="X65" s="1" t="b">
        <v>1</v>
      </c>
    </row>
    <row r="66">
      <c r="A66" s="1" t="s">
        <v>23</v>
      </c>
      <c r="B66" s="1" t="s">
        <v>963</v>
      </c>
      <c r="C66" s="1" t="s">
        <v>1438</v>
      </c>
      <c r="D66" s="1" t="s">
        <v>1438</v>
      </c>
      <c r="E66" s="1" t="s">
        <v>1439</v>
      </c>
      <c r="F66" s="1" t="s">
        <v>1832</v>
      </c>
      <c r="G66" s="1" t="s">
        <v>1114</v>
      </c>
      <c r="H66" s="1">
        <v>168.0</v>
      </c>
      <c r="I66" s="1">
        <v>0.01173587024</v>
      </c>
      <c r="J66" s="1">
        <v>7.0</v>
      </c>
      <c r="K66" s="1">
        <v>899.5</v>
      </c>
      <c r="L66" s="1">
        <v>750.0</v>
      </c>
      <c r="M66" s="1">
        <v>1049.0</v>
      </c>
      <c r="N66" s="1">
        <v>0.4699</v>
      </c>
      <c r="O66" s="1" t="s">
        <v>82</v>
      </c>
      <c r="P66" s="1">
        <v>0.7607</v>
      </c>
      <c r="Q66" s="1">
        <v>0.8718</v>
      </c>
      <c r="R66" s="1">
        <v>99.05</v>
      </c>
      <c r="S66" s="1">
        <v>0.7738</v>
      </c>
      <c r="T66" s="1">
        <v>39.7777778</v>
      </c>
      <c r="U66" s="1">
        <v>64.41027778</v>
      </c>
      <c r="V66" s="1" t="s">
        <v>1461</v>
      </c>
      <c r="W66" s="1" t="s">
        <v>1842</v>
      </c>
      <c r="X66" s="1" t="b">
        <v>1</v>
      </c>
    </row>
    <row r="67">
      <c r="A67" s="1" t="s">
        <v>29</v>
      </c>
      <c r="B67" s="1" t="s">
        <v>963</v>
      </c>
      <c r="C67" s="1" t="s">
        <v>1687</v>
      </c>
      <c r="D67" s="1" t="s">
        <v>1687</v>
      </c>
      <c r="E67" s="1" t="s">
        <v>1687</v>
      </c>
      <c r="F67" s="1" t="s">
        <v>1843</v>
      </c>
      <c r="G67" s="1" t="s">
        <v>1114</v>
      </c>
      <c r="H67" s="1">
        <v>169.0</v>
      </c>
      <c r="I67" s="1">
        <v>0.007142707692</v>
      </c>
      <c r="J67" s="1">
        <v>8.0</v>
      </c>
      <c r="K67" s="1">
        <v>1149.5</v>
      </c>
      <c r="L67" s="1">
        <v>1050.0</v>
      </c>
      <c r="M67" s="1">
        <v>1249.0</v>
      </c>
      <c r="N67" s="1">
        <v>0.5493</v>
      </c>
      <c r="O67" s="1" t="s">
        <v>82</v>
      </c>
      <c r="P67" s="1">
        <v>0.7182</v>
      </c>
      <c r="Q67" s="1">
        <v>0.868</v>
      </c>
      <c r="R67" s="1">
        <v>98.78</v>
      </c>
      <c r="S67" s="1">
        <v>1.0059</v>
      </c>
      <c r="T67" s="1">
        <v>39.9555917</v>
      </c>
      <c r="U67" s="1">
        <v>67.03751667</v>
      </c>
      <c r="V67" s="1" t="s">
        <v>1461</v>
      </c>
      <c r="W67" s="1" t="s">
        <v>1852</v>
      </c>
      <c r="X67" s="1" t="b">
        <v>1</v>
      </c>
    </row>
    <row r="68">
      <c r="A68" s="1" t="s">
        <v>34</v>
      </c>
      <c r="B68" s="1" t="s">
        <v>1031</v>
      </c>
      <c r="C68" s="1" t="s">
        <v>1687</v>
      </c>
      <c r="D68" s="1" t="s">
        <v>1687</v>
      </c>
      <c r="E68" s="1" t="s">
        <v>1687</v>
      </c>
      <c r="F68" s="1" t="s">
        <v>1843</v>
      </c>
      <c r="G68" s="1" t="s">
        <v>1114</v>
      </c>
      <c r="H68" s="1">
        <v>23851.0</v>
      </c>
      <c r="I68" s="1">
        <v>1.952803547</v>
      </c>
      <c r="J68" s="1">
        <v>10.0</v>
      </c>
      <c r="K68" s="1">
        <v>1149.5</v>
      </c>
      <c r="L68" s="1">
        <v>1050.0</v>
      </c>
      <c r="M68" s="1">
        <v>1249.0</v>
      </c>
      <c r="N68" s="1">
        <v>0.9735</v>
      </c>
      <c r="O68" s="1" t="s">
        <v>82</v>
      </c>
      <c r="P68" s="1">
        <v>0.8661</v>
      </c>
      <c r="Q68" s="1">
        <v>0.9464</v>
      </c>
      <c r="R68" s="1">
        <v>99.57</v>
      </c>
      <c r="S68" s="1">
        <v>0.8798</v>
      </c>
      <c r="T68" s="1">
        <v>39.9555917</v>
      </c>
      <c r="U68" s="1">
        <v>67.03751667</v>
      </c>
      <c r="V68" s="1" t="s">
        <v>1461</v>
      </c>
      <c r="W68" s="1" t="s">
        <v>1852</v>
      </c>
      <c r="X68" s="1" t="b">
        <v>1</v>
      </c>
    </row>
    <row r="69">
      <c r="A69" s="1" t="s">
        <v>41</v>
      </c>
      <c r="B69" s="1" t="s">
        <v>963</v>
      </c>
      <c r="C69" s="1" t="s">
        <v>1438</v>
      </c>
      <c r="D69" s="1" t="s">
        <v>1438</v>
      </c>
      <c r="E69" s="1" t="s">
        <v>1439</v>
      </c>
      <c r="F69" s="1" t="s">
        <v>1860</v>
      </c>
      <c r="G69" s="1" t="s">
        <v>1114</v>
      </c>
      <c r="H69" s="1">
        <v>366.0</v>
      </c>
      <c r="I69" s="1">
        <v>0.02094609016</v>
      </c>
      <c r="J69" s="1">
        <v>7.0</v>
      </c>
      <c r="K69" s="1">
        <v>1499.5</v>
      </c>
      <c r="L69" s="1">
        <v>1350.0</v>
      </c>
      <c r="M69" s="1">
        <v>1649.0</v>
      </c>
      <c r="N69" s="1">
        <v>0.5033</v>
      </c>
      <c r="O69" s="1" t="s">
        <v>82</v>
      </c>
      <c r="P69" s="1">
        <v>0.7058</v>
      </c>
      <c r="Q69" s="1">
        <v>0.7442</v>
      </c>
      <c r="R69" s="1">
        <v>98.91</v>
      </c>
      <c r="S69" s="1">
        <v>0.7049</v>
      </c>
      <c r="T69" s="1">
        <v>40.0476333</v>
      </c>
      <c r="U69" s="1">
        <v>64.1564417</v>
      </c>
      <c r="V69" s="1" t="s">
        <v>1461</v>
      </c>
      <c r="W69" s="1" t="s">
        <v>1865</v>
      </c>
      <c r="X69" s="1" t="b">
        <v>1</v>
      </c>
    </row>
    <row r="70">
      <c r="A70" s="1" t="s">
        <v>47</v>
      </c>
      <c r="B70" s="1" t="s">
        <v>963</v>
      </c>
      <c r="C70" s="1" t="s">
        <v>1438</v>
      </c>
      <c r="D70" s="1" t="s">
        <v>1438</v>
      </c>
      <c r="E70" s="1" t="s">
        <v>1439</v>
      </c>
      <c r="F70" s="1" t="s">
        <v>1843</v>
      </c>
      <c r="G70" s="1" t="s">
        <v>1114</v>
      </c>
      <c r="H70" s="1">
        <v>1912.0</v>
      </c>
      <c r="I70" s="1">
        <v>0.1104652458</v>
      </c>
      <c r="J70" s="1">
        <v>9.0</v>
      </c>
      <c r="K70" s="1">
        <v>1149.5</v>
      </c>
      <c r="L70" s="1">
        <v>1050.0</v>
      </c>
      <c r="M70" s="1">
        <v>1249.0</v>
      </c>
      <c r="N70" s="1">
        <v>0.828</v>
      </c>
      <c r="O70" s="1" t="s">
        <v>82</v>
      </c>
      <c r="P70" s="1">
        <v>0.8425</v>
      </c>
      <c r="Q70" s="1">
        <v>0.8746</v>
      </c>
      <c r="R70" s="1">
        <v>99.16</v>
      </c>
      <c r="S70" s="1">
        <v>0.9252</v>
      </c>
      <c r="T70" s="1">
        <v>39.9555917</v>
      </c>
      <c r="U70" s="1">
        <v>67.03751667</v>
      </c>
      <c r="V70" s="1" t="s">
        <v>1461</v>
      </c>
      <c r="W70" s="1" t="s">
        <v>1852</v>
      </c>
      <c r="X70" s="1" t="b">
        <v>1</v>
      </c>
    </row>
    <row r="71">
      <c r="A71" s="1" t="s">
        <v>47</v>
      </c>
      <c r="B71" s="1" t="s">
        <v>1031</v>
      </c>
      <c r="C71" s="1" t="s">
        <v>1438</v>
      </c>
      <c r="D71" s="1" t="s">
        <v>1438</v>
      </c>
      <c r="E71" s="1" t="s">
        <v>1439</v>
      </c>
      <c r="F71" s="1" t="s">
        <v>1843</v>
      </c>
      <c r="G71" s="1" t="s">
        <v>1114</v>
      </c>
      <c r="H71" s="1">
        <v>13248.0</v>
      </c>
      <c r="I71" s="1">
        <v>1.191699377</v>
      </c>
      <c r="J71" s="1">
        <v>10.0</v>
      </c>
      <c r="K71" s="1">
        <v>1149.5</v>
      </c>
      <c r="L71" s="1">
        <v>1050.0</v>
      </c>
      <c r="M71" s="1">
        <v>1249.0</v>
      </c>
      <c r="N71" s="1">
        <v>0.9614</v>
      </c>
      <c r="O71" s="1" t="s">
        <v>82</v>
      </c>
      <c r="P71" s="1">
        <v>0.8445</v>
      </c>
      <c r="Q71" s="1">
        <v>0.9379</v>
      </c>
      <c r="R71" s="1">
        <v>99.52</v>
      </c>
      <c r="S71" s="1">
        <v>0.9697</v>
      </c>
      <c r="T71" s="1">
        <v>39.9555917</v>
      </c>
      <c r="U71" s="1">
        <v>67.03751667</v>
      </c>
      <c r="V71" s="1" t="s">
        <v>1461</v>
      </c>
      <c r="W71" s="1" t="s">
        <v>1852</v>
      </c>
      <c r="X71" s="1" t="b">
        <v>1</v>
      </c>
    </row>
    <row r="72">
      <c r="A72" s="1" t="s">
        <v>1052</v>
      </c>
      <c r="B72" s="1" t="s">
        <v>1093</v>
      </c>
      <c r="C72" s="1" t="s">
        <v>1687</v>
      </c>
      <c r="D72" s="1" t="s">
        <v>1687</v>
      </c>
      <c r="E72" s="1" t="s">
        <v>1687</v>
      </c>
      <c r="F72" s="1" t="s">
        <v>1881</v>
      </c>
      <c r="G72" s="1" t="s">
        <v>209</v>
      </c>
      <c r="H72" s="1">
        <v>188.0</v>
      </c>
      <c r="I72" s="1">
        <v>0.1682015266</v>
      </c>
      <c r="J72" s="1">
        <v>8.0</v>
      </c>
      <c r="K72" s="1">
        <v>9250.0</v>
      </c>
      <c r="L72" s="1">
        <v>9000.0</v>
      </c>
      <c r="M72" s="1">
        <v>9500.0</v>
      </c>
      <c r="N72" s="1">
        <v>0.5601</v>
      </c>
      <c r="O72" s="1" t="s">
        <v>82</v>
      </c>
      <c r="P72" s="1">
        <v>0.8407</v>
      </c>
      <c r="Q72" s="1">
        <v>0.9452</v>
      </c>
      <c r="R72" s="1">
        <v>99.36</v>
      </c>
      <c r="S72" s="1">
        <v>1.3723</v>
      </c>
      <c r="T72" s="1">
        <v>32.56107143</v>
      </c>
      <c r="U72" s="1">
        <v>47.32417111</v>
      </c>
      <c r="V72" s="1" t="s">
        <v>1104</v>
      </c>
      <c r="W72" s="1" t="s">
        <v>1886</v>
      </c>
      <c r="X72" s="1" t="b">
        <v>1</v>
      </c>
    </row>
    <row r="73">
      <c r="A73" s="1" t="s">
        <v>1371</v>
      </c>
      <c r="B73" s="1" t="s">
        <v>306</v>
      </c>
      <c r="C73" s="1" t="s">
        <v>121</v>
      </c>
      <c r="D73" s="1" t="s">
        <v>121</v>
      </c>
      <c r="E73" s="1" t="s">
        <v>119</v>
      </c>
      <c r="F73" s="1" t="s">
        <v>197</v>
      </c>
      <c r="G73" s="1" t="s">
        <v>195</v>
      </c>
      <c r="H73" s="1">
        <v>5127.0</v>
      </c>
      <c r="I73" s="1">
        <v>0.4464982563</v>
      </c>
      <c r="J73" s="1">
        <v>10.0</v>
      </c>
      <c r="K73" s="1">
        <v>6950.0</v>
      </c>
      <c r="L73" s="1">
        <v>6850.0</v>
      </c>
      <c r="M73" s="1">
        <v>7050.0</v>
      </c>
      <c r="N73" s="1">
        <v>0.9653</v>
      </c>
      <c r="O73" s="1" t="s">
        <v>82</v>
      </c>
      <c r="P73" s="1">
        <v>0.8671</v>
      </c>
      <c r="Q73" s="1">
        <v>0.9698</v>
      </c>
      <c r="R73" s="1">
        <v>99.5</v>
      </c>
      <c r="S73" s="1">
        <v>1.0919</v>
      </c>
      <c r="T73" s="1">
        <v>49.43146742</v>
      </c>
      <c r="U73" s="1">
        <v>4.004877237</v>
      </c>
      <c r="V73" s="1" t="s">
        <v>1230</v>
      </c>
      <c r="W73" s="1" t="s">
        <v>1374</v>
      </c>
      <c r="X73" s="1" t="b">
        <v>1</v>
      </c>
    </row>
    <row r="74">
      <c r="A74" s="1" t="s">
        <v>1007</v>
      </c>
      <c r="B74" s="1" t="s">
        <v>63</v>
      </c>
      <c r="C74" s="1" t="s">
        <v>121</v>
      </c>
      <c r="D74" s="1" t="s">
        <v>121</v>
      </c>
      <c r="E74" s="1" t="s">
        <v>119</v>
      </c>
      <c r="F74" s="1" t="s">
        <v>197</v>
      </c>
      <c r="G74" s="1" t="s">
        <v>195</v>
      </c>
      <c r="H74" s="1">
        <v>239.0</v>
      </c>
      <c r="I74" s="1">
        <v>0.05482407531</v>
      </c>
      <c r="J74" s="1">
        <v>9.0</v>
      </c>
      <c r="K74" s="1">
        <v>7883.0</v>
      </c>
      <c r="L74" s="1">
        <v>7792.0</v>
      </c>
      <c r="M74" s="1">
        <v>7974.0</v>
      </c>
      <c r="N74" s="1">
        <v>0.988</v>
      </c>
      <c r="O74" s="1" t="s">
        <v>82</v>
      </c>
      <c r="P74" s="1">
        <v>0.8712</v>
      </c>
      <c r="Q74" s="1">
        <v>0.9903</v>
      </c>
      <c r="R74" s="1">
        <v>99.65</v>
      </c>
      <c r="S74" s="1">
        <v>97.7238</v>
      </c>
      <c r="T74" s="1">
        <v>40.277153</v>
      </c>
      <c r="U74" s="1">
        <v>29.52368</v>
      </c>
      <c r="V74" s="1" t="s">
        <v>213</v>
      </c>
      <c r="W74" s="1" t="s">
        <v>1001</v>
      </c>
      <c r="X74" s="1" t="b">
        <v>1</v>
      </c>
    </row>
    <row r="75">
      <c r="A75" s="1" t="s">
        <v>1900</v>
      </c>
      <c r="B75" s="1" t="s">
        <v>997</v>
      </c>
      <c r="C75" s="1" t="s">
        <v>1438</v>
      </c>
      <c r="D75" s="1" t="s">
        <v>1438</v>
      </c>
      <c r="E75" s="1" t="s">
        <v>1439</v>
      </c>
      <c r="F75" s="1" t="s">
        <v>1904</v>
      </c>
      <c r="G75" s="1" t="s">
        <v>195</v>
      </c>
      <c r="H75" s="1">
        <v>1588.0</v>
      </c>
      <c r="I75" s="1">
        <v>0.1524460441</v>
      </c>
      <c r="J75" s="1">
        <v>9.0</v>
      </c>
      <c r="K75" s="1">
        <v>6750.0</v>
      </c>
      <c r="L75" s="1">
        <v>6450.0</v>
      </c>
      <c r="M75" s="1">
        <v>7050.0</v>
      </c>
      <c r="N75" s="1">
        <v>0.8165</v>
      </c>
      <c r="O75" s="1" t="s">
        <v>82</v>
      </c>
      <c r="P75" s="1">
        <v>0.7067</v>
      </c>
      <c r="Q75" s="1">
        <v>0.9985</v>
      </c>
      <c r="R75" s="1">
        <v>98.72</v>
      </c>
      <c r="S75" s="1">
        <v>0.6385</v>
      </c>
      <c r="T75" s="1">
        <v>36.8485</v>
      </c>
      <c r="U75" s="1">
        <v>60.4181</v>
      </c>
      <c r="V75" s="1" t="s">
        <v>1764</v>
      </c>
      <c r="W75" s="1" t="s">
        <v>1908</v>
      </c>
      <c r="X75" s="1" t="b">
        <v>1</v>
      </c>
    </row>
    <row r="76">
      <c r="A76" s="1" t="s">
        <v>1910</v>
      </c>
      <c r="B76" s="1" t="s">
        <v>997</v>
      </c>
      <c r="C76" s="1" t="s">
        <v>1438</v>
      </c>
      <c r="D76" s="1" t="s">
        <v>1438</v>
      </c>
      <c r="E76" s="1" t="s">
        <v>1439</v>
      </c>
      <c r="F76" s="1" t="s">
        <v>115</v>
      </c>
      <c r="G76" s="1" t="s">
        <v>113</v>
      </c>
      <c r="H76" s="1">
        <v>7835.0</v>
      </c>
      <c r="I76" s="1">
        <v>0.568251806</v>
      </c>
      <c r="J76" s="1">
        <v>10.0</v>
      </c>
      <c r="K76" s="1">
        <v>7100.0</v>
      </c>
      <c r="L76" s="1">
        <v>7008.0</v>
      </c>
      <c r="M76" s="1">
        <v>7246.0</v>
      </c>
      <c r="N76" s="1">
        <v>0.9275</v>
      </c>
      <c r="O76" s="1" t="s">
        <v>82</v>
      </c>
      <c r="P76" s="1">
        <v>0.707</v>
      </c>
      <c r="Q76" s="1">
        <v>0.9855</v>
      </c>
      <c r="R76" s="1">
        <v>98.89</v>
      </c>
      <c r="S76" s="1">
        <v>0.5257</v>
      </c>
      <c r="T76" s="1">
        <v>36.80515232</v>
      </c>
      <c r="U76" s="1">
        <v>-3.188112529</v>
      </c>
      <c r="V76" s="1" t="s">
        <v>1116</v>
      </c>
      <c r="W76" s="1" t="s">
        <v>1917</v>
      </c>
      <c r="X76" s="1" t="b">
        <v>1</v>
      </c>
    </row>
    <row r="77">
      <c r="A77" s="1" t="s">
        <v>1910</v>
      </c>
      <c r="B77" s="1" t="s">
        <v>526</v>
      </c>
      <c r="C77" s="1" t="s">
        <v>1438</v>
      </c>
      <c r="D77" s="1" t="s">
        <v>1438</v>
      </c>
      <c r="E77" s="1" t="s">
        <v>1439</v>
      </c>
      <c r="F77" s="1" t="s">
        <v>115</v>
      </c>
      <c r="G77" s="1" t="s">
        <v>113</v>
      </c>
      <c r="H77" s="1">
        <v>2188.0</v>
      </c>
      <c r="I77" s="1">
        <v>0.005747571755</v>
      </c>
      <c r="J77" s="1">
        <v>10.0</v>
      </c>
      <c r="K77" s="1">
        <v>7100.0</v>
      </c>
      <c r="L77" s="1">
        <v>7008.0</v>
      </c>
      <c r="M77" s="1">
        <v>7246.0</v>
      </c>
      <c r="N77" s="1">
        <v>0.9113</v>
      </c>
      <c r="O77" s="1" t="s">
        <v>82</v>
      </c>
      <c r="P77" s="1">
        <v>0.7476</v>
      </c>
      <c r="Q77" s="1">
        <v>0.9818</v>
      </c>
      <c r="R77" s="1">
        <v>98.83</v>
      </c>
      <c r="S77" s="1">
        <v>2.4383</v>
      </c>
      <c r="T77" s="1">
        <v>36.80515232</v>
      </c>
      <c r="U77" s="1">
        <v>-3.188112529</v>
      </c>
      <c r="V77" s="1" t="s">
        <v>1116</v>
      </c>
      <c r="W77" s="1" t="s">
        <v>1917</v>
      </c>
      <c r="X77" s="1" t="b">
        <v>1</v>
      </c>
    </row>
    <row r="78">
      <c r="A78" s="1" t="s">
        <v>1910</v>
      </c>
      <c r="B78" s="1" t="s">
        <v>992</v>
      </c>
      <c r="C78" s="1" t="s">
        <v>1438</v>
      </c>
      <c r="D78" s="1" t="s">
        <v>1438</v>
      </c>
      <c r="E78" s="1" t="s">
        <v>1439</v>
      </c>
      <c r="F78" s="1" t="s">
        <v>115</v>
      </c>
      <c r="G78" s="1" t="s">
        <v>113</v>
      </c>
      <c r="H78" s="1">
        <v>874.0</v>
      </c>
      <c r="I78" s="1">
        <v>0.06068625172</v>
      </c>
      <c r="J78" s="1">
        <v>10.0</v>
      </c>
      <c r="K78" s="1">
        <v>7100.0</v>
      </c>
      <c r="L78" s="1">
        <v>7008.0</v>
      </c>
      <c r="M78" s="1">
        <v>7246.0</v>
      </c>
      <c r="N78" s="1">
        <v>0.8981</v>
      </c>
      <c r="O78" s="1" t="s">
        <v>82</v>
      </c>
      <c r="P78" s="1">
        <v>0.8402</v>
      </c>
      <c r="Q78" s="1">
        <v>0.986</v>
      </c>
      <c r="R78" s="1">
        <v>99.07</v>
      </c>
      <c r="S78" s="1">
        <v>2.2517</v>
      </c>
      <c r="T78" s="1">
        <v>36.80515232</v>
      </c>
      <c r="U78" s="1">
        <v>-3.188112529</v>
      </c>
      <c r="V78" s="1" t="s">
        <v>1116</v>
      </c>
      <c r="W78" s="1" t="s">
        <v>1917</v>
      </c>
      <c r="X78" s="1" t="b">
        <v>1</v>
      </c>
    </row>
    <row r="79">
      <c r="A79" s="1" t="s">
        <v>166</v>
      </c>
      <c r="B79" s="1" t="s">
        <v>997</v>
      </c>
      <c r="C79" s="1" t="s">
        <v>121</v>
      </c>
      <c r="D79" s="1" t="s">
        <v>121</v>
      </c>
      <c r="E79" s="1" t="s">
        <v>119</v>
      </c>
      <c r="F79" s="1" t="s">
        <v>115</v>
      </c>
      <c r="G79" s="1" t="s">
        <v>113</v>
      </c>
      <c r="H79" s="1">
        <v>25378.0</v>
      </c>
      <c r="I79" s="1">
        <v>0.8972427473</v>
      </c>
      <c r="J79" s="1">
        <v>10.0</v>
      </c>
      <c r="K79" s="1">
        <v>5177.5</v>
      </c>
      <c r="L79" s="1">
        <v>5055.0</v>
      </c>
      <c r="M79" s="1">
        <v>5300.0</v>
      </c>
      <c r="N79" s="1">
        <v>0.9608</v>
      </c>
      <c r="O79" s="1" t="s">
        <v>82</v>
      </c>
      <c r="P79" s="1">
        <v>0.7149</v>
      </c>
      <c r="Q79" s="1">
        <v>0.9156</v>
      </c>
      <c r="R79" s="1">
        <v>98.78</v>
      </c>
      <c r="S79" s="1">
        <v>0.6905</v>
      </c>
      <c r="T79" s="1">
        <v>46.7794238451809</v>
      </c>
      <c r="U79" s="1">
        <v>10.8396846364129</v>
      </c>
      <c r="V79" s="1" t="s">
        <v>128</v>
      </c>
      <c r="W79" s="1" t="s">
        <v>131</v>
      </c>
      <c r="X79" s="1" t="b">
        <v>1</v>
      </c>
    </row>
    <row r="80">
      <c r="A80" s="1" t="s">
        <v>1939</v>
      </c>
      <c r="B80" s="1" t="s">
        <v>306</v>
      </c>
      <c r="C80" s="1" t="s">
        <v>1438</v>
      </c>
      <c r="D80" s="1" t="s">
        <v>1438</v>
      </c>
      <c r="E80" s="1" t="s">
        <v>1439</v>
      </c>
      <c r="F80" s="1" t="s">
        <v>1484</v>
      </c>
      <c r="G80" s="1" t="s">
        <v>195</v>
      </c>
      <c r="H80" s="1">
        <v>360.0</v>
      </c>
      <c r="I80" s="1">
        <v>0.06109824444</v>
      </c>
      <c r="J80" s="1">
        <v>8.0</v>
      </c>
      <c r="K80" s="1">
        <v>2900.0</v>
      </c>
      <c r="L80" s="1">
        <v>2600.0</v>
      </c>
      <c r="M80" s="1">
        <v>3200.0</v>
      </c>
      <c r="N80" s="1">
        <v>0.7741</v>
      </c>
      <c r="O80" s="1" t="s">
        <v>82</v>
      </c>
      <c r="P80" s="1">
        <v>0.8745</v>
      </c>
      <c r="Q80" s="1">
        <v>0.9991</v>
      </c>
      <c r="R80" s="1">
        <v>99.64</v>
      </c>
      <c r="S80" s="1">
        <v>1.0611</v>
      </c>
      <c r="T80" s="1">
        <v>51.324387</v>
      </c>
      <c r="U80" s="1">
        <v>-2.008906</v>
      </c>
      <c r="V80" s="1" t="s">
        <v>804</v>
      </c>
      <c r="W80" s="1" t="s">
        <v>1945</v>
      </c>
      <c r="X80" s="1" t="b">
        <v>1</v>
      </c>
    </row>
    <row r="81">
      <c r="A81" s="1" t="s">
        <v>1487</v>
      </c>
      <c r="B81" s="1" t="s">
        <v>997</v>
      </c>
      <c r="C81" s="1" t="s">
        <v>121</v>
      </c>
      <c r="D81" s="1" t="s">
        <v>121</v>
      </c>
      <c r="E81" s="1" t="s">
        <v>119</v>
      </c>
      <c r="F81" s="1" t="s">
        <v>197</v>
      </c>
      <c r="G81" s="1" t="s">
        <v>195</v>
      </c>
      <c r="H81" s="1">
        <v>715.0</v>
      </c>
      <c r="I81" s="1">
        <v>0.06692783217</v>
      </c>
      <c r="J81" s="1">
        <v>9.0</v>
      </c>
      <c r="K81" s="1">
        <v>4282.0</v>
      </c>
      <c r="L81" s="1">
        <v>4158.0</v>
      </c>
      <c r="M81" s="1">
        <v>4406.0</v>
      </c>
      <c r="N81" s="1">
        <v>0.7478</v>
      </c>
      <c r="O81" s="1" t="s">
        <v>82</v>
      </c>
      <c r="P81" s="1">
        <v>0.7345</v>
      </c>
      <c r="Q81" s="1">
        <v>0.9915</v>
      </c>
      <c r="R81" s="1">
        <v>98.86</v>
      </c>
      <c r="S81" s="1">
        <v>0.6867</v>
      </c>
      <c r="T81" s="1">
        <v>36.6554022</v>
      </c>
      <c r="U81" s="1">
        <v>49.0400499</v>
      </c>
      <c r="V81" s="1" t="s">
        <v>1104</v>
      </c>
      <c r="W81" s="1" t="s">
        <v>1492</v>
      </c>
      <c r="X81" s="1" t="b">
        <v>1</v>
      </c>
    </row>
    <row r="82">
      <c r="A82" s="1" t="s">
        <v>1951</v>
      </c>
      <c r="B82" s="1" t="s">
        <v>163</v>
      </c>
      <c r="C82" s="1" t="s">
        <v>121</v>
      </c>
      <c r="D82" s="1" t="s">
        <v>121</v>
      </c>
      <c r="E82" s="1" t="s">
        <v>119</v>
      </c>
      <c r="F82" s="1" t="s">
        <v>1955</v>
      </c>
      <c r="G82" s="1" t="s">
        <v>1114</v>
      </c>
      <c r="H82" s="1">
        <v>224.0</v>
      </c>
      <c r="I82" s="1">
        <v>3.484151786</v>
      </c>
      <c r="J82" s="1">
        <v>9.0</v>
      </c>
      <c r="K82" s="1">
        <v>177.0</v>
      </c>
      <c r="L82" s="1">
        <v>292.0</v>
      </c>
      <c r="M82" s="1">
        <v>62.0</v>
      </c>
      <c r="N82" s="1">
        <v>0.94</v>
      </c>
      <c r="O82" s="1" t="s">
        <v>82</v>
      </c>
      <c r="P82" s="1">
        <v>0.8379</v>
      </c>
      <c r="Q82" s="1">
        <v>0.9773</v>
      </c>
      <c r="R82" s="1">
        <v>99.56</v>
      </c>
      <c r="S82" s="1">
        <v>1.3393</v>
      </c>
      <c r="T82" s="1">
        <v>49.043</v>
      </c>
      <c r="U82" s="1">
        <v>2.5063</v>
      </c>
      <c r="V82" s="1" t="s">
        <v>1230</v>
      </c>
      <c r="W82" s="1" t="s">
        <v>1961</v>
      </c>
      <c r="X82" s="1" t="b">
        <v>1</v>
      </c>
    </row>
    <row r="83">
      <c r="A83" s="1" t="s">
        <v>1963</v>
      </c>
      <c r="B83" s="1" t="s">
        <v>1015</v>
      </c>
      <c r="C83" s="1" t="s">
        <v>121</v>
      </c>
      <c r="D83" s="1" t="s">
        <v>121</v>
      </c>
      <c r="E83" s="1" t="s">
        <v>119</v>
      </c>
      <c r="F83" s="1" t="s">
        <v>1114</v>
      </c>
      <c r="G83" s="1" t="s">
        <v>1114</v>
      </c>
      <c r="H83" s="1">
        <v>23691.0</v>
      </c>
      <c r="I83" s="1">
        <v>7.603391499</v>
      </c>
      <c r="J83" s="1">
        <v>9.0</v>
      </c>
      <c r="K83" s="1">
        <v>177.0</v>
      </c>
      <c r="L83" s="1">
        <v>62.0</v>
      </c>
      <c r="M83" s="1">
        <v>292.0</v>
      </c>
      <c r="N83" s="1">
        <v>0.9672</v>
      </c>
      <c r="O83" s="1" t="s">
        <v>82</v>
      </c>
      <c r="P83" s="1">
        <v>0.7226</v>
      </c>
      <c r="Q83" s="1">
        <v>0.903</v>
      </c>
      <c r="R83" s="1">
        <v>98.9</v>
      </c>
      <c r="S83" s="1">
        <v>0.6287</v>
      </c>
      <c r="T83" s="1">
        <v>49.043</v>
      </c>
      <c r="U83" s="1">
        <v>2.5063</v>
      </c>
      <c r="V83" s="1" t="s">
        <v>1230</v>
      </c>
      <c r="W83" s="1" t="s">
        <v>1969</v>
      </c>
      <c r="X83" s="1" t="b">
        <v>1</v>
      </c>
    </row>
    <row r="84">
      <c r="A84" s="1" t="s">
        <v>1963</v>
      </c>
      <c r="B84" s="1" t="s">
        <v>306</v>
      </c>
      <c r="C84" s="1" t="s">
        <v>121</v>
      </c>
      <c r="D84" s="1" t="s">
        <v>121</v>
      </c>
      <c r="E84" s="1" t="s">
        <v>119</v>
      </c>
      <c r="F84" s="1" t="s">
        <v>1114</v>
      </c>
      <c r="G84" s="1" t="s">
        <v>1114</v>
      </c>
      <c r="H84" s="1">
        <v>854.0</v>
      </c>
      <c r="I84" s="1">
        <v>0.2347735574</v>
      </c>
      <c r="J84" s="1">
        <v>10.0</v>
      </c>
      <c r="K84" s="1">
        <v>177.0</v>
      </c>
      <c r="L84" s="1">
        <v>62.0</v>
      </c>
      <c r="M84" s="1">
        <v>292.0</v>
      </c>
      <c r="N84" s="1">
        <v>0.8526</v>
      </c>
      <c r="O84" s="1" t="s">
        <v>82</v>
      </c>
      <c r="P84" s="1">
        <v>0.8514</v>
      </c>
      <c r="Q84" s="1">
        <v>1.0006</v>
      </c>
      <c r="R84" s="1">
        <v>99.37</v>
      </c>
      <c r="S84" s="1">
        <v>0.9309</v>
      </c>
      <c r="T84" s="1">
        <v>49.043</v>
      </c>
      <c r="U84" s="1">
        <v>2.5063</v>
      </c>
      <c r="V84" s="1" t="s">
        <v>1230</v>
      </c>
      <c r="W84" s="1" t="s">
        <v>1969</v>
      </c>
      <c r="X84" s="1" t="b">
        <v>1</v>
      </c>
    </row>
    <row r="85">
      <c r="A85" s="1" t="s">
        <v>1963</v>
      </c>
      <c r="B85" s="1" t="s">
        <v>163</v>
      </c>
      <c r="C85" s="1" t="s">
        <v>121</v>
      </c>
      <c r="D85" s="1" t="s">
        <v>121</v>
      </c>
      <c r="E85" s="1" t="s">
        <v>119</v>
      </c>
      <c r="F85" s="1" t="s">
        <v>1114</v>
      </c>
      <c r="G85" s="1" t="s">
        <v>1114</v>
      </c>
      <c r="H85" s="1">
        <v>260.0</v>
      </c>
      <c r="I85" s="1">
        <v>2.172135769</v>
      </c>
      <c r="J85" s="1">
        <v>10.0</v>
      </c>
      <c r="K85" s="1">
        <v>177.0</v>
      </c>
      <c r="L85" s="1">
        <v>62.0</v>
      </c>
      <c r="M85" s="1">
        <v>292.0</v>
      </c>
      <c r="N85" s="1">
        <v>0.9551</v>
      </c>
      <c r="O85" s="1" t="s">
        <v>82</v>
      </c>
      <c r="P85" s="1">
        <v>0.8312</v>
      </c>
      <c r="Q85" s="1">
        <v>1.0141</v>
      </c>
      <c r="R85" s="1">
        <v>99.43</v>
      </c>
      <c r="S85" s="1">
        <v>1.6231</v>
      </c>
      <c r="T85" s="1">
        <v>49.043</v>
      </c>
      <c r="U85" s="1">
        <v>2.5063</v>
      </c>
      <c r="V85" s="1" t="s">
        <v>1230</v>
      </c>
      <c r="W85" s="1" t="s">
        <v>1969</v>
      </c>
      <c r="X85" s="1" t="b">
        <v>1</v>
      </c>
    </row>
    <row r="86">
      <c r="A86" s="1" t="s">
        <v>1988</v>
      </c>
      <c r="B86" s="1" t="s">
        <v>1015</v>
      </c>
      <c r="C86" s="1" t="s">
        <v>121</v>
      </c>
      <c r="D86" s="1" t="s">
        <v>121</v>
      </c>
      <c r="E86" s="1" t="s">
        <v>119</v>
      </c>
      <c r="F86" s="1" t="s">
        <v>1955</v>
      </c>
      <c r="G86" s="1" t="s">
        <v>1114</v>
      </c>
      <c r="H86" s="1">
        <v>230.0</v>
      </c>
      <c r="I86" s="1">
        <v>0.09544147826</v>
      </c>
      <c r="J86" s="1">
        <v>9.0</v>
      </c>
      <c r="K86" s="1">
        <v>177.0</v>
      </c>
      <c r="L86" s="1">
        <v>292.0</v>
      </c>
      <c r="M86" s="1">
        <v>62.0</v>
      </c>
      <c r="N86" s="1">
        <v>0.621</v>
      </c>
      <c r="O86" s="1" t="s">
        <v>82</v>
      </c>
      <c r="P86" s="1">
        <v>0.7369</v>
      </c>
      <c r="Q86" s="1">
        <v>0.9969</v>
      </c>
      <c r="R86" s="1">
        <v>99.0</v>
      </c>
      <c r="S86" s="1">
        <v>0.6304</v>
      </c>
      <c r="T86" s="1">
        <v>49.043</v>
      </c>
      <c r="U86" s="1">
        <v>2.5063</v>
      </c>
      <c r="V86" s="1" t="s">
        <v>1230</v>
      </c>
      <c r="W86" s="1" t="s">
        <v>1961</v>
      </c>
      <c r="X86" s="1" t="b">
        <v>1</v>
      </c>
    </row>
    <row r="87">
      <c r="A87" s="1" t="s">
        <v>1994</v>
      </c>
      <c r="B87" s="1" t="s">
        <v>1015</v>
      </c>
      <c r="C87" s="1" t="s">
        <v>121</v>
      </c>
      <c r="D87" s="1" t="s">
        <v>121</v>
      </c>
      <c r="E87" s="1" t="s">
        <v>119</v>
      </c>
      <c r="F87" s="1" t="s">
        <v>1955</v>
      </c>
      <c r="G87" s="1" t="s">
        <v>1114</v>
      </c>
      <c r="H87" s="1">
        <v>1330.0</v>
      </c>
      <c r="I87" s="1">
        <v>0.5622579248</v>
      </c>
      <c r="J87" s="1">
        <v>9.0</v>
      </c>
      <c r="K87" s="1">
        <v>177.0</v>
      </c>
      <c r="L87" s="1">
        <v>292.0</v>
      </c>
      <c r="M87" s="1">
        <v>62.0</v>
      </c>
      <c r="N87" s="1">
        <v>0.803</v>
      </c>
      <c r="O87" s="1" t="s">
        <v>82</v>
      </c>
      <c r="P87" s="1">
        <v>0.7037</v>
      </c>
      <c r="Q87" s="1">
        <v>0.9966</v>
      </c>
      <c r="R87" s="1">
        <v>98.9</v>
      </c>
      <c r="S87" s="1">
        <v>0.5602</v>
      </c>
      <c r="T87" s="1">
        <v>49.043</v>
      </c>
      <c r="U87" s="1">
        <v>2.5063</v>
      </c>
      <c r="V87" s="1" t="s">
        <v>1230</v>
      </c>
      <c r="W87" s="1" t="s">
        <v>1961</v>
      </c>
      <c r="X87" s="1" t="b">
        <v>1</v>
      </c>
    </row>
    <row r="88">
      <c r="A88" s="1" t="s">
        <v>2000</v>
      </c>
      <c r="B88" s="1" t="s">
        <v>306</v>
      </c>
      <c r="C88" s="1" t="s">
        <v>121</v>
      </c>
      <c r="D88" s="1" t="s">
        <v>121</v>
      </c>
      <c r="E88" s="1" t="s">
        <v>119</v>
      </c>
      <c r="F88" s="1" t="s">
        <v>1114</v>
      </c>
      <c r="G88" s="1" t="s">
        <v>1114</v>
      </c>
      <c r="H88" s="1">
        <v>12599.0</v>
      </c>
      <c r="I88" s="1">
        <v>7.109298167</v>
      </c>
      <c r="J88" s="1">
        <v>10.0</v>
      </c>
      <c r="K88" s="1">
        <v>177.0</v>
      </c>
      <c r="L88" s="1">
        <v>62.0</v>
      </c>
      <c r="M88" s="1">
        <v>292.0</v>
      </c>
      <c r="N88" s="1">
        <v>0.9791</v>
      </c>
      <c r="O88" s="1" t="s">
        <v>82</v>
      </c>
      <c r="P88" s="1">
        <v>0.8288</v>
      </c>
      <c r="Q88" s="1">
        <v>0.9712</v>
      </c>
      <c r="R88" s="1">
        <v>99.31</v>
      </c>
      <c r="S88" s="1">
        <v>0.9308</v>
      </c>
      <c r="T88" s="1">
        <v>49.043</v>
      </c>
      <c r="U88" s="1">
        <v>2.5063</v>
      </c>
      <c r="V88" s="1" t="s">
        <v>1230</v>
      </c>
      <c r="W88" s="1" t="s">
        <v>1969</v>
      </c>
      <c r="X88" s="1" t="b">
        <v>1</v>
      </c>
    </row>
    <row r="89">
      <c r="A89" s="1" t="s">
        <v>2000</v>
      </c>
      <c r="B89" s="1" t="s">
        <v>163</v>
      </c>
      <c r="C89" s="1" t="s">
        <v>121</v>
      </c>
      <c r="D89" s="1" t="s">
        <v>121</v>
      </c>
      <c r="E89" s="1" t="s">
        <v>119</v>
      </c>
      <c r="F89" s="1" t="s">
        <v>1114</v>
      </c>
      <c r="G89" s="1" t="s">
        <v>1114</v>
      </c>
      <c r="H89" s="1">
        <v>43.0</v>
      </c>
      <c r="I89" s="1">
        <v>0.6590213953</v>
      </c>
      <c r="J89" s="1">
        <v>10.0</v>
      </c>
      <c r="K89" s="1">
        <v>177.0</v>
      </c>
      <c r="L89" s="1">
        <v>62.0</v>
      </c>
      <c r="M89" s="1">
        <v>292.0</v>
      </c>
      <c r="N89" s="1">
        <v>0.7896</v>
      </c>
      <c r="O89" s="1" t="s">
        <v>82</v>
      </c>
      <c r="P89" s="1">
        <v>0.7695</v>
      </c>
      <c r="Q89" s="1">
        <v>1.019</v>
      </c>
      <c r="R89" s="1">
        <v>99.42</v>
      </c>
      <c r="S89" s="1">
        <v>1.5581</v>
      </c>
      <c r="T89" s="1">
        <v>49.043</v>
      </c>
      <c r="U89" s="1">
        <v>2.5063</v>
      </c>
      <c r="V89" s="1" t="s">
        <v>1230</v>
      </c>
      <c r="W89" s="1" t="s">
        <v>1969</v>
      </c>
      <c r="X89" s="1" t="b">
        <v>1</v>
      </c>
    </row>
    <row r="90">
      <c r="A90" s="1" t="s">
        <v>2010</v>
      </c>
      <c r="B90" s="1" t="s">
        <v>306</v>
      </c>
      <c r="C90" s="1" t="s">
        <v>1390</v>
      </c>
      <c r="D90" s="1" t="s">
        <v>1390</v>
      </c>
      <c r="E90" s="1" t="s">
        <v>1413</v>
      </c>
      <c r="F90" s="1" t="s">
        <v>2013</v>
      </c>
      <c r="G90" s="1" t="s">
        <v>1240</v>
      </c>
      <c r="H90" s="1">
        <v>72.0</v>
      </c>
      <c r="I90" s="1">
        <v>0.02438371667</v>
      </c>
      <c r="J90" s="1">
        <v>7.0</v>
      </c>
      <c r="K90" s="1">
        <v>4637.0</v>
      </c>
      <c r="L90" s="1">
        <v>5307.0</v>
      </c>
      <c r="M90" s="1">
        <v>5465.0</v>
      </c>
      <c r="N90" s="1">
        <v>0.5621</v>
      </c>
      <c r="O90" s="1" t="s">
        <v>82</v>
      </c>
      <c r="P90" s="1">
        <v>0.8526</v>
      </c>
      <c r="Q90" s="1">
        <v>0.9596</v>
      </c>
      <c r="R90" s="1">
        <v>99.47</v>
      </c>
      <c r="S90" s="1">
        <v>1.1389</v>
      </c>
      <c r="T90" s="1">
        <v>54.145</v>
      </c>
      <c r="U90" s="1">
        <v>69.194</v>
      </c>
      <c r="V90" s="1" t="s">
        <v>2018</v>
      </c>
      <c r="W90" s="1" t="s">
        <v>2019</v>
      </c>
      <c r="X90" s="1" t="b">
        <v>1</v>
      </c>
    </row>
    <row r="91">
      <c r="A91" s="1" t="s">
        <v>2020</v>
      </c>
      <c r="B91" s="1" t="s">
        <v>1093</v>
      </c>
      <c r="C91" s="1" t="s">
        <v>1390</v>
      </c>
      <c r="D91" s="1" t="s">
        <v>1390</v>
      </c>
      <c r="E91" s="1" t="s">
        <v>1392</v>
      </c>
      <c r="F91" s="1" t="s">
        <v>1209</v>
      </c>
      <c r="G91" s="1" t="s">
        <v>1209</v>
      </c>
      <c r="H91" s="1">
        <v>807.0</v>
      </c>
      <c r="I91" s="1">
        <v>1.901010409</v>
      </c>
      <c r="J91" s="1">
        <v>9.0</v>
      </c>
      <c r="K91" s="1">
        <v>1500.0</v>
      </c>
      <c r="L91" s="1" t="s">
        <v>1339</v>
      </c>
      <c r="M91" s="1">
        <v>1549.0</v>
      </c>
      <c r="N91" s="1">
        <v>0.7713</v>
      </c>
      <c r="O91" s="1" t="s">
        <v>82</v>
      </c>
      <c r="P91" s="1">
        <v>0.8295</v>
      </c>
      <c r="Q91" s="1">
        <v>0.9386</v>
      </c>
      <c r="R91" s="1">
        <v>99.65</v>
      </c>
      <c r="S91" s="1">
        <v>1.2144</v>
      </c>
      <c r="T91" s="1">
        <v>35.87</v>
      </c>
      <c r="U91" s="1">
        <v>8.79</v>
      </c>
      <c r="V91" s="1" t="s">
        <v>2031</v>
      </c>
      <c r="W91" s="1" t="s">
        <v>2033</v>
      </c>
      <c r="X91" s="1" t="b">
        <v>1</v>
      </c>
    </row>
    <row r="92">
      <c r="A92" s="1" t="s">
        <v>2036</v>
      </c>
      <c r="B92" s="1" t="s">
        <v>1031</v>
      </c>
      <c r="C92" s="1" t="s">
        <v>1390</v>
      </c>
      <c r="D92" s="1" t="s">
        <v>1390</v>
      </c>
      <c r="E92" s="1" t="s">
        <v>1392</v>
      </c>
      <c r="F92" s="1" t="s">
        <v>2040</v>
      </c>
      <c r="G92" s="1" t="s">
        <v>1114</v>
      </c>
      <c r="H92" s="1">
        <v>361.0</v>
      </c>
      <c r="I92" s="1">
        <v>0.006459584211</v>
      </c>
      <c r="J92" s="1">
        <v>8.0</v>
      </c>
      <c r="K92" s="1">
        <v>3538.0</v>
      </c>
      <c r="L92" s="1">
        <v>3698.0</v>
      </c>
      <c r="M92" s="1">
        <v>3909.0</v>
      </c>
      <c r="N92" s="1">
        <v>0.6645</v>
      </c>
      <c r="O92" s="1" t="s">
        <v>82</v>
      </c>
      <c r="P92" s="1">
        <v>0.8658</v>
      </c>
      <c r="Q92" s="1">
        <v>0.9854</v>
      </c>
      <c r="R92" s="1">
        <v>99.44</v>
      </c>
      <c r="S92" s="1">
        <v>0.5152</v>
      </c>
      <c r="T92" s="1">
        <v>51.721</v>
      </c>
      <c r="U92" s="1">
        <v>74.644</v>
      </c>
      <c r="V92" s="1" t="s">
        <v>2018</v>
      </c>
      <c r="W92" s="1" t="s">
        <v>2045</v>
      </c>
      <c r="X92" s="1" t="b">
        <v>1</v>
      </c>
    </row>
    <row r="93">
      <c r="A93" s="1" t="s">
        <v>2047</v>
      </c>
      <c r="B93" s="1" t="s">
        <v>1031</v>
      </c>
      <c r="C93" s="1" t="s">
        <v>1390</v>
      </c>
      <c r="D93" s="1" t="s">
        <v>1390</v>
      </c>
      <c r="E93" s="1" t="s">
        <v>1392</v>
      </c>
      <c r="F93" s="1" t="s">
        <v>1209</v>
      </c>
      <c r="G93" s="1" t="s">
        <v>1209</v>
      </c>
      <c r="H93" s="1">
        <v>62.0</v>
      </c>
      <c r="I93" s="1">
        <v>0.004825370968</v>
      </c>
      <c r="J93" s="1">
        <v>6.0</v>
      </c>
      <c r="K93" s="1">
        <v>3879.0</v>
      </c>
      <c r="L93" s="1" t="s">
        <v>1339</v>
      </c>
      <c r="M93" s="1" t="s">
        <v>1339</v>
      </c>
      <c r="N93" s="1">
        <v>0.4938</v>
      </c>
      <c r="O93" s="1" t="s">
        <v>82</v>
      </c>
      <c r="P93" s="1">
        <v>0.7088</v>
      </c>
      <c r="Q93" s="1">
        <v>0.9862</v>
      </c>
      <c r="R93" s="1">
        <v>98.96</v>
      </c>
      <c r="S93" s="1">
        <v>0.7419</v>
      </c>
      <c r="T93" s="1">
        <v>38.33</v>
      </c>
      <c r="U93" s="1">
        <v>109.83</v>
      </c>
      <c r="V93" s="1" t="s">
        <v>2051</v>
      </c>
      <c r="W93" s="1" t="s">
        <v>2053</v>
      </c>
      <c r="X93" s="1" t="b">
        <v>1</v>
      </c>
    </row>
    <row r="94">
      <c r="A94" s="1" t="s">
        <v>2055</v>
      </c>
      <c r="B94" s="1" t="s">
        <v>1031</v>
      </c>
      <c r="C94" s="1" t="s">
        <v>1390</v>
      </c>
      <c r="D94" s="1" t="s">
        <v>1390</v>
      </c>
      <c r="E94" s="1" t="s">
        <v>1392</v>
      </c>
      <c r="F94" s="1" t="s">
        <v>1209</v>
      </c>
      <c r="G94" s="1" t="s">
        <v>1209</v>
      </c>
      <c r="H94" s="1">
        <v>69.0</v>
      </c>
      <c r="I94" s="1">
        <v>0.009208308696</v>
      </c>
      <c r="J94" s="1">
        <v>8.0</v>
      </c>
      <c r="K94" s="1">
        <v>3879.0</v>
      </c>
      <c r="L94" s="1" t="s">
        <v>1339</v>
      </c>
      <c r="M94" s="1" t="s">
        <v>1339</v>
      </c>
      <c r="N94" s="1">
        <v>0.5256</v>
      </c>
      <c r="O94" s="1" t="s">
        <v>82</v>
      </c>
      <c r="P94" s="1">
        <v>0.7152</v>
      </c>
      <c r="Q94" s="1">
        <v>1.0009</v>
      </c>
      <c r="R94" s="1">
        <v>98.86</v>
      </c>
      <c r="S94" s="1">
        <v>0.8841</v>
      </c>
      <c r="T94" s="1">
        <v>38.33</v>
      </c>
      <c r="U94" s="1">
        <v>109.83</v>
      </c>
      <c r="V94" s="1" t="s">
        <v>2051</v>
      </c>
      <c r="W94" s="1" t="s">
        <v>2053</v>
      </c>
      <c r="X94" s="1" t="b">
        <v>1</v>
      </c>
    </row>
    <row r="95">
      <c r="A95" s="1" t="s">
        <v>2062</v>
      </c>
      <c r="B95" s="1" t="s">
        <v>1031</v>
      </c>
      <c r="C95" s="1" t="s">
        <v>1438</v>
      </c>
      <c r="D95" s="1" t="s">
        <v>1438</v>
      </c>
      <c r="E95" s="1" t="s">
        <v>1513</v>
      </c>
      <c r="F95" s="1" t="s">
        <v>1115</v>
      </c>
      <c r="G95" s="1" t="s">
        <v>1114</v>
      </c>
      <c r="H95" s="1">
        <v>3490.0</v>
      </c>
      <c r="I95" s="1">
        <v>1.43573145</v>
      </c>
      <c r="J95" s="1">
        <v>9.0</v>
      </c>
      <c r="K95" s="1">
        <v>-24.0</v>
      </c>
      <c r="L95" s="1">
        <v>-24.0</v>
      </c>
      <c r="M95" s="1">
        <v>-4.0</v>
      </c>
      <c r="N95" s="1">
        <v>0.9184</v>
      </c>
      <c r="O95" s="1" t="s">
        <v>82</v>
      </c>
      <c r="P95" s="1">
        <v>0.8393</v>
      </c>
      <c r="Q95" s="1">
        <v>0.9826</v>
      </c>
      <c r="R95" s="1">
        <v>99.3</v>
      </c>
      <c r="S95" s="1">
        <v>0.6788</v>
      </c>
      <c r="T95" s="1">
        <v>48.504</v>
      </c>
      <c r="U95" s="1">
        <v>2.2136</v>
      </c>
      <c r="V95" s="1" t="s">
        <v>1209</v>
      </c>
      <c r="W95" s="1" t="s">
        <v>1519</v>
      </c>
      <c r="X95" s="1" t="b">
        <v>1</v>
      </c>
    </row>
    <row r="96">
      <c r="A96" s="1" t="s">
        <v>2070</v>
      </c>
      <c r="B96" s="1" t="s">
        <v>306</v>
      </c>
      <c r="C96" s="1" t="s">
        <v>1315</v>
      </c>
      <c r="D96" s="1" t="s">
        <v>1315</v>
      </c>
      <c r="E96" s="1" t="s">
        <v>1316</v>
      </c>
      <c r="F96" s="1" t="s">
        <v>1209</v>
      </c>
      <c r="G96" s="1" t="s">
        <v>1209</v>
      </c>
      <c r="H96" s="1">
        <v>64.0</v>
      </c>
      <c r="I96" s="1">
        <v>0.00521441875</v>
      </c>
      <c r="J96" s="1">
        <v>8.0</v>
      </c>
      <c r="K96" s="1">
        <v>6500.0</v>
      </c>
      <c r="L96" s="1" t="s">
        <v>1339</v>
      </c>
      <c r="M96" s="1" t="s">
        <v>1339</v>
      </c>
      <c r="N96" s="1">
        <v>0.5601</v>
      </c>
      <c r="O96" s="1" t="s">
        <v>82</v>
      </c>
      <c r="P96" s="1">
        <v>0.8861</v>
      </c>
      <c r="Q96" s="1">
        <v>1.0009</v>
      </c>
      <c r="R96" s="1">
        <v>99.74</v>
      </c>
      <c r="S96" s="1">
        <v>1.0938</v>
      </c>
      <c r="T96" s="1">
        <v>51.1133</v>
      </c>
      <c r="U96" s="1">
        <v>1.4703</v>
      </c>
      <c r="V96" s="1" t="s">
        <v>804</v>
      </c>
      <c r="W96" s="1" t="s">
        <v>2075</v>
      </c>
      <c r="X96" s="1" t="b">
        <v>1</v>
      </c>
    </row>
    <row r="97">
      <c r="A97" s="1" t="s">
        <v>2078</v>
      </c>
      <c r="B97" s="1" t="s">
        <v>306</v>
      </c>
      <c r="C97" s="1" t="s">
        <v>1390</v>
      </c>
      <c r="D97" s="1" t="s">
        <v>1390</v>
      </c>
      <c r="E97" s="1" t="s">
        <v>1413</v>
      </c>
      <c r="F97" s="1" t="s">
        <v>1414</v>
      </c>
      <c r="G97" s="1" t="s">
        <v>195</v>
      </c>
      <c r="H97" s="1">
        <v>2973.0</v>
      </c>
      <c r="I97" s="1">
        <v>0.1394148133</v>
      </c>
      <c r="J97" s="1">
        <v>10.0</v>
      </c>
      <c r="K97" s="1">
        <v>6580.0</v>
      </c>
      <c r="L97" s="1">
        <v>7426.0</v>
      </c>
      <c r="M97" s="1">
        <v>7567.0</v>
      </c>
      <c r="N97" s="1">
        <v>0.9474</v>
      </c>
      <c r="O97" s="1" t="s">
        <v>82</v>
      </c>
      <c r="P97" s="1">
        <v>0.8721</v>
      </c>
      <c r="Q97" s="1">
        <v>0.9797</v>
      </c>
      <c r="R97" s="1">
        <v>99.58</v>
      </c>
      <c r="S97" s="1">
        <v>1.1446</v>
      </c>
      <c r="T97" s="1">
        <v>51.63</v>
      </c>
      <c r="U97" s="1">
        <v>49.666</v>
      </c>
      <c r="V97" s="1" t="s">
        <v>1244</v>
      </c>
      <c r="W97" s="1" t="s">
        <v>2082</v>
      </c>
      <c r="X97" s="1" t="b">
        <v>1</v>
      </c>
    </row>
    <row r="98">
      <c r="A98" s="1" t="s">
        <v>2084</v>
      </c>
      <c r="B98" s="1" t="s">
        <v>623</v>
      </c>
      <c r="C98" s="1" t="s">
        <v>1390</v>
      </c>
      <c r="D98" s="1" t="s">
        <v>1390</v>
      </c>
      <c r="E98" s="1" t="s">
        <v>1413</v>
      </c>
      <c r="F98" s="1" t="s">
        <v>1414</v>
      </c>
      <c r="G98" s="1" t="s">
        <v>195</v>
      </c>
      <c r="H98" s="1">
        <v>113.0</v>
      </c>
      <c r="I98" s="1">
        <v>0.001705173451</v>
      </c>
      <c r="J98" s="1">
        <v>7.0</v>
      </c>
      <c r="K98" s="1">
        <v>5266.0</v>
      </c>
      <c r="L98" s="1">
        <v>5932.0</v>
      </c>
      <c r="M98" s="1">
        <v>6184.0</v>
      </c>
      <c r="N98" s="1">
        <v>0.6843</v>
      </c>
      <c r="O98" s="1" t="s">
        <v>82</v>
      </c>
      <c r="P98" s="1">
        <v>0.8551</v>
      </c>
      <c r="Q98" s="1">
        <v>0.9843</v>
      </c>
      <c r="R98" s="1">
        <v>99.37</v>
      </c>
      <c r="S98" s="1">
        <v>1.9646</v>
      </c>
      <c r="T98" s="1">
        <v>42.973</v>
      </c>
      <c r="U98" s="1">
        <v>24.118</v>
      </c>
      <c r="V98" s="1" t="s">
        <v>479</v>
      </c>
      <c r="W98" s="1" t="s">
        <v>2091</v>
      </c>
      <c r="X98" s="1" t="b">
        <v>1</v>
      </c>
    </row>
    <row r="99">
      <c r="A99" s="1" t="s">
        <v>2093</v>
      </c>
      <c r="B99" s="1" t="s">
        <v>963</v>
      </c>
      <c r="C99" s="1" t="s">
        <v>1438</v>
      </c>
      <c r="D99" s="1" t="s">
        <v>1438</v>
      </c>
      <c r="E99" s="1" t="s">
        <v>2095</v>
      </c>
      <c r="F99" s="1" t="s">
        <v>1115</v>
      </c>
      <c r="G99" s="1" t="s">
        <v>1114</v>
      </c>
      <c r="H99" s="1">
        <v>23284.0</v>
      </c>
      <c r="I99" s="1">
        <v>5.400942171</v>
      </c>
      <c r="J99" s="1">
        <v>10.0</v>
      </c>
      <c r="K99" s="1">
        <v>0.0</v>
      </c>
      <c r="L99" s="1">
        <v>-20.0</v>
      </c>
      <c r="M99" s="1">
        <v>20.0</v>
      </c>
      <c r="N99" s="1">
        <v>0.9776</v>
      </c>
      <c r="O99" s="1" t="s">
        <v>82</v>
      </c>
      <c r="P99" s="1">
        <v>0.806</v>
      </c>
      <c r="Q99" s="1">
        <v>0.945</v>
      </c>
      <c r="R99" s="1">
        <v>99.15</v>
      </c>
      <c r="S99" s="1">
        <v>0.7124</v>
      </c>
      <c r="T99" s="1">
        <v>48.504</v>
      </c>
      <c r="U99" s="1">
        <v>2.2136</v>
      </c>
      <c r="V99" s="1" t="s">
        <v>1209</v>
      </c>
      <c r="W99" s="1" t="s">
        <v>1519</v>
      </c>
      <c r="X99" s="1" t="b">
        <v>1</v>
      </c>
    </row>
    <row r="100">
      <c r="A100" s="1" t="s">
        <v>2093</v>
      </c>
      <c r="B100" s="1" t="s">
        <v>306</v>
      </c>
      <c r="C100" s="1" t="s">
        <v>1438</v>
      </c>
      <c r="D100" s="1" t="s">
        <v>1438</v>
      </c>
      <c r="E100" s="1" t="s">
        <v>2095</v>
      </c>
      <c r="F100" s="1" t="s">
        <v>1115</v>
      </c>
      <c r="G100" s="1" t="s">
        <v>1114</v>
      </c>
      <c r="H100" s="1">
        <v>70.0</v>
      </c>
      <c r="I100" s="1">
        <v>0.0250356</v>
      </c>
      <c r="J100" s="1">
        <v>6.0</v>
      </c>
      <c r="K100" s="1">
        <v>0.0</v>
      </c>
      <c r="L100" s="1">
        <v>-20.0</v>
      </c>
      <c r="M100" s="1">
        <v>20.0</v>
      </c>
      <c r="N100" s="1">
        <v>0.5184</v>
      </c>
      <c r="O100" s="1" t="s">
        <v>82</v>
      </c>
      <c r="P100" s="1">
        <v>0.845</v>
      </c>
      <c r="Q100" s="1">
        <v>1.0011</v>
      </c>
      <c r="R100" s="1">
        <v>99.33</v>
      </c>
      <c r="S100" s="1">
        <v>0.7286</v>
      </c>
      <c r="T100" s="1">
        <v>48.504</v>
      </c>
      <c r="U100" s="1">
        <v>2.2136</v>
      </c>
      <c r="V100" s="1" t="s">
        <v>1209</v>
      </c>
      <c r="W100" s="1" t="s">
        <v>1519</v>
      </c>
      <c r="X100" s="1" t="b">
        <v>1</v>
      </c>
    </row>
    <row r="101">
      <c r="A101" s="1" t="s">
        <v>2107</v>
      </c>
      <c r="B101" s="1" t="s">
        <v>306</v>
      </c>
      <c r="C101" s="1" t="s">
        <v>1390</v>
      </c>
      <c r="D101" s="1" t="s">
        <v>1390</v>
      </c>
      <c r="E101" s="1" t="s">
        <v>1392</v>
      </c>
      <c r="F101" s="1" t="s">
        <v>1209</v>
      </c>
      <c r="G101" s="1" t="s">
        <v>1209</v>
      </c>
      <c r="H101" s="1">
        <v>1831.0</v>
      </c>
      <c r="I101" s="1">
        <v>0.3847225014</v>
      </c>
      <c r="J101" s="1">
        <v>10.0</v>
      </c>
      <c r="K101" s="1">
        <v>1556.0</v>
      </c>
      <c r="L101" s="1" t="s">
        <v>1339</v>
      </c>
      <c r="M101" s="1" t="s">
        <v>1339</v>
      </c>
      <c r="N101" s="1">
        <v>0.9236</v>
      </c>
      <c r="O101" s="1" t="s">
        <v>82</v>
      </c>
      <c r="P101" s="1">
        <v>0.8639</v>
      </c>
      <c r="Q101" s="1">
        <v>0.998</v>
      </c>
      <c r="R101" s="1">
        <v>99.56</v>
      </c>
      <c r="S101" s="1">
        <v>1.0628</v>
      </c>
      <c r="T101" s="1">
        <v>53.33333</v>
      </c>
      <c r="U101" s="1">
        <v>6.516667</v>
      </c>
      <c r="V101" s="1" t="s">
        <v>1250</v>
      </c>
      <c r="W101" s="1" t="s">
        <v>2115</v>
      </c>
      <c r="X101" s="1" t="b">
        <v>1</v>
      </c>
    </row>
    <row r="102">
      <c r="A102" s="1" t="s">
        <v>1617</v>
      </c>
      <c r="B102" s="1" t="s">
        <v>306</v>
      </c>
      <c r="C102" s="1" t="s">
        <v>121</v>
      </c>
      <c r="D102" s="1" t="s">
        <v>121</v>
      </c>
      <c r="E102" s="1" t="s">
        <v>119</v>
      </c>
      <c r="F102" s="1" t="s">
        <v>2118</v>
      </c>
      <c r="G102" s="1" t="s">
        <v>2119</v>
      </c>
      <c r="H102" s="1">
        <v>32896.0</v>
      </c>
      <c r="I102" s="1">
        <v>6.77111989</v>
      </c>
      <c r="J102" s="1">
        <v>10.0</v>
      </c>
      <c r="K102" s="1">
        <v>500.0</v>
      </c>
      <c r="L102" s="1">
        <v>350.0</v>
      </c>
      <c r="M102" s="1">
        <v>650.0</v>
      </c>
      <c r="N102" s="1">
        <v>0.9872</v>
      </c>
      <c r="O102" s="1" t="s">
        <v>82</v>
      </c>
      <c r="P102" s="1">
        <v>0.8287</v>
      </c>
      <c r="Q102" s="1">
        <v>0.9529</v>
      </c>
      <c r="R102" s="1">
        <v>99.48</v>
      </c>
      <c r="S102" s="1">
        <v>1.0009</v>
      </c>
      <c r="T102" s="1">
        <v>51.28</v>
      </c>
      <c r="U102" s="1">
        <v>1.08</v>
      </c>
      <c r="V102" s="1" t="s">
        <v>804</v>
      </c>
      <c r="W102" s="1" t="s">
        <v>2123</v>
      </c>
      <c r="X102" s="1" t="b">
        <v>1</v>
      </c>
    </row>
    <row r="103">
      <c r="A103" s="1" t="s">
        <v>1729</v>
      </c>
      <c r="B103" s="1" t="s">
        <v>997</v>
      </c>
      <c r="C103" s="1" t="s">
        <v>1390</v>
      </c>
      <c r="D103" s="1" t="s">
        <v>1390</v>
      </c>
      <c r="E103" s="1" t="s">
        <v>1675</v>
      </c>
      <c r="F103" s="1" t="s">
        <v>2118</v>
      </c>
      <c r="G103" s="1" t="s">
        <v>2119</v>
      </c>
      <c r="H103" s="1">
        <v>238.0</v>
      </c>
      <c r="I103" s="1">
        <v>0.01302229412</v>
      </c>
      <c r="J103" s="1">
        <v>7.0</v>
      </c>
      <c r="K103" s="1">
        <v>500.0</v>
      </c>
      <c r="L103" s="1">
        <v>350.0</v>
      </c>
      <c r="M103" s="1">
        <v>650.0</v>
      </c>
      <c r="N103" s="1">
        <v>0.6066</v>
      </c>
      <c r="O103" s="1" t="s">
        <v>82</v>
      </c>
      <c r="P103" s="1">
        <v>0.7475</v>
      </c>
      <c r="Q103" s="1">
        <v>1.0014</v>
      </c>
      <c r="R103" s="1">
        <v>98.97</v>
      </c>
      <c r="S103" s="1">
        <v>0.584</v>
      </c>
      <c r="T103" s="1">
        <v>51.28</v>
      </c>
      <c r="U103" s="1">
        <v>1.08</v>
      </c>
      <c r="V103" s="1" t="s">
        <v>804</v>
      </c>
      <c r="W103" s="1" t="s">
        <v>2123</v>
      </c>
      <c r="X103" s="1" t="b">
        <v>1</v>
      </c>
    </row>
    <row r="104">
      <c r="A104" s="1" t="s">
        <v>1729</v>
      </c>
      <c r="B104" s="1" t="s">
        <v>306</v>
      </c>
      <c r="C104" s="1" t="s">
        <v>1390</v>
      </c>
      <c r="D104" s="1" t="s">
        <v>1390</v>
      </c>
      <c r="E104" s="1" t="s">
        <v>1675</v>
      </c>
      <c r="F104" s="1" t="s">
        <v>2118</v>
      </c>
      <c r="G104" s="1" t="s">
        <v>2119</v>
      </c>
      <c r="H104" s="1">
        <v>48684.0</v>
      </c>
      <c r="I104" s="1">
        <v>5.434333535</v>
      </c>
      <c r="J104" s="1">
        <v>10.0</v>
      </c>
      <c r="K104" s="1">
        <v>500.0</v>
      </c>
      <c r="L104" s="1">
        <v>350.0</v>
      </c>
      <c r="M104" s="1">
        <v>650.0</v>
      </c>
      <c r="N104" s="1">
        <v>0.9879</v>
      </c>
      <c r="O104" s="1" t="s">
        <v>82</v>
      </c>
      <c r="P104" s="1">
        <v>0.8467</v>
      </c>
      <c r="Q104" s="1">
        <v>0.9387</v>
      </c>
      <c r="R104" s="1">
        <v>99.5</v>
      </c>
      <c r="S104" s="1">
        <v>1.0318</v>
      </c>
      <c r="T104" s="1">
        <v>51.28</v>
      </c>
      <c r="U104" s="1">
        <v>1.08</v>
      </c>
      <c r="V104" s="1" t="s">
        <v>804</v>
      </c>
      <c r="W104" s="1" t="s">
        <v>2123</v>
      </c>
      <c r="X104" s="1" t="b">
        <v>1</v>
      </c>
    </row>
    <row r="105">
      <c r="A105" s="1" t="s">
        <v>1793</v>
      </c>
      <c r="B105" s="1" t="s">
        <v>306</v>
      </c>
      <c r="C105" s="1" t="s">
        <v>1390</v>
      </c>
      <c r="D105" s="1" t="s">
        <v>1390</v>
      </c>
      <c r="E105" s="1" t="s">
        <v>1675</v>
      </c>
      <c r="F105" s="1" t="s">
        <v>2118</v>
      </c>
      <c r="G105" s="1" t="s">
        <v>2119</v>
      </c>
      <c r="H105" s="1">
        <v>232.0</v>
      </c>
      <c r="I105" s="1">
        <v>0.04735140517</v>
      </c>
      <c r="J105" s="1">
        <v>8.0</v>
      </c>
      <c r="K105" s="1">
        <v>945.0</v>
      </c>
      <c r="L105" s="1">
        <v>930.0</v>
      </c>
      <c r="M105" s="1">
        <v>960.0</v>
      </c>
      <c r="N105" s="1">
        <v>0.709</v>
      </c>
      <c r="O105" s="1" t="s">
        <v>82</v>
      </c>
      <c r="P105" s="1">
        <v>0.8568</v>
      </c>
      <c r="Q105" s="1">
        <v>1.0021</v>
      </c>
      <c r="R105" s="1">
        <v>99.4</v>
      </c>
      <c r="S105" s="1">
        <v>0.9612</v>
      </c>
      <c r="T105" s="1">
        <v>51.28</v>
      </c>
      <c r="U105" s="1">
        <v>1.08</v>
      </c>
      <c r="V105" s="1" t="s">
        <v>804</v>
      </c>
      <c r="W105" s="1" t="s">
        <v>2123</v>
      </c>
      <c r="X105" s="1" t="b">
        <v>1</v>
      </c>
    </row>
    <row r="106">
      <c r="A106" s="1" t="s">
        <v>1839</v>
      </c>
      <c r="B106" s="1" t="s">
        <v>306</v>
      </c>
      <c r="C106" s="1" t="s">
        <v>1390</v>
      </c>
      <c r="D106" s="1" t="s">
        <v>1390</v>
      </c>
      <c r="E106" s="1" t="s">
        <v>1675</v>
      </c>
      <c r="F106" s="1" t="s">
        <v>2118</v>
      </c>
      <c r="G106" s="1" t="s">
        <v>2119</v>
      </c>
      <c r="H106" s="1">
        <v>93.0</v>
      </c>
      <c r="I106" s="1">
        <v>0.02810139785</v>
      </c>
      <c r="J106" s="1">
        <v>8.0</v>
      </c>
      <c r="K106" s="1">
        <v>945.0</v>
      </c>
      <c r="L106" s="1">
        <v>930.0</v>
      </c>
      <c r="M106" s="1">
        <v>960.0</v>
      </c>
      <c r="N106" s="1">
        <v>0.6005</v>
      </c>
      <c r="O106" s="1" t="s">
        <v>82</v>
      </c>
      <c r="P106" s="1">
        <v>0.8672</v>
      </c>
      <c r="Q106" s="1">
        <v>0.9935</v>
      </c>
      <c r="R106" s="1">
        <v>99.51</v>
      </c>
      <c r="S106" s="1">
        <v>0.9892</v>
      </c>
      <c r="T106" s="1">
        <v>51.28</v>
      </c>
      <c r="U106" s="1">
        <v>1.08</v>
      </c>
      <c r="V106" s="1" t="s">
        <v>804</v>
      </c>
      <c r="W106" s="1" t="s">
        <v>2123</v>
      </c>
      <c r="X106" s="1" t="b">
        <v>1</v>
      </c>
    </row>
    <row r="107">
      <c r="A107" s="1" t="s">
        <v>1898</v>
      </c>
      <c r="B107" s="1" t="s">
        <v>306</v>
      </c>
      <c r="C107" s="1" t="s">
        <v>1390</v>
      </c>
      <c r="D107" s="1" t="s">
        <v>1390</v>
      </c>
      <c r="E107" s="1" t="s">
        <v>1675</v>
      </c>
      <c r="F107" s="1" t="s">
        <v>2118</v>
      </c>
      <c r="G107" s="1" t="s">
        <v>2119</v>
      </c>
      <c r="H107" s="1">
        <v>92.0</v>
      </c>
      <c r="I107" s="1">
        <v>0.0208089</v>
      </c>
      <c r="J107" s="1">
        <v>8.0</v>
      </c>
      <c r="K107" s="1">
        <v>945.0</v>
      </c>
      <c r="L107" s="1">
        <v>930.0</v>
      </c>
      <c r="M107" s="1">
        <v>960.0</v>
      </c>
      <c r="N107" s="1">
        <v>0.6046</v>
      </c>
      <c r="O107" s="1" t="s">
        <v>82</v>
      </c>
      <c r="P107" s="1">
        <v>0.8502</v>
      </c>
      <c r="Q107" s="1">
        <v>1.0016</v>
      </c>
      <c r="R107" s="1">
        <v>99.37</v>
      </c>
      <c r="S107" s="1">
        <v>1.0</v>
      </c>
      <c r="T107" s="1">
        <v>51.28</v>
      </c>
      <c r="U107" s="1">
        <v>1.08</v>
      </c>
      <c r="V107" s="1" t="s">
        <v>804</v>
      </c>
      <c r="W107" s="1" t="s">
        <v>2123</v>
      </c>
      <c r="X107" s="1" t="b">
        <v>1</v>
      </c>
    </row>
    <row r="108">
      <c r="A108" s="1" t="s">
        <v>2151</v>
      </c>
      <c r="B108" s="1" t="s">
        <v>997</v>
      </c>
      <c r="C108" s="1" t="s">
        <v>1438</v>
      </c>
      <c r="D108" s="1" t="s">
        <v>1438</v>
      </c>
      <c r="E108" s="1" t="s">
        <v>1439</v>
      </c>
      <c r="F108" s="1" t="s">
        <v>1484</v>
      </c>
      <c r="G108" s="1" t="s">
        <v>195</v>
      </c>
      <c r="H108" s="1">
        <v>57.0</v>
      </c>
      <c r="I108" s="1">
        <v>0.001922453333</v>
      </c>
      <c r="J108" s="1">
        <v>8.0</v>
      </c>
      <c r="K108" s="1">
        <v>4550.0</v>
      </c>
      <c r="L108" s="1">
        <v>4450.0</v>
      </c>
      <c r="M108" s="1">
        <v>4650.0</v>
      </c>
      <c r="N108" s="1">
        <v>0.4671</v>
      </c>
      <c r="O108" s="1" t="s">
        <v>82</v>
      </c>
      <c r="P108" s="1">
        <v>0.7215</v>
      </c>
      <c r="Q108" s="1">
        <v>1.0004</v>
      </c>
      <c r="R108" s="1">
        <v>98.87</v>
      </c>
      <c r="S108" s="1">
        <v>0.7895</v>
      </c>
      <c r="T108" s="1">
        <v>31.707985</v>
      </c>
      <c r="U108" s="1">
        <v>34.975283</v>
      </c>
      <c r="V108" s="1" t="s">
        <v>1050</v>
      </c>
      <c r="W108" s="1" t="s">
        <v>2158</v>
      </c>
      <c r="X108" s="1" t="b">
        <v>1</v>
      </c>
    </row>
    <row r="109">
      <c r="A109" s="1" t="s">
        <v>1041</v>
      </c>
      <c r="B109" s="1" t="s">
        <v>306</v>
      </c>
      <c r="C109" s="1" t="s">
        <v>121</v>
      </c>
      <c r="D109" s="1" t="s">
        <v>121</v>
      </c>
      <c r="E109" s="1" t="s">
        <v>119</v>
      </c>
      <c r="F109" s="1" t="s">
        <v>197</v>
      </c>
      <c r="G109" s="1" t="s">
        <v>195</v>
      </c>
      <c r="H109" s="1">
        <v>178.0</v>
      </c>
      <c r="I109" s="1">
        <v>0.03985814607</v>
      </c>
      <c r="J109" s="1">
        <v>7.0</v>
      </c>
      <c r="K109" s="1">
        <v>1130.0</v>
      </c>
      <c r="L109" s="1">
        <v>1260.0</v>
      </c>
      <c r="M109" s="1">
        <v>1000.0</v>
      </c>
      <c r="N109" s="1">
        <v>0.6903</v>
      </c>
      <c r="O109" s="1" t="s">
        <v>82</v>
      </c>
      <c r="P109" s="1">
        <v>0.8695</v>
      </c>
      <c r="Q109" s="1">
        <v>1.0027</v>
      </c>
      <c r="R109" s="1">
        <v>99.57</v>
      </c>
      <c r="S109" s="1">
        <v>1.0562</v>
      </c>
      <c r="T109" s="1">
        <v>32.663852</v>
      </c>
      <c r="U109" s="1">
        <v>35.108734</v>
      </c>
      <c r="V109" s="1" t="s">
        <v>1050</v>
      </c>
      <c r="W109" s="1" t="s">
        <v>1051</v>
      </c>
      <c r="X109" s="1" t="b">
        <v>1</v>
      </c>
    </row>
    <row r="110">
      <c r="A110" s="1" t="s">
        <v>2163</v>
      </c>
      <c r="B110" s="1" t="s">
        <v>306</v>
      </c>
      <c r="C110" s="1" t="s">
        <v>1390</v>
      </c>
      <c r="D110" s="1" t="s">
        <v>1390</v>
      </c>
      <c r="E110" s="1" t="s">
        <v>1413</v>
      </c>
      <c r="F110" s="1" t="s">
        <v>1414</v>
      </c>
      <c r="G110" s="1" t="s">
        <v>195</v>
      </c>
      <c r="H110" s="1">
        <v>1123.0</v>
      </c>
      <c r="I110" s="1">
        <v>0.05836200356</v>
      </c>
      <c r="J110" s="1">
        <v>8.0</v>
      </c>
      <c r="K110" s="1" t="s">
        <v>1339</v>
      </c>
      <c r="L110" s="1" t="s">
        <v>1339</v>
      </c>
      <c r="M110" s="1" t="s">
        <v>1339</v>
      </c>
      <c r="N110" s="1">
        <v>0.887</v>
      </c>
      <c r="O110" s="1" t="s">
        <v>82</v>
      </c>
      <c r="P110" s="1">
        <v>0.8693</v>
      </c>
      <c r="Q110" s="1">
        <v>0.983</v>
      </c>
      <c r="R110" s="1">
        <v>99.53</v>
      </c>
      <c r="S110" s="1">
        <v>1.1104</v>
      </c>
      <c r="T110" s="1">
        <v>55.358</v>
      </c>
      <c r="U110" s="1">
        <v>11.393</v>
      </c>
      <c r="V110" s="1" t="s">
        <v>2171</v>
      </c>
      <c r="W110" s="1" t="s">
        <v>2173</v>
      </c>
      <c r="X110" s="1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7" max="17" width="27.0"/>
  </cols>
  <sheetData>
    <row r="1">
      <c r="A1" s="1" t="s">
        <v>0</v>
      </c>
      <c r="B1" s="1" t="s">
        <v>2305</v>
      </c>
      <c r="C1" s="1" t="s">
        <v>2307</v>
      </c>
      <c r="D1" s="1" t="s">
        <v>1291</v>
      </c>
      <c r="E1" s="1" t="s">
        <v>65</v>
      </c>
      <c r="F1" s="1" t="s">
        <v>59</v>
      </c>
      <c r="G1" s="1" t="s">
        <v>1296</v>
      </c>
      <c r="H1" s="1" t="s">
        <v>1297</v>
      </c>
      <c r="I1" s="1" t="s">
        <v>79</v>
      </c>
      <c r="J1" s="1" t="s">
        <v>89</v>
      </c>
      <c r="K1" s="1" t="s">
        <v>85</v>
      </c>
      <c r="L1" s="1" t="s">
        <v>68</v>
      </c>
      <c r="M1" s="1" t="s">
        <v>71</v>
      </c>
      <c r="N1" s="1" t="s">
        <v>73</v>
      </c>
      <c r="O1" s="1" t="s">
        <v>74</v>
      </c>
      <c r="P1" s="1" t="s">
        <v>2313</v>
      </c>
      <c r="Q1" s="1" t="s">
        <v>2315</v>
      </c>
      <c r="S1" s="11"/>
      <c r="T1" s="11"/>
      <c r="U1" s="11"/>
      <c r="V1" s="11"/>
    </row>
    <row r="2">
      <c r="A2" s="1" t="s">
        <v>1313</v>
      </c>
      <c r="B2" s="1">
        <v>2.0</v>
      </c>
      <c r="C2" s="1" t="s">
        <v>2319</v>
      </c>
      <c r="D2" s="1" t="s">
        <v>1315</v>
      </c>
      <c r="E2" s="1" t="s">
        <v>1315</v>
      </c>
      <c r="F2" s="1" t="s">
        <v>1316</v>
      </c>
      <c r="G2" s="1" t="s">
        <v>1209</v>
      </c>
      <c r="H2" s="1" t="s">
        <v>1209</v>
      </c>
      <c r="I2" s="1">
        <v>1065.0</v>
      </c>
      <c r="J2" s="1">
        <v>846.0</v>
      </c>
      <c r="K2" s="1">
        <v>966.0</v>
      </c>
      <c r="L2" s="1">
        <v>65.4854</v>
      </c>
      <c r="M2" s="1">
        <v>-19.3016</v>
      </c>
      <c r="N2" s="1" t="s">
        <v>1323</v>
      </c>
      <c r="O2" s="1" t="s">
        <v>1325</v>
      </c>
      <c r="P2" s="1" t="b">
        <v>1</v>
      </c>
      <c r="Q2" s="30" t="str">
        <f>VLOOKUP(A2,'S8  Newly published datasets'!A:Q,16,FALSE)</f>
        <v>#N/A</v>
      </c>
      <c r="S2" s="15"/>
      <c r="T2" s="15"/>
      <c r="U2" s="15"/>
      <c r="V2" s="15"/>
    </row>
    <row r="3">
      <c r="A3" s="1" t="s">
        <v>1333</v>
      </c>
      <c r="B3" s="1">
        <v>1.0</v>
      </c>
      <c r="C3" s="1" t="s">
        <v>997</v>
      </c>
      <c r="D3" s="1" t="s">
        <v>1315</v>
      </c>
      <c r="E3" s="1" t="s">
        <v>1315</v>
      </c>
      <c r="F3" s="1" t="s">
        <v>1335</v>
      </c>
      <c r="G3" s="1" t="s">
        <v>1209</v>
      </c>
      <c r="H3" s="1" t="s">
        <v>1209</v>
      </c>
      <c r="I3" s="1">
        <v>7000.0</v>
      </c>
      <c r="J3" s="1" t="s">
        <v>1339</v>
      </c>
      <c r="K3" s="1" t="s">
        <v>1339</v>
      </c>
      <c r="L3" s="1">
        <v>45.0144</v>
      </c>
      <c r="M3" s="1">
        <v>34.1821</v>
      </c>
      <c r="N3" s="1" t="s">
        <v>1342</v>
      </c>
      <c r="O3" s="1" t="s">
        <v>1345</v>
      </c>
      <c r="P3" s="1" t="b">
        <v>1</v>
      </c>
      <c r="Q3" s="30" t="str">
        <f>VLOOKUP(A3,'S8  Newly published datasets'!A:Q,16,FALSE)</f>
        <v>#N/A</v>
      </c>
      <c r="S3" s="15"/>
      <c r="T3" s="17"/>
      <c r="U3" s="17"/>
      <c r="V3" s="17"/>
    </row>
    <row r="4">
      <c r="A4" s="1" t="s">
        <v>1347</v>
      </c>
      <c r="B4" s="1">
        <v>1.0</v>
      </c>
      <c r="C4" s="1" t="s">
        <v>306</v>
      </c>
      <c r="D4" s="1" t="s">
        <v>1315</v>
      </c>
      <c r="E4" s="1" t="s">
        <v>1315</v>
      </c>
      <c r="F4" s="1" t="s">
        <v>1350</v>
      </c>
      <c r="G4" s="1" t="s">
        <v>1209</v>
      </c>
      <c r="H4" s="1" t="s">
        <v>1209</v>
      </c>
      <c r="I4" s="1">
        <v>10200.0</v>
      </c>
      <c r="J4" s="1">
        <v>10000.0</v>
      </c>
      <c r="K4" s="1">
        <v>10300.0</v>
      </c>
      <c r="L4" s="1">
        <v>38.34935</v>
      </c>
      <c r="M4" s="1">
        <v>34.230237</v>
      </c>
      <c r="N4" s="1" t="s">
        <v>213</v>
      </c>
      <c r="O4" s="1" t="s">
        <v>215</v>
      </c>
      <c r="P4" s="1" t="b">
        <v>1</v>
      </c>
      <c r="Q4" s="30" t="str">
        <f>VLOOKUP(A4,'S8  Newly published datasets'!A:Q,16,FALSE)</f>
        <v>#N/A</v>
      </c>
      <c r="S4" s="15"/>
      <c r="T4" s="17"/>
      <c r="U4" s="17"/>
      <c r="V4" s="17"/>
    </row>
    <row r="5">
      <c r="A5" s="1" t="s">
        <v>250</v>
      </c>
      <c r="B5" s="1">
        <v>1.0</v>
      </c>
      <c r="C5" s="1" t="s">
        <v>306</v>
      </c>
      <c r="D5" s="1" t="s">
        <v>121</v>
      </c>
      <c r="E5" s="1" t="s">
        <v>121</v>
      </c>
      <c r="F5" s="1" t="s">
        <v>119</v>
      </c>
      <c r="G5" s="1" t="s">
        <v>211</v>
      </c>
      <c r="H5" s="1" t="s">
        <v>209</v>
      </c>
      <c r="I5" s="1">
        <v>10200.0</v>
      </c>
      <c r="J5" s="1">
        <v>10000.0</v>
      </c>
      <c r="K5" s="1">
        <v>10400.0</v>
      </c>
      <c r="L5" s="1">
        <v>38.34935</v>
      </c>
      <c r="M5" s="1">
        <v>34.230237</v>
      </c>
      <c r="N5" s="1" t="s">
        <v>213</v>
      </c>
      <c r="O5" s="1" t="s">
        <v>215</v>
      </c>
      <c r="P5" s="1" t="b">
        <v>1</v>
      </c>
      <c r="Q5" s="30" t="str">
        <f>VLOOKUP(A5,'S8  Newly published datasets'!A:Q,16,FALSE)</f>
        <v>#N/A</v>
      </c>
      <c r="S5" s="15"/>
      <c r="T5" s="17"/>
      <c r="U5" s="17"/>
      <c r="V5" s="17"/>
    </row>
    <row r="6">
      <c r="A6" s="1" t="s">
        <v>259</v>
      </c>
      <c r="B6" s="1">
        <v>1.0</v>
      </c>
      <c r="C6" s="1" t="s">
        <v>997</v>
      </c>
      <c r="D6" s="1" t="s">
        <v>121</v>
      </c>
      <c r="E6" s="1" t="s">
        <v>121</v>
      </c>
      <c r="F6" s="1" t="s">
        <v>119</v>
      </c>
      <c r="G6" s="1" t="s">
        <v>211</v>
      </c>
      <c r="H6" s="1" t="s">
        <v>209</v>
      </c>
      <c r="I6" s="1">
        <v>9904.0</v>
      </c>
      <c r="J6" s="1">
        <v>9689.0</v>
      </c>
      <c r="K6" s="1">
        <v>10118.0</v>
      </c>
      <c r="L6" s="1">
        <v>38.34935</v>
      </c>
      <c r="M6" s="1">
        <v>34.230237</v>
      </c>
      <c r="N6" s="1" t="s">
        <v>213</v>
      </c>
      <c r="O6" s="1" t="s">
        <v>215</v>
      </c>
      <c r="P6" s="1" t="b">
        <v>1</v>
      </c>
      <c r="Q6" s="30" t="str">
        <f>VLOOKUP(A6,'S8  Newly published datasets'!A:Q,16,FALSE)</f>
        <v>#N/A</v>
      </c>
      <c r="S6" s="15"/>
      <c r="T6" s="17"/>
      <c r="U6" s="17"/>
      <c r="V6" s="17"/>
    </row>
    <row r="7">
      <c r="A7" s="1" t="s">
        <v>1136</v>
      </c>
      <c r="B7" s="1">
        <v>1.0</v>
      </c>
      <c r="C7" s="1" t="s">
        <v>306</v>
      </c>
      <c r="D7" s="1" t="s">
        <v>121</v>
      </c>
      <c r="E7" s="1" t="s">
        <v>121</v>
      </c>
      <c r="F7" s="1" t="s">
        <v>119</v>
      </c>
      <c r="G7" s="1" t="s">
        <v>197</v>
      </c>
      <c r="H7" s="1" t="s">
        <v>195</v>
      </c>
      <c r="I7" s="1">
        <v>9600.0</v>
      </c>
      <c r="J7" s="1">
        <v>9400.0</v>
      </c>
      <c r="K7" s="1">
        <v>9800.0</v>
      </c>
      <c r="L7" s="1">
        <v>38.34935</v>
      </c>
      <c r="M7" s="1">
        <v>34.230237</v>
      </c>
      <c r="N7" s="1" t="s">
        <v>213</v>
      </c>
      <c r="O7" s="1" t="s">
        <v>215</v>
      </c>
      <c r="P7" s="1" t="b">
        <v>1</v>
      </c>
      <c r="Q7" s="30" t="str">
        <f>VLOOKUP(A7,'S8  Newly published datasets'!A:Q,16,FALSE)</f>
        <v>#N/A</v>
      </c>
      <c r="S7" s="15"/>
      <c r="T7" s="17"/>
      <c r="U7" s="17"/>
      <c r="V7" s="17"/>
    </row>
    <row r="8">
      <c r="A8" s="1" t="s">
        <v>281</v>
      </c>
      <c r="B8" s="1">
        <v>2.0</v>
      </c>
      <c r="C8" s="1" t="s">
        <v>2319</v>
      </c>
      <c r="D8" s="1" t="s">
        <v>121</v>
      </c>
      <c r="E8" s="1" t="s">
        <v>121</v>
      </c>
      <c r="F8" s="1" t="s">
        <v>119</v>
      </c>
      <c r="G8" s="1" t="s">
        <v>197</v>
      </c>
      <c r="H8" s="1" t="s">
        <v>195</v>
      </c>
      <c r="I8" s="1">
        <v>9860.0</v>
      </c>
      <c r="J8" s="1">
        <v>9608.0</v>
      </c>
      <c r="K8" s="1">
        <v>10111.0</v>
      </c>
      <c r="L8" s="1">
        <v>38.34935</v>
      </c>
      <c r="M8" s="1">
        <v>34.230237</v>
      </c>
      <c r="N8" s="1" t="s">
        <v>213</v>
      </c>
      <c r="O8" s="1" t="s">
        <v>215</v>
      </c>
      <c r="P8" s="1" t="b">
        <v>1</v>
      </c>
      <c r="Q8" s="30" t="str">
        <f>VLOOKUP(A8,'S8  Newly published datasets'!A:Q,16,FALSE)</f>
        <v>#N/A</v>
      </c>
      <c r="S8" s="15"/>
      <c r="T8" s="17"/>
      <c r="U8" s="17"/>
      <c r="V8" s="17"/>
    </row>
    <row r="9">
      <c r="A9" s="1" t="s">
        <v>1389</v>
      </c>
      <c r="B9" s="1">
        <v>1.0</v>
      </c>
      <c r="C9" s="1" t="s">
        <v>441</v>
      </c>
      <c r="D9" s="1" t="s">
        <v>1390</v>
      </c>
      <c r="E9" s="1" t="s">
        <v>1390</v>
      </c>
      <c r="F9" s="1" t="s">
        <v>1392</v>
      </c>
      <c r="G9" s="1" t="s">
        <v>1209</v>
      </c>
      <c r="H9" s="1" t="s">
        <v>1209</v>
      </c>
      <c r="I9" s="1">
        <v>6100.0</v>
      </c>
      <c r="J9" s="1" t="s">
        <v>1339</v>
      </c>
      <c r="K9" s="1" t="s">
        <v>1339</v>
      </c>
      <c r="L9" s="1">
        <v>39.16</v>
      </c>
      <c r="M9" s="1">
        <v>45.27</v>
      </c>
      <c r="N9" s="1" t="s">
        <v>1104</v>
      </c>
      <c r="O9" s="1" t="s">
        <v>1402</v>
      </c>
      <c r="P9" s="1" t="b">
        <v>1</v>
      </c>
      <c r="Q9" s="30" t="str">
        <f>VLOOKUP(A9,'S8  Newly published datasets'!A:Q,16,FALSE)</f>
        <v>#N/A</v>
      </c>
      <c r="S9" s="15"/>
      <c r="T9" s="17"/>
      <c r="U9" s="17"/>
      <c r="V9" s="17"/>
    </row>
    <row r="10">
      <c r="A10" s="1" t="s">
        <v>1403</v>
      </c>
      <c r="B10" s="1">
        <v>1.0</v>
      </c>
      <c r="C10" s="1" t="s">
        <v>503</v>
      </c>
      <c r="D10" s="1" t="s">
        <v>1315</v>
      </c>
      <c r="E10" s="1" t="s">
        <v>1315</v>
      </c>
      <c r="F10" s="1" t="s">
        <v>1316</v>
      </c>
      <c r="G10" s="1" t="s">
        <v>1209</v>
      </c>
      <c r="H10" s="1" t="s">
        <v>1209</v>
      </c>
      <c r="I10" s="1">
        <v>6500.0</v>
      </c>
      <c r="J10" s="1" t="s">
        <v>1339</v>
      </c>
      <c r="K10" s="1" t="s">
        <v>1339</v>
      </c>
      <c r="L10" s="1">
        <v>44.454</v>
      </c>
      <c r="M10" s="1">
        <v>20.3724</v>
      </c>
      <c r="N10" s="1" t="s">
        <v>295</v>
      </c>
      <c r="O10" s="1" t="s">
        <v>1409</v>
      </c>
      <c r="P10" s="1" t="b">
        <v>1</v>
      </c>
      <c r="Q10" s="30" t="str">
        <f>VLOOKUP(A10,'S8  Newly published datasets'!A:Q,16,FALSE)</f>
        <v>#N/A</v>
      </c>
      <c r="S10" s="15"/>
      <c r="T10" s="17"/>
      <c r="U10" s="17"/>
      <c r="V10" s="17"/>
    </row>
    <row r="11">
      <c r="A11" s="1" t="s">
        <v>1410</v>
      </c>
      <c r="B11" s="1">
        <v>1.0</v>
      </c>
      <c r="C11" s="1" t="s">
        <v>306</v>
      </c>
      <c r="D11" s="1" t="s">
        <v>1390</v>
      </c>
      <c r="E11" s="1" t="s">
        <v>1390</v>
      </c>
      <c r="F11" s="1" t="s">
        <v>1413</v>
      </c>
      <c r="G11" s="1" t="s">
        <v>1414</v>
      </c>
      <c r="H11" s="1" t="s">
        <v>195</v>
      </c>
      <c r="I11" s="1">
        <v>10108.0</v>
      </c>
      <c r="J11" s="1">
        <v>11402.0</v>
      </c>
      <c r="K11" s="1">
        <v>11875.0</v>
      </c>
      <c r="L11" s="1">
        <v>51.107</v>
      </c>
      <c r="M11" s="1">
        <v>6.464</v>
      </c>
      <c r="N11" s="1" t="s">
        <v>201</v>
      </c>
      <c r="O11" s="1" t="s">
        <v>1417</v>
      </c>
      <c r="P11" s="1" t="b">
        <v>1</v>
      </c>
      <c r="Q11" s="30" t="str">
        <f>VLOOKUP(A11,'S8  Newly published datasets'!A:Q,16,FALSE)</f>
        <v>#N/A</v>
      </c>
      <c r="S11" s="15"/>
      <c r="T11" s="17"/>
      <c r="U11" s="17"/>
      <c r="V11" s="17"/>
    </row>
    <row r="12">
      <c r="A12" s="1" t="s">
        <v>290</v>
      </c>
      <c r="B12" s="1">
        <v>1.0</v>
      </c>
      <c r="C12" s="1" t="s">
        <v>982</v>
      </c>
      <c r="D12" s="1" t="s">
        <v>121</v>
      </c>
      <c r="E12" s="1" t="s">
        <v>121</v>
      </c>
      <c r="F12" s="1" t="s">
        <v>119</v>
      </c>
      <c r="G12" s="1" t="s">
        <v>197</v>
      </c>
      <c r="H12" s="1" t="s">
        <v>195</v>
      </c>
      <c r="I12" s="1">
        <v>8225.0</v>
      </c>
      <c r="J12" s="1">
        <v>8025.0</v>
      </c>
      <c r="K12" s="1">
        <v>8425.0</v>
      </c>
      <c r="L12" s="1">
        <v>43.717483</v>
      </c>
      <c r="M12" s="1">
        <v>21.0978982</v>
      </c>
      <c r="N12" s="1" t="s">
        <v>295</v>
      </c>
      <c r="O12" s="1" t="s">
        <v>296</v>
      </c>
      <c r="P12" s="1" t="b">
        <v>1</v>
      </c>
      <c r="Q12" s="30" t="str">
        <f>VLOOKUP(A12,'S8  Newly published datasets'!A:Q,16,FALSE)</f>
        <v>#N/A</v>
      </c>
      <c r="S12" s="15"/>
      <c r="T12" s="17"/>
      <c r="U12" s="17"/>
      <c r="V12" s="17"/>
    </row>
    <row r="13">
      <c r="A13" s="1" t="s">
        <v>324</v>
      </c>
      <c r="B13" s="1">
        <v>2.0</v>
      </c>
      <c r="C13" s="1" t="s">
        <v>2449</v>
      </c>
      <c r="D13" s="1" t="s">
        <v>121</v>
      </c>
      <c r="E13" s="1" t="s">
        <v>121</v>
      </c>
      <c r="F13" s="1" t="s">
        <v>119</v>
      </c>
      <c r="G13" s="1" t="s">
        <v>197</v>
      </c>
      <c r="H13" s="1" t="s">
        <v>195</v>
      </c>
      <c r="I13" s="1">
        <v>8225.0</v>
      </c>
      <c r="J13" s="1">
        <v>8025.0</v>
      </c>
      <c r="K13" s="1">
        <v>8425.0</v>
      </c>
      <c r="L13" s="1">
        <v>43.717483</v>
      </c>
      <c r="M13" s="1">
        <v>21.0978982</v>
      </c>
      <c r="N13" s="1" t="s">
        <v>295</v>
      </c>
      <c r="O13" s="1" t="s">
        <v>296</v>
      </c>
      <c r="P13" s="1" t="b">
        <v>1</v>
      </c>
      <c r="Q13" s="30" t="str">
        <f>VLOOKUP(A13,'S8  Newly published datasets'!A:Q,16,FALSE)</f>
        <v>#N/A</v>
      </c>
      <c r="S13" s="15"/>
      <c r="T13" s="17"/>
      <c r="U13" s="17"/>
      <c r="V13" s="17"/>
    </row>
    <row r="14">
      <c r="A14" s="1" t="s">
        <v>1436</v>
      </c>
      <c r="B14" s="1">
        <v>1.0</v>
      </c>
      <c r="C14" s="1" t="s">
        <v>306</v>
      </c>
      <c r="D14" s="1" t="s">
        <v>1438</v>
      </c>
      <c r="E14" s="1" t="s">
        <v>1438</v>
      </c>
      <c r="F14" s="1" t="s">
        <v>1439</v>
      </c>
      <c r="G14" s="1" t="s">
        <v>1441</v>
      </c>
      <c r="H14" s="1" t="s">
        <v>209</v>
      </c>
      <c r="I14" s="1">
        <v>394.0</v>
      </c>
      <c r="J14" s="1">
        <v>315.0</v>
      </c>
      <c r="K14" s="1">
        <v>473.0</v>
      </c>
      <c r="L14" s="1">
        <v>54.713611</v>
      </c>
      <c r="M14" s="1">
        <v>-5.8075</v>
      </c>
      <c r="N14" s="1" t="s">
        <v>437</v>
      </c>
      <c r="O14" s="1" t="s">
        <v>1449</v>
      </c>
      <c r="P14" s="1" t="b">
        <v>1</v>
      </c>
      <c r="Q14" s="30" t="str">
        <f>VLOOKUP(A14,'S8  Newly published datasets'!A:Q,16,FALSE)</f>
        <v>#N/A</v>
      </c>
      <c r="S14" s="15"/>
      <c r="T14" s="17"/>
      <c r="U14" s="17"/>
      <c r="V14" s="17"/>
    </row>
    <row r="15">
      <c r="A15" s="1" t="s">
        <v>1452</v>
      </c>
      <c r="B15" s="1">
        <v>1.0</v>
      </c>
      <c r="C15" s="1" t="s">
        <v>1015</v>
      </c>
      <c r="D15" s="1" t="s">
        <v>1438</v>
      </c>
      <c r="E15" s="1" t="s">
        <v>1438</v>
      </c>
      <c r="F15" s="1" t="s">
        <v>1439</v>
      </c>
      <c r="G15" s="1" t="s">
        <v>1414</v>
      </c>
      <c r="H15" s="1" t="s">
        <v>195</v>
      </c>
      <c r="I15" s="1">
        <v>4100.0</v>
      </c>
      <c r="J15" s="1">
        <v>3950.0</v>
      </c>
      <c r="K15" s="1">
        <v>4250.0</v>
      </c>
      <c r="L15" s="1">
        <v>37.10355</v>
      </c>
      <c r="M15" s="1">
        <v>56.885281</v>
      </c>
      <c r="N15" s="1" t="s">
        <v>1104</v>
      </c>
      <c r="O15" s="1" t="s">
        <v>1459</v>
      </c>
      <c r="P15" s="1" t="b">
        <v>1</v>
      </c>
      <c r="Q15" s="30" t="str">
        <f>VLOOKUP(A15,'S8  Newly published datasets'!A:Q,16,FALSE)</f>
        <v>#N/A</v>
      </c>
      <c r="S15" s="15"/>
      <c r="T15" s="17"/>
      <c r="U15" s="17"/>
      <c r="V15" s="17"/>
    </row>
    <row r="16">
      <c r="A16" s="1" t="s">
        <v>1235</v>
      </c>
      <c r="B16" s="1">
        <v>1.0</v>
      </c>
      <c r="C16" s="1" t="s">
        <v>534</v>
      </c>
      <c r="D16" s="1" t="s">
        <v>121</v>
      </c>
      <c r="E16" s="1" t="s">
        <v>121</v>
      </c>
      <c r="F16" s="1" t="s">
        <v>119</v>
      </c>
      <c r="G16" s="1" t="s">
        <v>197</v>
      </c>
      <c r="H16" s="1" t="s">
        <v>195</v>
      </c>
      <c r="I16" s="1">
        <v>4400.0</v>
      </c>
      <c r="J16" s="1">
        <v>4200.0</v>
      </c>
      <c r="K16" s="1">
        <v>4600.0</v>
      </c>
      <c r="L16" s="1">
        <v>37.10355</v>
      </c>
      <c r="M16" s="1">
        <v>56.885281</v>
      </c>
      <c r="N16" s="1" t="s">
        <v>1104</v>
      </c>
      <c r="O16" s="1" t="s">
        <v>1237</v>
      </c>
      <c r="P16" s="1" t="b">
        <v>1</v>
      </c>
      <c r="Q16" s="30" t="str">
        <f>VLOOKUP(A16,'S8  Newly published datasets'!A:Q,16,FALSE)</f>
        <v>#N/A</v>
      </c>
      <c r="S16" s="15"/>
      <c r="T16" s="17"/>
      <c r="U16" s="17"/>
      <c r="V16" s="17"/>
    </row>
    <row r="17">
      <c r="A17" s="1" t="s">
        <v>1471</v>
      </c>
      <c r="B17" s="1">
        <v>1.0</v>
      </c>
      <c r="C17" s="1" t="s">
        <v>441</v>
      </c>
      <c r="D17" s="1" t="s">
        <v>1390</v>
      </c>
      <c r="E17" s="1" t="s">
        <v>1390</v>
      </c>
      <c r="F17" s="1" t="s">
        <v>1392</v>
      </c>
      <c r="G17" s="1" t="s">
        <v>1209</v>
      </c>
      <c r="H17" s="1" t="s">
        <v>1209</v>
      </c>
      <c r="I17" s="1">
        <v>5200.0</v>
      </c>
      <c r="J17" s="1" t="s">
        <v>1339</v>
      </c>
      <c r="K17" s="1" t="s">
        <v>1339</v>
      </c>
      <c r="L17" s="1">
        <v>33.25</v>
      </c>
      <c r="M17" s="1">
        <v>35.65</v>
      </c>
      <c r="N17" s="1" t="s">
        <v>1050</v>
      </c>
      <c r="O17" s="1" t="s">
        <v>1478</v>
      </c>
      <c r="P17" s="1" t="b">
        <v>1</v>
      </c>
      <c r="Q17" s="30" t="str">
        <f>VLOOKUP(A17,'S8  Newly published datasets'!A:Q,16,FALSE)</f>
        <v>#N/A</v>
      </c>
      <c r="S17" s="15"/>
      <c r="T17" s="17"/>
      <c r="U17" s="17"/>
      <c r="V17" s="17"/>
    </row>
    <row r="18">
      <c r="A18" s="1" t="s">
        <v>1480</v>
      </c>
      <c r="B18" s="1">
        <v>1.0</v>
      </c>
      <c r="C18" s="1" t="s">
        <v>997</v>
      </c>
      <c r="D18" s="1" t="s">
        <v>1438</v>
      </c>
      <c r="E18" s="1" t="s">
        <v>1438</v>
      </c>
      <c r="F18" s="1" t="s">
        <v>1483</v>
      </c>
      <c r="G18" s="1" t="s">
        <v>1484</v>
      </c>
      <c r="H18" s="1" t="s">
        <v>195</v>
      </c>
      <c r="I18" s="1">
        <v>13243.5</v>
      </c>
      <c r="J18" s="1">
        <v>13170.0</v>
      </c>
      <c r="K18" s="1">
        <v>13317.0</v>
      </c>
      <c r="L18" s="1">
        <v>37.8578</v>
      </c>
      <c r="M18" s="1">
        <v>36.653883</v>
      </c>
      <c r="N18" s="1" t="s">
        <v>213</v>
      </c>
      <c r="O18" s="1" t="s">
        <v>1490</v>
      </c>
      <c r="P18" s="1" t="b">
        <v>1</v>
      </c>
      <c r="Q18" s="30" t="str">
        <f>VLOOKUP(A18,'S8  Newly published datasets'!A:Q,16,FALSE)</f>
        <v>#N/A</v>
      </c>
      <c r="S18" s="15"/>
      <c r="T18" s="17"/>
      <c r="U18" s="17"/>
      <c r="V18" s="17"/>
    </row>
    <row r="19">
      <c r="A19" s="1" t="s">
        <v>428</v>
      </c>
      <c r="B19" s="1">
        <v>1.0</v>
      </c>
      <c r="C19" s="1" t="s">
        <v>306</v>
      </c>
      <c r="D19" s="1" t="s">
        <v>121</v>
      </c>
      <c r="E19" s="1" t="s">
        <v>121</v>
      </c>
      <c r="F19" s="1" t="s">
        <v>119</v>
      </c>
      <c r="G19" s="1" t="s">
        <v>197</v>
      </c>
      <c r="H19" s="1" t="s">
        <v>195</v>
      </c>
      <c r="I19" s="1">
        <v>1250.0</v>
      </c>
      <c r="J19" s="1">
        <v>1050.0</v>
      </c>
      <c r="K19" s="1">
        <v>1450.0</v>
      </c>
      <c r="L19" s="1">
        <v>53.8132</v>
      </c>
      <c r="M19" s="1">
        <v>-6.75617</v>
      </c>
      <c r="N19" s="1" t="s">
        <v>437</v>
      </c>
      <c r="O19" s="1" t="s">
        <v>439</v>
      </c>
      <c r="P19" s="1" t="b">
        <v>1</v>
      </c>
      <c r="Q19" s="30" t="str">
        <f>VLOOKUP(A19,'S8  Newly published datasets'!A:Q,16,FALSE)</f>
        <v>#N/A</v>
      </c>
      <c r="S19" s="15"/>
      <c r="T19" s="17"/>
      <c r="U19" s="17"/>
      <c r="V19" s="17"/>
    </row>
    <row r="20">
      <c r="A20" s="1" t="s">
        <v>444</v>
      </c>
      <c r="B20" s="1">
        <v>1.0</v>
      </c>
      <c r="C20" s="1" t="s">
        <v>306</v>
      </c>
      <c r="D20" s="1" t="s">
        <v>121</v>
      </c>
      <c r="E20" s="1" t="s">
        <v>121</v>
      </c>
      <c r="F20" s="1" t="s">
        <v>119</v>
      </c>
      <c r="G20" s="1" t="s">
        <v>197</v>
      </c>
      <c r="H20" s="1" t="s">
        <v>195</v>
      </c>
      <c r="I20" s="1">
        <v>900.0</v>
      </c>
      <c r="J20" s="1">
        <v>700.0</v>
      </c>
      <c r="K20" s="1">
        <v>1100.0</v>
      </c>
      <c r="L20" s="1">
        <v>53.343889</v>
      </c>
      <c r="M20" s="1">
        <v>-6.27</v>
      </c>
      <c r="N20" s="1" t="s">
        <v>437</v>
      </c>
      <c r="O20" s="1" t="s">
        <v>453</v>
      </c>
      <c r="P20" s="1" t="b">
        <v>1</v>
      </c>
      <c r="Q20" s="30" t="str">
        <f>VLOOKUP(A20,'S8  Newly published datasets'!A:Q,16,FALSE)</f>
        <v>#N/A</v>
      </c>
      <c r="S20" s="15"/>
      <c r="T20" s="17"/>
      <c r="U20" s="17"/>
      <c r="V20" s="17"/>
    </row>
    <row r="21">
      <c r="A21" s="1" t="s">
        <v>1247</v>
      </c>
      <c r="B21" s="1">
        <v>1.0</v>
      </c>
      <c r="C21" s="1" t="s">
        <v>306</v>
      </c>
      <c r="D21" s="1" t="s">
        <v>121</v>
      </c>
      <c r="E21" s="1" t="s">
        <v>121</v>
      </c>
      <c r="F21" s="1" t="s">
        <v>119</v>
      </c>
      <c r="G21" s="1" t="s">
        <v>197</v>
      </c>
      <c r="H21" s="1" t="s">
        <v>195</v>
      </c>
      <c r="I21" s="1">
        <v>3080.0</v>
      </c>
      <c r="J21" s="1">
        <v>2998.0</v>
      </c>
      <c r="K21" s="1">
        <v>3162.0</v>
      </c>
      <c r="L21" s="1">
        <v>52.7</v>
      </c>
      <c r="M21" s="1">
        <v>5.3</v>
      </c>
      <c r="N21" s="1" t="s">
        <v>1250</v>
      </c>
      <c r="O21" s="1" t="s">
        <v>1251</v>
      </c>
      <c r="P21" s="1" t="b">
        <v>1</v>
      </c>
      <c r="Q21" s="30" t="str">
        <f>VLOOKUP(A21,'S8  Newly published datasets'!A:Q,16,FALSE)</f>
        <v>#N/A</v>
      </c>
      <c r="S21" s="15"/>
      <c r="T21" s="17"/>
      <c r="U21" s="17"/>
      <c r="V21" s="17"/>
    </row>
    <row r="22">
      <c r="A22" s="1" t="s">
        <v>1511</v>
      </c>
      <c r="B22" s="1">
        <v>1.0</v>
      </c>
      <c r="C22" s="1" t="s">
        <v>306</v>
      </c>
      <c r="D22" s="1" t="s">
        <v>1438</v>
      </c>
      <c r="E22" s="1" t="s">
        <v>1438</v>
      </c>
      <c r="F22" s="1" t="s">
        <v>1513</v>
      </c>
      <c r="G22" s="1" t="s">
        <v>1115</v>
      </c>
      <c r="H22" s="1" t="s">
        <v>1114</v>
      </c>
      <c r="I22" s="1">
        <v>-38.0</v>
      </c>
      <c r="J22" s="1">
        <v>-38.5</v>
      </c>
      <c r="K22" s="1">
        <v>-37.5</v>
      </c>
      <c r="L22" s="1">
        <v>48.504</v>
      </c>
      <c r="M22" s="1">
        <v>2.2136</v>
      </c>
      <c r="N22" s="1" t="s">
        <v>1209</v>
      </c>
      <c r="O22" s="1" t="s">
        <v>1519</v>
      </c>
      <c r="P22" s="1" t="b">
        <v>1</v>
      </c>
      <c r="Q22" s="30" t="str">
        <f>VLOOKUP(A22,'S8  Newly published datasets'!A:Q,16,FALSE)</f>
        <v>#N/A</v>
      </c>
      <c r="S22" s="15"/>
      <c r="T22" s="15"/>
      <c r="U22" s="15"/>
      <c r="V22" s="15"/>
    </row>
    <row r="23">
      <c r="A23" s="1" t="s">
        <v>535</v>
      </c>
      <c r="B23" s="1">
        <v>3.0</v>
      </c>
      <c r="C23" s="1" t="s">
        <v>2531</v>
      </c>
      <c r="D23" s="1" t="s">
        <v>121</v>
      </c>
      <c r="E23" s="1" t="s">
        <v>121</v>
      </c>
      <c r="F23" s="1" t="s">
        <v>119</v>
      </c>
      <c r="G23" s="1" t="s">
        <v>197</v>
      </c>
      <c r="H23" s="1" t="s">
        <v>195</v>
      </c>
      <c r="I23" s="1">
        <v>1700.0</v>
      </c>
      <c r="J23" s="1">
        <v>1500.0</v>
      </c>
      <c r="K23" s="1">
        <v>1900.0</v>
      </c>
      <c r="L23" s="1">
        <v>50.1612625</v>
      </c>
      <c r="M23" s="1">
        <v>8.6424693</v>
      </c>
      <c r="N23" s="1" t="s">
        <v>201</v>
      </c>
      <c r="O23" s="1" t="s">
        <v>547</v>
      </c>
      <c r="P23" s="1" t="b">
        <v>1</v>
      </c>
      <c r="Q23" s="30" t="str">
        <f>VLOOKUP(A23,'S8  Newly published datasets'!A:Q,16,FALSE)</f>
        <v>#N/A</v>
      </c>
      <c r="S23" s="15"/>
      <c r="T23" s="17"/>
      <c r="U23" s="17"/>
      <c r="V23" s="17"/>
    </row>
    <row r="24">
      <c r="A24" s="1" t="s">
        <v>1538</v>
      </c>
      <c r="B24" s="1">
        <v>1.0</v>
      </c>
      <c r="C24" s="1" t="s">
        <v>306</v>
      </c>
      <c r="D24" s="1" t="s">
        <v>1390</v>
      </c>
      <c r="E24" s="1" t="s">
        <v>1390</v>
      </c>
      <c r="F24" s="1" t="s">
        <v>1413</v>
      </c>
      <c r="G24" s="1" t="s">
        <v>1541</v>
      </c>
      <c r="H24" s="1" t="s">
        <v>195</v>
      </c>
      <c r="I24" s="1">
        <v>8297.0</v>
      </c>
      <c r="J24" s="1">
        <v>9035.0</v>
      </c>
      <c r="K24" s="1">
        <v>9464.0</v>
      </c>
      <c r="L24" s="1">
        <v>43.072</v>
      </c>
      <c r="M24" s="1">
        <v>-8.661</v>
      </c>
      <c r="N24" s="1" t="s">
        <v>1116</v>
      </c>
      <c r="O24" s="1" t="s">
        <v>1546</v>
      </c>
      <c r="P24" s="1" t="b">
        <v>1</v>
      </c>
      <c r="Q24" s="30" t="str">
        <f>VLOOKUP(A24,'S8  Newly published datasets'!A:Q,16,FALSE)</f>
        <v>#N/A</v>
      </c>
      <c r="S24" s="15"/>
      <c r="T24" s="17"/>
      <c r="U24" s="17"/>
      <c r="V24" s="17"/>
    </row>
    <row r="25">
      <c r="A25" s="1" t="s">
        <v>1548</v>
      </c>
      <c r="B25" s="1">
        <v>1.0</v>
      </c>
      <c r="C25" s="1" t="s">
        <v>306</v>
      </c>
      <c r="D25" s="1" t="s">
        <v>1390</v>
      </c>
      <c r="E25" s="1" t="s">
        <v>1390</v>
      </c>
      <c r="F25" s="1" t="s">
        <v>1413</v>
      </c>
      <c r="G25" s="1" t="s">
        <v>211</v>
      </c>
      <c r="H25" s="1" t="s">
        <v>209</v>
      </c>
      <c r="I25" s="1">
        <v>8311.0</v>
      </c>
      <c r="J25" s="1">
        <v>9039.0</v>
      </c>
      <c r="K25" s="1">
        <v>9474.0</v>
      </c>
      <c r="L25" s="1">
        <v>43.072</v>
      </c>
      <c r="M25" s="1">
        <v>-8.661</v>
      </c>
      <c r="N25" s="1" t="s">
        <v>1116</v>
      </c>
      <c r="O25" s="1" t="s">
        <v>1546</v>
      </c>
      <c r="P25" s="1" t="b">
        <v>1</v>
      </c>
      <c r="Q25" s="30" t="str">
        <f>VLOOKUP(A25,'S8  Newly published datasets'!A:Q,16,FALSE)</f>
        <v>#N/A</v>
      </c>
      <c r="S25" s="15"/>
      <c r="T25" s="17"/>
      <c r="U25" s="17"/>
      <c r="V25" s="17"/>
    </row>
    <row r="26">
      <c r="A26" s="1" t="s">
        <v>1277</v>
      </c>
      <c r="B26" s="1">
        <v>1.0</v>
      </c>
      <c r="C26" s="1" t="s">
        <v>997</v>
      </c>
      <c r="D26" s="1" t="s">
        <v>121</v>
      </c>
      <c r="E26" s="1" t="s">
        <v>121</v>
      </c>
      <c r="F26" s="1" t="s">
        <v>1279</v>
      </c>
      <c r="G26" s="1" t="s">
        <v>197</v>
      </c>
      <c r="H26" s="1" t="s">
        <v>195</v>
      </c>
      <c r="I26" s="1">
        <v>10070.0</v>
      </c>
      <c r="J26" s="1">
        <v>9910.0</v>
      </c>
      <c r="K26" s="1">
        <v>10229.0</v>
      </c>
      <c r="L26" s="1">
        <v>34.2721</v>
      </c>
      <c r="M26" s="1">
        <v>47.4758</v>
      </c>
      <c r="N26" s="1" t="s">
        <v>1104</v>
      </c>
      <c r="O26" s="1" t="s">
        <v>1281</v>
      </c>
      <c r="P26" s="1" t="b">
        <v>1</v>
      </c>
      <c r="Q26" s="30" t="str">
        <f>VLOOKUP(A26,'S8  Newly published datasets'!A:Q,16,FALSE)</f>
        <v>#N/A</v>
      </c>
      <c r="S26" s="15"/>
      <c r="T26" s="17"/>
      <c r="U26" s="17"/>
      <c r="V26" s="17"/>
    </row>
    <row r="27">
      <c r="A27" s="1" t="s">
        <v>1565</v>
      </c>
      <c r="B27" s="1">
        <v>1.0</v>
      </c>
      <c r="C27" s="1" t="s">
        <v>982</v>
      </c>
      <c r="D27" s="1" t="s">
        <v>1438</v>
      </c>
      <c r="E27" s="1" t="s">
        <v>1438</v>
      </c>
      <c r="F27" s="1" t="s">
        <v>1439</v>
      </c>
      <c r="G27" s="1" t="s">
        <v>1566</v>
      </c>
      <c r="H27" s="1" t="s">
        <v>195</v>
      </c>
      <c r="I27" s="1">
        <v>9850.0</v>
      </c>
      <c r="J27" s="1">
        <v>9550.0</v>
      </c>
      <c r="K27" s="1">
        <v>10150.0</v>
      </c>
      <c r="L27" s="1">
        <v>34.27218</v>
      </c>
      <c r="M27" s="1">
        <v>47.476423</v>
      </c>
      <c r="N27" s="1" t="s">
        <v>1104</v>
      </c>
      <c r="O27" s="1" t="s">
        <v>1573</v>
      </c>
      <c r="P27" s="1" t="b">
        <v>1</v>
      </c>
      <c r="Q27" s="30" t="str">
        <f>VLOOKUP(A27,'S8  Newly published datasets'!A:Q,16,FALSE)</f>
        <v>#N/A</v>
      </c>
      <c r="S27" s="15"/>
      <c r="T27" s="17"/>
      <c r="U27" s="17"/>
      <c r="V27" s="17"/>
    </row>
    <row r="28">
      <c r="A28" s="1" t="s">
        <v>1575</v>
      </c>
      <c r="B28" s="1">
        <v>1.0</v>
      </c>
      <c r="C28" s="1" t="s">
        <v>982</v>
      </c>
      <c r="D28" s="1" t="s">
        <v>1438</v>
      </c>
      <c r="E28" s="1" t="s">
        <v>1438</v>
      </c>
      <c r="F28" s="1" t="s">
        <v>1439</v>
      </c>
      <c r="G28" s="1" t="s">
        <v>1577</v>
      </c>
      <c r="H28" s="1" t="s">
        <v>195</v>
      </c>
      <c r="I28" s="1">
        <v>9850.0</v>
      </c>
      <c r="J28" s="1">
        <v>9550.0</v>
      </c>
      <c r="K28" s="1">
        <v>10150.0</v>
      </c>
      <c r="L28" s="1">
        <v>34.27218</v>
      </c>
      <c r="M28" s="1">
        <v>47.476423</v>
      </c>
      <c r="N28" s="1" t="s">
        <v>1104</v>
      </c>
      <c r="O28" s="1" t="s">
        <v>1573</v>
      </c>
      <c r="P28" s="1" t="b">
        <v>1</v>
      </c>
      <c r="Q28" s="30" t="str">
        <f>VLOOKUP(A28,'S8  Newly published datasets'!A:Q,16,FALSE)</f>
        <v>#N/A</v>
      </c>
      <c r="S28" s="15"/>
      <c r="T28" s="17"/>
      <c r="U28" s="17"/>
      <c r="V28" s="17"/>
    </row>
    <row r="29">
      <c r="A29" s="1" t="s">
        <v>1585</v>
      </c>
      <c r="B29" s="1">
        <v>2.0</v>
      </c>
      <c r="C29" s="1" t="s">
        <v>2449</v>
      </c>
      <c r="D29" s="1" t="s">
        <v>1438</v>
      </c>
      <c r="E29" s="1" t="s">
        <v>1438</v>
      </c>
      <c r="F29" s="1" t="s">
        <v>1439</v>
      </c>
      <c r="G29" s="1" t="s">
        <v>1588</v>
      </c>
      <c r="H29" s="1" t="s">
        <v>195</v>
      </c>
      <c r="I29" s="1">
        <v>9850.0</v>
      </c>
      <c r="J29" s="1">
        <v>9550.0</v>
      </c>
      <c r="K29" s="1">
        <v>10150.0</v>
      </c>
      <c r="L29" s="1">
        <v>34.27218</v>
      </c>
      <c r="M29" s="1">
        <v>47.476423</v>
      </c>
      <c r="N29" s="1" t="s">
        <v>1104</v>
      </c>
      <c r="O29" s="1" t="s">
        <v>1573</v>
      </c>
      <c r="P29" s="1" t="b">
        <v>1</v>
      </c>
      <c r="Q29" s="30" t="str">
        <f>VLOOKUP(A29,'S8  Newly published datasets'!A:Q,16,FALSE)</f>
        <v>#N/A</v>
      </c>
      <c r="S29" s="15"/>
      <c r="T29" s="17"/>
      <c r="U29" s="17"/>
      <c r="V29" s="17"/>
    </row>
    <row r="30">
      <c r="A30" s="1" t="s">
        <v>796</v>
      </c>
      <c r="B30" s="1">
        <v>1.0</v>
      </c>
      <c r="C30" s="1" t="s">
        <v>306</v>
      </c>
      <c r="D30" s="1" t="s">
        <v>121</v>
      </c>
      <c r="E30" s="1" t="s">
        <v>121</v>
      </c>
      <c r="F30" s="1" t="s">
        <v>119</v>
      </c>
      <c r="G30" s="1" t="s">
        <v>197</v>
      </c>
      <c r="H30" s="1" t="s">
        <v>195</v>
      </c>
      <c r="I30" s="1">
        <v>800.0</v>
      </c>
      <c r="J30" s="1">
        <v>600.0</v>
      </c>
      <c r="K30" s="1">
        <v>1000.0</v>
      </c>
      <c r="L30" s="1">
        <v>53.9590444</v>
      </c>
      <c r="M30" s="1">
        <v>-1.0765495</v>
      </c>
      <c r="N30" s="1" t="s">
        <v>804</v>
      </c>
      <c r="O30" s="1" t="s">
        <v>805</v>
      </c>
      <c r="P30" s="1" t="b">
        <v>1</v>
      </c>
      <c r="Q30" s="30" t="str">
        <f>VLOOKUP(A30,'S8  Newly published datasets'!A:Q,16,FALSE)</f>
        <v>#N/A</v>
      </c>
      <c r="S30" s="15"/>
      <c r="T30" s="17"/>
      <c r="U30" s="17"/>
      <c r="V30" s="17"/>
    </row>
    <row r="31">
      <c r="A31" s="1" t="s">
        <v>1614</v>
      </c>
      <c r="B31" s="1">
        <v>1.0</v>
      </c>
      <c r="C31" s="1" t="s">
        <v>306</v>
      </c>
      <c r="D31" s="1" t="s">
        <v>1390</v>
      </c>
      <c r="E31" s="1" t="s">
        <v>1390</v>
      </c>
      <c r="F31" s="1" t="s">
        <v>1413</v>
      </c>
      <c r="G31" s="1" t="s">
        <v>1414</v>
      </c>
      <c r="H31" s="1" t="s">
        <v>195</v>
      </c>
      <c r="I31" s="1" t="s">
        <v>1339</v>
      </c>
      <c r="J31" s="1" t="s">
        <v>1339</v>
      </c>
      <c r="K31" s="1" t="s">
        <v>1339</v>
      </c>
      <c r="L31" s="1">
        <v>49.145</v>
      </c>
      <c r="M31" s="1">
        <v>8.222</v>
      </c>
      <c r="N31" s="1" t="s">
        <v>201</v>
      </c>
      <c r="O31" s="1" t="s">
        <v>783</v>
      </c>
      <c r="P31" s="1" t="b">
        <v>1</v>
      </c>
      <c r="Q31" s="30" t="str">
        <f>VLOOKUP(A31,'S8  Newly published datasets'!A:Q,16,FALSE)</f>
        <v>#N/A</v>
      </c>
      <c r="S31" s="15"/>
      <c r="T31" s="17"/>
      <c r="U31" s="17"/>
      <c r="V31" s="17"/>
    </row>
    <row r="32">
      <c r="A32" s="1" t="s">
        <v>1623</v>
      </c>
      <c r="B32" s="1">
        <v>2.0</v>
      </c>
      <c r="C32" s="1" t="s">
        <v>2608</v>
      </c>
      <c r="D32" s="1" t="s">
        <v>1438</v>
      </c>
      <c r="E32" s="1" t="s">
        <v>1438</v>
      </c>
      <c r="F32" s="1" t="s">
        <v>1626</v>
      </c>
      <c r="G32" s="1" t="s">
        <v>1115</v>
      </c>
      <c r="H32" s="1" t="s">
        <v>1114</v>
      </c>
      <c r="I32" s="1">
        <v>51.0</v>
      </c>
      <c r="J32" s="1">
        <v>51.0</v>
      </c>
      <c r="K32" s="1">
        <v>71.0</v>
      </c>
      <c r="L32" s="1" t="s">
        <v>1339</v>
      </c>
      <c r="M32" s="1" t="s">
        <v>1339</v>
      </c>
      <c r="N32" s="1" t="s">
        <v>1209</v>
      </c>
      <c r="O32" s="1" t="s">
        <v>1209</v>
      </c>
      <c r="P32" s="1" t="b">
        <v>0</v>
      </c>
      <c r="Q32" s="30" t="str">
        <f>VLOOKUP(A32,'S8  Newly published datasets'!A:Q,16,FALSE)</f>
        <v>#N/A</v>
      </c>
      <c r="S32" s="15"/>
      <c r="T32" s="17"/>
      <c r="U32" s="17"/>
      <c r="V32" s="17"/>
    </row>
    <row r="33">
      <c r="A33" s="1" t="s">
        <v>1640</v>
      </c>
      <c r="B33" s="1">
        <v>1.0</v>
      </c>
      <c r="C33" s="1" t="s">
        <v>997</v>
      </c>
      <c r="D33" s="1" t="s">
        <v>1315</v>
      </c>
      <c r="E33" s="1" t="s">
        <v>1315</v>
      </c>
      <c r="F33" s="1" t="s">
        <v>1316</v>
      </c>
      <c r="G33" s="1" t="s">
        <v>1209</v>
      </c>
      <c r="H33" s="1" t="s">
        <v>1209</v>
      </c>
      <c r="I33" s="1">
        <v>850.0</v>
      </c>
      <c r="J33" s="1">
        <v>450.0</v>
      </c>
      <c r="K33" s="1">
        <v>950.0</v>
      </c>
      <c r="L33" s="1">
        <v>52.0186</v>
      </c>
      <c r="M33" s="1">
        <v>5.1758</v>
      </c>
      <c r="N33" s="1" t="s">
        <v>1250</v>
      </c>
      <c r="O33" s="1" t="s">
        <v>1650</v>
      </c>
      <c r="P33" s="1" t="b">
        <v>1</v>
      </c>
      <c r="Q33" s="30" t="str">
        <f>VLOOKUP(A33,'S8  Newly published datasets'!A:Q,16,FALSE)</f>
        <v>#N/A</v>
      </c>
      <c r="S33" s="15"/>
      <c r="T33" s="17"/>
      <c r="U33" s="17"/>
      <c r="V33" s="17"/>
    </row>
    <row r="34">
      <c r="A34" s="1" t="s">
        <v>949</v>
      </c>
      <c r="B34" s="1">
        <v>1.0</v>
      </c>
      <c r="C34" s="1" t="s">
        <v>982</v>
      </c>
      <c r="D34" s="1" t="s">
        <v>1438</v>
      </c>
      <c r="E34" s="1" t="s">
        <v>1438</v>
      </c>
      <c r="F34" s="1" t="s">
        <v>1439</v>
      </c>
      <c r="G34" s="1" t="s">
        <v>1653</v>
      </c>
      <c r="H34" s="1" t="s">
        <v>209</v>
      </c>
      <c r="I34" s="1">
        <v>9700.0</v>
      </c>
      <c r="J34" s="1">
        <v>9250.0</v>
      </c>
      <c r="K34" s="1">
        <v>10150.0</v>
      </c>
      <c r="L34" s="1">
        <v>34.2721</v>
      </c>
      <c r="M34" s="1">
        <v>47.4758</v>
      </c>
      <c r="N34" s="1" t="s">
        <v>1104</v>
      </c>
      <c r="O34" s="1" t="s">
        <v>1281</v>
      </c>
      <c r="P34" s="1" t="b">
        <v>1</v>
      </c>
      <c r="Q34" s="30" t="str">
        <f>VLOOKUP(A34,'S8  Newly published datasets'!A:Q,16,FALSE)</f>
        <v>KD486</v>
      </c>
      <c r="S34" s="15"/>
      <c r="T34" s="17"/>
      <c r="U34" s="17"/>
      <c r="V34" s="17"/>
    </row>
    <row r="35">
      <c r="A35" s="1" t="s">
        <v>1662</v>
      </c>
      <c r="B35" s="1">
        <v>1.0</v>
      </c>
      <c r="C35" s="1" t="s">
        <v>396</v>
      </c>
      <c r="D35" s="1" t="s">
        <v>1390</v>
      </c>
      <c r="E35" s="1" t="s">
        <v>1390</v>
      </c>
      <c r="F35" s="1" t="s">
        <v>1663</v>
      </c>
      <c r="G35" s="1" t="s">
        <v>1209</v>
      </c>
      <c r="H35" s="1" t="s">
        <v>1209</v>
      </c>
      <c r="I35" s="1">
        <v>1200.0</v>
      </c>
      <c r="J35" s="1" t="s">
        <v>1339</v>
      </c>
      <c r="K35" s="1" t="s">
        <v>1339</v>
      </c>
      <c r="L35" s="1">
        <v>42.66</v>
      </c>
      <c r="M35" s="1">
        <v>44.65</v>
      </c>
      <c r="N35" s="1" t="s">
        <v>564</v>
      </c>
      <c r="O35" s="1" t="s">
        <v>1673</v>
      </c>
      <c r="P35" s="1" t="b">
        <v>1</v>
      </c>
      <c r="Q35" s="30" t="str">
        <f>VLOOKUP(A35,'S8  Newly published datasets'!A:Q,16,FALSE)</f>
        <v>#N/A</v>
      </c>
      <c r="S35" s="15"/>
      <c r="T35" s="17"/>
      <c r="U35" s="17"/>
      <c r="V35" s="17"/>
    </row>
    <row r="36">
      <c r="A36" s="1" t="s">
        <v>837</v>
      </c>
      <c r="B36" s="1">
        <v>1.0</v>
      </c>
      <c r="C36" s="1" t="s">
        <v>306</v>
      </c>
      <c r="D36" s="1" t="s">
        <v>121</v>
      </c>
      <c r="E36" s="1" t="s">
        <v>121</v>
      </c>
      <c r="F36" s="1" t="s">
        <v>119</v>
      </c>
      <c r="G36" s="1" t="s">
        <v>197</v>
      </c>
      <c r="H36" s="1" t="s">
        <v>195</v>
      </c>
      <c r="I36" s="1">
        <v>900.0</v>
      </c>
      <c r="J36" s="1">
        <v>700.0</v>
      </c>
      <c r="K36" s="1">
        <v>1100.0</v>
      </c>
      <c r="L36" s="1">
        <v>57.1508548</v>
      </c>
      <c r="M36" s="1">
        <v>-7.3906365</v>
      </c>
      <c r="N36" s="1" t="s">
        <v>804</v>
      </c>
      <c r="O36" s="1" t="s">
        <v>845</v>
      </c>
      <c r="P36" s="1" t="b">
        <v>1</v>
      </c>
      <c r="Q36" s="30" t="str">
        <f>VLOOKUP(A36,'S8  Newly published datasets'!A:Q,16,FALSE)</f>
        <v>#N/A</v>
      </c>
      <c r="S36" s="15"/>
      <c r="T36" s="17"/>
      <c r="U36" s="17"/>
      <c r="V36" s="17"/>
    </row>
    <row r="37">
      <c r="A37" s="1" t="s">
        <v>366</v>
      </c>
      <c r="B37" s="1">
        <v>1.0</v>
      </c>
      <c r="C37" s="1" t="s">
        <v>1015</v>
      </c>
      <c r="D37" s="1" t="s">
        <v>1687</v>
      </c>
      <c r="E37" s="1" t="s">
        <v>1687</v>
      </c>
      <c r="F37" s="1" t="s">
        <v>1687</v>
      </c>
      <c r="G37" s="1" t="s">
        <v>1691</v>
      </c>
      <c r="H37" s="1" t="s">
        <v>209</v>
      </c>
      <c r="I37" s="1">
        <v>10000.0</v>
      </c>
      <c r="J37" s="1">
        <v>9800.0</v>
      </c>
      <c r="K37" s="1">
        <v>10200.0</v>
      </c>
      <c r="L37" s="1">
        <v>34.2721</v>
      </c>
      <c r="M37" s="1">
        <v>47.4758</v>
      </c>
      <c r="N37" s="1" t="s">
        <v>1104</v>
      </c>
      <c r="O37" s="1" t="s">
        <v>1281</v>
      </c>
      <c r="P37" s="1" t="b">
        <v>1</v>
      </c>
      <c r="Q37" s="30" t="str">
        <f>VLOOKUP(A37,'S8  Newly published datasets'!A:Q,16,FALSE)</f>
        <v>LL003</v>
      </c>
      <c r="S37" s="15"/>
      <c r="T37" s="17"/>
      <c r="U37" s="17"/>
      <c r="V37" s="17"/>
    </row>
    <row r="38">
      <c r="A38" s="1" t="s">
        <v>529</v>
      </c>
      <c r="B38" s="1">
        <v>2.0</v>
      </c>
      <c r="C38" s="1" t="s">
        <v>2661</v>
      </c>
      <c r="D38" s="1" t="s">
        <v>121</v>
      </c>
      <c r="E38" s="1" t="s">
        <v>121</v>
      </c>
      <c r="F38" s="1" t="s">
        <v>119</v>
      </c>
      <c r="G38" s="1" t="s">
        <v>1704</v>
      </c>
      <c r="H38" s="1" t="s">
        <v>1114</v>
      </c>
      <c r="I38" s="1">
        <v>4250.0</v>
      </c>
      <c r="J38" s="1">
        <v>4150.0</v>
      </c>
      <c r="K38" s="1">
        <v>4350.0</v>
      </c>
      <c r="L38" s="1">
        <v>50.95963315</v>
      </c>
      <c r="M38" s="1">
        <v>35.62339593</v>
      </c>
      <c r="N38" s="1" t="s">
        <v>1244</v>
      </c>
      <c r="O38" s="1" t="s">
        <v>1709</v>
      </c>
      <c r="P38" s="1" t="b">
        <v>1</v>
      </c>
      <c r="Q38" s="30" t="str">
        <f>VLOOKUP(A38,'S8  Newly published datasets'!A:Q,16,FALSE)</f>
        <v>LL048</v>
      </c>
      <c r="S38" s="15"/>
      <c r="T38" s="17"/>
      <c r="U38" s="17"/>
      <c r="V38" s="17"/>
    </row>
    <row r="39">
      <c r="A39" s="1" t="s">
        <v>539</v>
      </c>
      <c r="B39" s="1">
        <v>1.0</v>
      </c>
      <c r="C39" s="1" t="s">
        <v>963</v>
      </c>
      <c r="D39" s="1" t="s">
        <v>121</v>
      </c>
      <c r="E39" s="1" t="s">
        <v>121</v>
      </c>
      <c r="F39" s="1" t="s">
        <v>119</v>
      </c>
      <c r="G39" s="1" t="s">
        <v>1721</v>
      </c>
      <c r="H39" s="1" t="s">
        <v>1114</v>
      </c>
      <c r="I39" s="1">
        <v>4550.0</v>
      </c>
      <c r="J39" s="1">
        <v>4350.0</v>
      </c>
      <c r="K39" s="1">
        <v>4750.0</v>
      </c>
      <c r="L39" s="1">
        <v>45.71790307</v>
      </c>
      <c r="M39" s="1">
        <v>42.91327448</v>
      </c>
      <c r="N39" s="1" t="s">
        <v>1244</v>
      </c>
      <c r="O39" s="1" t="s">
        <v>1730</v>
      </c>
      <c r="P39" s="1" t="b">
        <v>1</v>
      </c>
      <c r="Q39" s="30" t="str">
        <f>VLOOKUP(A39,'S8  Newly published datasets'!A:Q,16,FALSE)</f>
        <v>LL050</v>
      </c>
      <c r="S39" s="15"/>
      <c r="T39" s="17"/>
      <c r="U39" s="17"/>
      <c r="V39" s="17"/>
    </row>
    <row r="40">
      <c r="A40" s="1" t="s">
        <v>543</v>
      </c>
      <c r="B40" s="1">
        <v>1.0</v>
      </c>
      <c r="C40" s="1" t="s">
        <v>623</v>
      </c>
      <c r="D40" s="1" t="s">
        <v>121</v>
      </c>
      <c r="E40" s="1" t="s">
        <v>121</v>
      </c>
      <c r="F40" s="1" t="s">
        <v>119</v>
      </c>
      <c r="G40" s="1" t="s">
        <v>1721</v>
      </c>
      <c r="H40" s="1" t="s">
        <v>1114</v>
      </c>
      <c r="I40" s="1">
        <v>4550.0</v>
      </c>
      <c r="J40" s="1">
        <v>4350.0</v>
      </c>
      <c r="K40" s="1">
        <v>4750.0</v>
      </c>
      <c r="L40" s="1">
        <v>45.71790307</v>
      </c>
      <c r="M40" s="1">
        <v>42.91327448</v>
      </c>
      <c r="N40" s="1" t="s">
        <v>1244</v>
      </c>
      <c r="O40" s="1" t="s">
        <v>1740</v>
      </c>
      <c r="P40" s="1" t="b">
        <v>1</v>
      </c>
      <c r="Q40" s="30" t="str">
        <f>VLOOKUP(A40,'S8  Newly published datasets'!A:Q,16,FALSE)</f>
        <v>LL051</v>
      </c>
      <c r="S40" s="15"/>
      <c r="T40" s="17"/>
      <c r="U40" s="17"/>
      <c r="V40" s="17"/>
    </row>
    <row r="41">
      <c r="A41" s="1" t="s">
        <v>545</v>
      </c>
      <c r="B41" s="1">
        <v>2.0</v>
      </c>
      <c r="C41" s="1" t="s">
        <v>2682</v>
      </c>
      <c r="D41" s="1" t="s">
        <v>121</v>
      </c>
      <c r="E41" s="1" t="s">
        <v>121</v>
      </c>
      <c r="F41" s="1" t="s">
        <v>119</v>
      </c>
      <c r="G41" s="1" t="s">
        <v>1745</v>
      </c>
      <c r="H41" s="1" t="s">
        <v>1114</v>
      </c>
      <c r="I41" s="1">
        <v>4250.0</v>
      </c>
      <c r="J41" s="1">
        <v>4150.0</v>
      </c>
      <c r="K41" s="1">
        <v>4350.0</v>
      </c>
      <c r="L41" s="1">
        <v>45.4149</v>
      </c>
      <c r="M41" s="1">
        <v>43.6968</v>
      </c>
      <c r="N41" s="1" t="s">
        <v>1244</v>
      </c>
      <c r="O41" s="1" t="s">
        <v>1751</v>
      </c>
      <c r="P41" s="1" t="b">
        <v>1</v>
      </c>
      <c r="Q41" s="30" t="str">
        <f>VLOOKUP(A41,'S8  Newly published datasets'!A:Q,16,FALSE)</f>
        <v>LL052</v>
      </c>
      <c r="S41" s="15"/>
      <c r="T41" s="17"/>
      <c r="U41" s="17"/>
      <c r="V41" s="17"/>
    </row>
    <row r="42">
      <c r="A42" s="1" t="s">
        <v>554</v>
      </c>
      <c r="B42" s="1">
        <v>2.0</v>
      </c>
      <c r="C42" s="1" t="s">
        <v>2661</v>
      </c>
      <c r="D42" s="1" t="s">
        <v>121</v>
      </c>
      <c r="E42" s="1" t="s">
        <v>121</v>
      </c>
      <c r="F42" s="1" t="s">
        <v>119</v>
      </c>
      <c r="G42" s="1" t="s">
        <v>1759</v>
      </c>
      <c r="H42" s="1" t="s">
        <v>1114</v>
      </c>
      <c r="I42" s="1">
        <v>4575.0</v>
      </c>
      <c r="J42" s="1">
        <v>4350.0</v>
      </c>
      <c r="K42" s="1">
        <v>4800.0</v>
      </c>
      <c r="L42" s="1">
        <v>36.8485</v>
      </c>
      <c r="M42" s="1">
        <v>60.4181</v>
      </c>
      <c r="N42" s="1" t="s">
        <v>1764</v>
      </c>
      <c r="O42" s="1" t="s">
        <v>1765</v>
      </c>
      <c r="P42" s="1" t="b">
        <v>1</v>
      </c>
      <c r="Q42" s="30" t="str">
        <f>VLOOKUP(A42,'S8  Newly published datasets'!A:Q,16,FALSE)</f>
        <v>LL054</v>
      </c>
      <c r="S42" s="15"/>
      <c r="T42" s="17"/>
      <c r="U42" s="17"/>
      <c r="V42" s="17"/>
    </row>
    <row r="43">
      <c r="A43" s="1" t="s">
        <v>559</v>
      </c>
      <c r="B43" s="1">
        <v>1.0</v>
      </c>
      <c r="C43" s="1" t="s">
        <v>963</v>
      </c>
      <c r="D43" s="1" t="s">
        <v>121</v>
      </c>
      <c r="E43" s="1" t="s">
        <v>121</v>
      </c>
      <c r="F43" s="1" t="s">
        <v>119</v>
      </c>
      <c r="G43" s="1" t="s">
        <v>1774</v>
      </c>
      <c r="H43" s="1" t="s">
        <v>1114</v>
      </c>
      <c r="I43" s="1">
        <v>4250.0</v>
      </c>
      <c r="J43" s="1">
        <v>4150.0</v>
      </c>
      <c r="K43" s="1">
        <v>4350.0</v>
      </c>
      <c r="L43" s="1">
        <v>50.95963315</v>
      </c>
      <c r="M43" s="1">
        <v>35.62339593</v>
      </c>
      <c r="N43" s="1" t="s">
        <v>1244</v>
      </c>
      <c r="O43" s="1" t="s">
        <v>1709</v>
      </c>
      <c r="P43" s="1" t="b">
        <v>1</v>
      </c>
      <c r="Q43" s="30" t="str">
        <f>VLOOKUP(A43,'S8  Newly published datasets'!A:Q,16,FALSE)</f>
        <v>LL058</v>
      </c>
      <c r="S43" s="15"/>
      <c r="T43" s="17"/>
      <c r="U43" s="17"/>
      <c r="V43" s="17"/>
    </row>
    <row r="44">
      <c r="A44" s="1" t="s">
        <v>577</v>
      </c>
      <c r="B44" s="1">
        <v>1.0</v>
      </c>
      <c r="C44" s="1" t="s">
        <v>997</v>
      </c>
      <c r="D44" s="1" t="s">
        <v>1438</v>
      </c>
      <c r="E44" s="1" t="s">
        <v>1438</v>
      </c>
      <c r="F44" s="1" t="s">
        <v>1439</v>
      </c>
      <c r="G44" s="1" t="s">
        <v>1783</v>
      </c>
      <c r="H44" s="1" t="s">
        <v>209</v>
      </c>
      <c r="I44" s="1">
        <v>10000.0</v>
      </c>
      <c r="J44" s="1">
        <v>9800.0</v>
      </c>
      <c r="K44" s="1">
        <v>10200.0</v>
      </c>
      <c r="L44" s="1">
        <v>34.2721</v>
      </c>
      <c r="M44" s="1">
        <v>47.4758</v>
      </c>
      <c r="N44" s="1" t="s">
        <v>1104</v>
      </c>
      <c r="O44" s="1" t="s">
        <v>1281</v>
      </c>
      <c r="P44" s="1" t="b">
        <v>1</v>
      </c>
      <c r="Q44" s="30" t="str">
        <f>VLOOKUP(A44,'S8  Newly published datasets'!A:Q,16,FALSE)</f>
        <v>LL062</v>
      </c>
      <c r="S44" s="15"/>
      <c r="T44" s="17"/>
      <c r="U44" s="17"/>
      <c r="V44" s="17"/>
    </row>
    <row r="45">
      <c r="A45" s="1" t="s">
        <v>53</v>
      </c>
      <c r="B45" s="1">
        <v>1.0</v>
      </c>
      <c r="C45" s="1" t="s">
        <v>441</v>
      </c>
      <c r="D45" s="1" t="s">
        <v>1438</v>
      </c>
      <c r="E45" s="1" t="s">
        <v>1438</v>
      </c>
      <c r="F45" s="1" t="s">
        <v>1439</v>
      </c>
      <c r="G45" s="1" t="s">
        <v>1785</v>
      </c>
      <c r="H45" s="1" t="s">
        <v>209</v>
      </c>
      <c r="I45" s="1">
        <v>9837.5</v>
      </c>
      <c r="J45" s="1">
        <v>9557.0</v>
      </c>
      <c r="K45" s="1">
        <v>10118.0</v>
      </c>
      <c r="L45" s="1">
        <v>34.2721</v>
      </c>
      <c r="M45" s="1">
        <v>47.4758</v>
      </c>
      <c r="N45" s="1" t="s">
        <v>1104</v>
      </c>
      <c r="O45" s="1" t="s">
        <v>1281</v>
      </c>
      <c r="P45" s="1" t="b">
        <v>1</v>
      </c>
      <c r="Q45" s="30" t="str">
        <f>VLOOKUP(A45,'S8  Newly published datasets'!A:Q,16,FALSE)</f>
        <v>LL066</v>
      </c>
      <c r="S45" s="15"/>
      <c r="T45" s="17"/>
      <c r="U45" s="17"/>
      <c r="V45" s="17"/>
    </row>
    <row r="46">
      <c r="A46" s="1" t="s">
        <v>604</v>
      </c>
      <c r="B46" s="1">
        <v>2.0</v>
      </c>
      <c r="C46" s="1" t="s">
        <v>2730</v>
      </c>
      <c r="D46" s="1" t="s">
        <v>1438</v>
      </c>
      <c r="E46" s="1" t="s">
        <v>1438</v>
      </c>
      <c r="F46" s="1" t="s">
        <v>1439</v>
      </c>
      <c r="G46" s="1" t="s">
        <v>1789</v>
      </c>
      <c r="H46" s="1" t="s">
        <v>195</v>
      </c>
      <c r="I46" s="1">
        <v>8085.0</v>
      </c>
      <c r="J46" s="1">
        <v>7885.0</v>
      </c>
      <c r="K46" s="1">
        <v>8285.0</v>
      </c>
      <c r="L46" s="1">
        <v>33.73</v>
      </c>
      <c r="M46" s="1">
        <v>47.07</v>
      </c>
      <c r="N46" s="1" t="s">
        <v>1104</v>
      </c>
      <c r="O46" s="1" t="s">
        <v>1790</v>
      </c>
      <c r="P46" s="1" t="b">
        <v>1</v>
      </c>
      <c r="Q46" s="30" t="str">
        <f>VLOOKUP(A46,'S8  Newly published datasets'!A:Q,16,FALSE)</f>
        <v>LL071</v>
      </c>
      <c r="S46" s="15"/>
      <c r="T46" s="17"/>
      <c r="U46" s="17"/>
      <c r="V46" s="17"/>
    </row>
    <row r="47">
      <c r="A47" s="1" t="s">
        <v>609</v>
      </c>
      <c r="B47" s="1">
        <v>2.0</v>
      </c>
      <c r="C47" s="1" t="s">
        <v>2661</v>
      </c>
      <c r="D47" s="1" t="s">
        <v>1438</v>
      </c>
      <c r="E47" s="1" t="s">
        <v>1438</v>
      </c>
      <c r="F47" s="1" t="s">
        <v>1439</v>
      </c>
      <c r="G47" s="1" t="s">
        <v>1114</v>
      </c>
      <c r="H47" s="1" t="s">
        <v>1114</v>
      </c>
      <c r="I47" s="1">
        <v>7732.0</v>
      </c>
      <c r="J47" s="1">
        <v>7532.0</v>
      </c>
      <c r="K47" s="1">
        <v>7932.0</v>
      </c>
      <c r="L47" s="1">
        <v>33.73</v>
      </c>
      <c r="M47" s="1">
        <v>47.07</v>
      </c>
      <c r="N47" s="1" t="s">
        <v>1104</v>
      </c>
      <c r="O47" s="1" t="s">
        <v>1790</v>
      </c>
      <c r="P47" s="1" t="b">
        <v>1</v>
      </c>
      <c r="Q47" s="30" t="str">
        <f>VLOOKUP(A47,'S8  Newly published datasets'!A:Q,16,FALSE)</f>
        <v>LL072</v>
      </c>
      <c r="S47" s="15"/>
      <c r="T47" s="17"/>
      <c r="U47" s="17"/>
      <c r="V47" s="17"/>
    </row>
    <row r="48">
      <c r="A48" s="1" t="s">
        <v>613</v>
      </c>
      <c r="B48" s="1">
        <v>1.0</v>
      </c>
      <c r="C48" s="1" t="s">
        <v>963</v>
      </c>
      <c r="D48" s="1" t="s">
        <v>121</v>
      </c>
      <c r="E48" s="1" t="s">
        <v>121</v>
      </c>
      <c r="F48" s="1" t="s">
        <v>119</v>
      </c>
      <c r="G48" s="1" t="s">
        <v>1789</v>
      </c>
      <c r="H48" s="1" t="s">
        <v>195</v>
      </c>
      <c r="I48" s="1">
        <v>7732.0</v>
      </c>
      <c r="J48" s="1">
        <v>7532.0</v>
      </c>
      <c r="K48" s="1">
        <v>7932.0</v>
      </c>
      <c r="L48" s="1">
        <v>33.73</v>
      </c>
      <c r="M48" s="1">
        <v>47.07</v>
      </c>
      <c r="N48" s="1" t="s">
        <v>1104</v>
      </c>
      <c r="O48" s="1" t="s">
        <v>1790</v>
      </c>
      <c r="P48" s="1" t="b">
        <v>1</v>
      </c>
      <c r="Q48" s="30" t="str">
        <f>VLOOKUP(A48,'S8  Newly published datasets'!A:Q,16,FALSE)</f>
        <v>LL073</v>
      </c>
      <c r="S48" s="15"/>
      <c r="T48" s="17"/>
      <c r="U48" s="17"/>
      <c r="V48" s="17"/>
    </row>
    <row r="49">
      <c r="A49" s="1" t="s">
        <v>624</v>
      </c>
      <c r="B49" s="1">
        <v>1.0</v>
      </c>
      <c r="C49" s="1" t="s">
        <v>963</v>
      </c>
      <c r="D49" s="1" t="s">
        <v>121</v>
      </c>
      <c r="E49" s="1" t="s">
        <v>121</v>
      </c>
      <c r="F49" s="1" t="s">
        <v>119</v>
      </c>
      <c r="G49" s="1" t="s">
        <v>1114</v>
      </c>
      <c r="H49" s="1" t="s">
        <v>1114</v>
      </c>
      <c r="I49" s="1">
        <v>7732.0</v>
      </c>
      <c r="J49" s="1">
        <v>7532.0</v>
      </c>
      <c r="K49" s="1">
        <v>7932.0</v>
      </c>
      <c r="L49" s="1">
        <v>33.73</v>
      </c>
      <c r="M49" s="1">
        <v>47.07</v>
      </c>
      <c r="N49" s="1" t="s">
        <v>1104</v>
      </c>
      <c r="O49" s="1" t="s">
        <v>1790</v>
      </c>
      <c r="P49" s="1" t="b">
        <v>1</v>
      </c>
      <c r="Q49" s="30" t="str">
        <f>VLOOKUP(A49,'S8  Newly published datasets'!A:Q,16,FALSE)</f>
        <v>LL074</v>
      </c>
      <c r="S49" s="15"/>
      <c r="T49" s="17"/>
      <c r="U49" s="17"/>
      <c r="V49" s="17"/>
    </row>
    <row r="50">
      <c r="A50" s="1" t="s">
        <v>678</v>
      </c>
      <c r="B50" s="1">
        <v>1.0</v>
      </c>
      <c r="C50" s="1" t="s">
        <v>997</v>
      </c>
      <c r="D50" s="1" t="s">
        <v>121</v>
      </c>
      <c r="E50" s="1" t="s">
        <v>121</v>
      </c>
      <c r="F50" s="1" t="s">
        <v>119</v>
      </c>
      <c r="G50" s="1" t="s">
        <v>1783</v>
      </c>
      <c r="H50" s="1" t="s">
        <v>209</v>
      </c>
      <c r="I50" s="1">
        <v>7732.0</v>
      </c>
      <c r="J50" s="1">
        <v>7532.0</v>
      </c>
      <c r="K50" s="1">
        <v>7932.0</v>
      </c>
      <c r="L50" s="1">
        <v>33.73</v>
      </c>
      <c r="M50" s="1">
        <v>47.07</v>
      </c>
      <c r="N50" s="1" t="s">
        <v>1104</v>
      </c>
      <c r="O50" s="1" t="s">
        <v>1790</v>
      </c>
      <c r="P50" s="1" t="b">
        <v>1</v>
      </c>
      <c r="Q50" s="30" t="str">
        <f>VLOOKUP(A50,'S8  Newly published datasets'!A:Q,16,FALSE)</f>
        <v>LL089</v>
      </c>
      <c r="S50" s="15"/>
      <c r="T50" s="17"/>
      <c r="U50" s="17"/>
      <c r="V50" s="17"/>
    </row>
    <row r="51">
      <c r="A51" s="1" t="s">
        <v>750</v>
      </c>
      <c r="B51" s="1">
        <v>1.0</v>
      </c>
      <c r="C51" s="1" t="s">
        <v>963</v>
      </c>
      <c r="D51" s="1" t="s">
        <v>121</v>
      </c>
      <c r="E51" s="1" t="s">
        <v>121</v>
      </c>
      <c r="F51" s="1" t="s">
        <v>119</v>
      </c>
      <c r="G51" s="1" t="s">
        <v>1816</v>
      </c>
      <c r="H51" s="1" t="s">
        <v>195</v>
      </c>
      <c r="I51" s="1">
        <v>7450.0</v>
      </c>
      <c r="J51" s="1">
        <v>7250.0</v>
      </c>
      <c r="K51" s="1">
        <v>7650.0</v>
      </c>
      <c r="L51" s="1">
        <v>33.73</v>
      </c>
      <c r="M51" s="1">
        <v>47.07</v>
      </c>
      <c r="N51" s="1" t="s">
        <v>1104</v>
      </c>
      <c r="O51" s="1" t="s">
        <v>1790</v>
      </c>
      <c r="P51" s="1" t="b">
        <v>1</v>
      </c>
      <c r="Q51" s="30" t="str">
        <f>VLOOKUP(A51,'S8  Newly published datasets'!A:Q,16,FALSE)</f>
        <v>LL108</v>
      </c>
      <c r="S51" s="15"/>
      <c r="T51" s="17"/>
      <c r="U51" s="17"/>
      <c r="V51" s="17"/>
    </row>
    <row r="52">
      <c r="A52" s="1" t="s">
        <v>1218</v>
      </c>
      <c r="B52" s="1">
        <v>1.0</v>
      </c>
      <c r="C52" s="1" t="s">
        <v>1031</v>
      </c>
      <c r="D52" s="1" t="s">
        <v>121</v>
      </c>
      <c r="E52" s="1" t="s">
        <v>121</v>
      </c>
      <c r="F52" s="1" t="s">
        <v>119</v>
      </c>
      <c r="G52" s="1" t="s">
        <v>1823</v>
      </c>
      <c r="H52" s="1" t="s">
        <v>1114</v>
      </c>
      <c r="I52" s="1" t="s">
        <v>1339</v>
      </c>
      <c r="J52" s="1" t="s">
        <v>1339</v>
      </c>
      <c r="K52" s="1" t="s">
        <v>1339</v>
      </c>
      <c r="L52" s="1">
        <v>42.73396243</v>
      </c>
      <c r="M52" s="1">
        <v>44.63367638</v>
      </c>
      <c r="N52" s="1" t="s">
        <v>564</v>
      </c>
      <c r="O52" s="1" t="s">
        <v>1829</v>
      </c>
      <c r="P52" s="1" t="b">
        <v>1</v>
      </c>
      <c r="Q52" s="30" t="str">
        <f>VLOOKUP(A52,'S8  Newly published datasets'!A:Q,16,FALSE)</f>
        <v>LL153</v>
      </c>
      <c r="S52" s="15"/>
      <c r="T52" s="17"/>
      <c r="U52" s="17"/>
      <c r="V52" s="17"/>
    </row>
    <row r="53">
      <c r="A53" s="1" t="s">
        <v>17</v>
      </c>
      <c r="B53" s="1">
        <v>1.0</v>
      </c>
      <c r="C53" s="1" t="s">
        <v>963</v>
      </c>
      <c r="D53" s="1" t="s">
        <v>121</v>
      </c>
      <c r="E53" s="1" t="s">
        <v>121</v>
      </c>
      <c r="F53" s="1" t="s">
        <v>119</v>
      </c>
      <c r="G53" s="1" t="s">
        <v>1832</v>
      </c>
      <c r="H53" s="1" t="s">
        <v>1114</v>
      </c>
      <c r="I53" s="1">
        <v>1899.5</v>
      </c>
      <c r="J53" s="1">
        <v>1750.0</v>
      </c>
      <c r="K53" s="1">
        <v>2049.0</v>
      </c>
      <c r="L53" s="1">
        <v>39.9709361</v>
      </c>
      <c r="M53" s="1">
        <v>64.61849722</v>
      </c>
      <c r="N53" s="1" t="s">
        <v>1461</v>
      </c>
      <c r="O53" s="1" t="s">
        <v>1836</v>
      </c>
      <c r="P53" s="1" t="b">
        <v>1</v>
      </c>
      <c r="Q53" s="30" t="str">
        <f>VLOOKUP(A53,'S8  Newly published datasets'!A:Q,16,FALSE)</f>
        <v>LL157</v>
      </c>
      <c r="S53" s="15"/>
      <c r="T53" s="17"/>
      <c r="U53" s="17"/>
      <c r="V53" s="17"/>
    </row>
    <row r="54">
      <c r="A54" s="1" t="s">
        <v>23</v>
      </c>
      <c r="B54" s="1">
        <v>1.0</v>
      </c>
      <c r="C54" s="1" t="s">
        <v>963</v>
      </c>
      <c r="D54" s="1" t="s">
        <v>1438</v>
      </c>
      <c r="E54" s="1" t="s">
        <v>1438</v>
      </c>
      <c r="F54" s="1" t="s">
        <v>1439</v>
      </c>
      <c r="G54" s="1" t="s">
        <v>1832</v>
      </c>
      <c r="H54" s="1" t="s">
        <v>1114</v>
      </c>
      <c r="I54" s="1">
        <v>899.5</v>
      </c>
      <c r="J54" s="1">
        <v>750.0</v>
      </c>
      <c r="K54" s="1">
        <v>1049.0</v>
      </c>
      <c r="L54" s="1">
        <v>39.7777778</v>
      </c>
      <c r="M54" s="1">
        <v>64.41027778</v>
      </c>
      <c r="N54" s="1" t="s">
        <v>1461</v>
      </c>
      <c r="O54" s="1" t="s">
        <v>1842</v>
      </c>
      <c r="P54" s="1" t="b">
        <v>1</v>
      </c>
      <c r="Q54" s="30" t="str">
        <f>VLOOKUP(A54,'S8  Newly published datasets'!A:Q,16,FALSE)</f>
        <v>LL158</v>
      </c>
      <c r="S54" s="15"/>
      <c r="T54" s="17"/>
      <c r="U54" s="17"/>
      <c r="V54" s="17"/>
    </row>
    <row r="55">
      <c r="A55" s="1" t="s">
        <v>29</v>
      </c>
      <c r="B55" s="1">
        <v>1.0</v>
      </c>
      <c r="C55" s="1" t="s">
        <v>963</v>
      </c>
      <c r="D55" s="1" t="s">
        <v>1687</v>
      </c>
      <c r="E55" s="1" t="s">
        <v>1687</v>
      </c>
      <c r="F55" s="1" t="s">
        <v>1687</v>
      </c>
      <c r="G55" s="1" t="s">
        <v>1843</v>
      </c>
      <c r="H55" s="1" t="s">
        <v>1114</v>
      </c>
      <c r="I55" s="1">
        <v>1149.5</v>
      </c>
      <c r="J55" s="1">
        <v>1050.0</v>
      </c>
      <c r="K55" s="1">
        <v>1249.0</v>
      </c>
      <c r="L55" s="1">
        <v>39.9555917</v>
      </c>
      <c r="M55" s="1">
        <v>67.03751667</v>
      </c>
      <c r="N55" s="1" t="s">
        <v>1461</v>
      </c>
      <c r="O55" s="1" t="s">
        <v>1852</v>
      </c>
      <c r="P55" s="1" t="b">
        <v>1</v>
      </c>
      <c r="Q55" s="30" t="str">
        <f>VLOOKUP(A55,'S8  Newly published datasets'!A:Q,16,FALSE)</f>
        <v>LL159</v>
      </c>
      <c r="S55" s="15"/>
      <c r="T55" s="17"/>
      <c r="U55" s="17"/>
      <c r="V55" s="17"/>
    </row>
    <row r="56">
      <c r="A56" s="1" t="s">
        <v>34</v>
      </c>
      <c r="B56" s="1">
        <v>1.0</v>
      </c>
      <c r="C56" s="1" t="s">
        <v>1031</v>
      </c>
      <c r="D56" s="1" t="s">
        <v>1687</v>
      </c>
      <c r="E56" s="1" t="s">
        <v>1687</v>
      </c>
      <c r="F56" s="1" t="s">
        <v>1687</v>
      </c>
      <c r="G56" s="1" t="s">
        <v>1843</v>
      </c>
      <c r="H56" s="1" t="s">
        <v>1114</v>
      </c>
      <c r="I56" s="1">
        <v>1149.5</v>
      </c>
      <c r="J56" s="1">
        <v>1050.0</v>
      </c>
      <c r="K56" s="1">
        <v>1249.0</v>
      </c>
      <c r="L56" s="1">
        <v>39.9555917</v>
      </c>
      <c r="M56" s="1">
        <v>67.03751667</v>
      </c>
      <c r="N56" s="1" t="s">
        <v>1461</v>
      </c>
      <c r="O56" s="1" t="s">
        <v>1852</v>
      </c>
      <c r="P56" s="1" t="b">
        <v>1</v>
      </c>
      <c r="Q56" s="30" t="str">
        <f>VLOOKUP(A56,'S8  Newly published datasets'!A:Q,16,FALSE)</f>
        <v>LL160</v>
      </c>
      <c r="S56" s="15"/>
      <c r="T56" s="17"/>
      <c r="U56" s="17"/>
      <c r="V56" s="17"/>
    </row>
    <row r="57">
      <c r="A57" s="1" t="s">
        <v>41</v>
      </c>
      <c r="B57" s="1">
        <v>1.0</v>
      </c>
      <c r="C57" s="1" t="s">
        <v>963</v>
      </c>
      <c r="D57" s="1" t="s">
        <v>1438</v>
      </c>
      <c r="E57" s="1" t="s">
        <v>1438</v>
      </c>
      <c r="F57" s="1" t="s">
        <v>1439</v>
      </c>
      <c r="G57" s="1" t="s">
        <v>1860</v>
      </c>
      <c r="H57" s="1" t="s">
        <v>1114</v>
      </c>
      <c r="I57" s="1">
        <v>1499.5</v>
      </c>
      <c r="J57" s="1">
        <v>1350.0</v>
      </c>
      <c r="K57" s="1">
        <v>1649.0</v>
      </c>
      <c r="L57" s="1">
        <v>40.0476333</v>
      </c>
      <c r="M57" s="1">
        <v>64.1564417</v>
      </c>
      <c r="N57" s="1" t="s">
        <v>1461</v>
      </c>
      <c r="O57" s="1" t="s">
        <v>1865</v>
      </c>
      <c r="P57" s="1" t="b">
        <v>1</v>
      </c>
      <c r="Q57" s="30" t="str">
        <f>VLOOKUP(A57,'S8  Newly published datasets'!A:Q,16,FALSE)</f>
        <v>LL161</v>
      </c>
      <c r="S57" s="15"/>
      <c r="T57" s="17"/>
      <c r="U57" s="17"/>
      <c r="V57" s="17"/>
    </row>
    <row r="58">
      <c r="A58" s="1" t="s">
        <v>47</v>
      </c>
      <c r="B58" s="1">
        <v>2.0</v>
      </c>
      <c r="C58" s="1" t="s">
        <v>2661</v>
      </c>
      <c r="D58" s="1" t="s">
        <v>1438</v>
      </c>
      <c r="E58" s="1" t="s">
        <v>1438</v>
      </c>
      <c r="F58" s="1" t="s">
        <v>1439</v>
      </c>
      <c r="G58" s="1" t="s">
        <v>1843</v>
      </c>
      <c r="H58" s="1" t="s">
        <v>1114</v>
      </c>
      <c r="I58" s="1">
        <v>1149.5</v>
      </c>
      <c r="J58" s="1">
        <v>1050.0</v>
      </c>
      <c r="K58" s="1">
        <v>1249.0</v>
      </c>
      <c r="L58" s="1">
        <v>39.9555917</v>
      </c>
      <c r="M58" s="1">
        <v>67.03751667</v>
      </c>
      <c r="N58" s="1" t="s">
        <v>1461</v>
      </c>
      <c r="O58" s="1" t="s">
        <v>1852</v>
      </c>
      <c r="P58" s="1" t="b">
        <v>1</v>
      </c>
      <c r="Q58" s="30" t="str">
        <f>VLOOKUP(A58,'S8  Newly published datasets'!A:Q,16,FALSE)</f>
        <v>LL163</v>
      </c>
      <c r="S58" s="15"/>
      <c r="T58" s="17"/>
      <c r="U58" s="17"/>
      <c r="V58" s="17"/>
    </row>
    <row r="59">
      <c r="A59" s="1" t="s">
        <v>1052</v>
      </c>
      <c r="B59" s="1">
        <v>1.0</v>
      </c>
      <c r="C59" s="1" t="s">
        <v>1093</v>
      </c>
      <c r="D59" s="1" t="s">
        <v>1687</v>
      </c>
      <c r="E59" s="1" t="s">
        <v>1687</v>
      </c>
      <c r="F59" s="1" t="s">
        <v>1687</v>
      </c>
      <c r="G59" s="1" t="s">
        <v>1881</v>
      </c>
      <c r="H59" s="1" t="s">
        <v>209</v>
      </c>
      <c r="I59" s="1">
        <v>9250.0</v>
      </c>
      <c r="J59" s="1">
        <v>9000.0</v>
      </c>
      <c r="K59" s="1">
        <v>9500.0</v>
      </c>
      <c r="L59" s="1">
        <v>32.56107143</v>
      </c>
      <c r="M59" s="1">
        <v>47.32417111</v>
      </c>
      <c r="N59" s="1" t="s">
        <v>1104</v>
      </c>
      <c r="O59" s="1" t="s">
        <v>1886</v>
      </c>
      <c r="P59" s="1" t="b">
        <v>1</v>
      </c>
      <c r="Q59" s="30" t="str">
        <f>VLOOKUP(A59,'S8  Newly published datasets'!A:Q,16,FALSE)</f>
        <v>KD416</v>
      </c>
      <c r="S59" s="15"/>
      <c r="T59" s="17"/>
      <c r="U59" s="17"/>
      <c r="V59" s="17"/>
    </row>
    <row r="60">
      <c r="A60" s="1" t="s">
        <v>1371</v>
      </c>
      <c r="B60" s="1">
        <v>1.0</v>
      </c>
      <c r="C60" s="1" t="s">
        <v>306</v>
      </c>
      <c r="D60" s="1" t="s">
        <v>121</v>
      </c>
      <c r="E60" s="1" t="s">
        <v>121</v>
      </c>
      <c r="F60" s="1" t="s">
        <v>119</v>
      </c>
      <c r="G60" s="1" t="s">
        <v>197</v>
      </c>
      <c r="H60" s="1" t="s">
        <v>195</v>
      </c>
      <c r="I60" s="1">
        <v>6950.0</v>
      </c>
      <c r="J60" s="1">
        <v>6850.0</v>
      </c>
      <c r="K60" s="1">
        <v>7050.0</v>
      </c>
      <c r="L60" s="1">
        <v>49.43146742</v>
      </c>
      <c r="M60" s="1">
        <v>4.004877237</v>
      </c>
      <c r="N60" s="1" t="s">
        <v>1230</v>
      </c>
      <c r="O60" s="1" t="s">
        <v>1374</v>
      </c>
      <c r="P60" s="1" t="b">
        <v>1</v>
      </c>
      <c r="Q60" s="30" t="str">
        <f>VLOOKUP(A60,'S8  Newly published datasets'!A:Q,16,FALSE)</f>
        <v>#N/A</v>
      </c>
      <c r="S60" s="15"/>
      <c r="T60" s="17"/>
      <c r="U60" s="17"/>
      <c r="V60" s="17"/>
    </row>
    <row r="61">
      <c r="A61" s="1" t="s">
        <v>1007</v>
      </c>
      <c r="B61" s="1">
        <v>1.0</v>
      </c>
      <c r="C61" s="1" t="s">
        <v>63</v>
      </c>
      <c r="D61" s="1" t="s">
        <v>121</v>
      </c>
      <c r="E61" s="1" t="s">
        <v>121</v>
      </c>
      <c r="F61" s="1" t="s">
        <v>119</v>
      </c>
      <c r="G61" s="1" t="s">
        <v>197</v>
      </c>
      <c r="H61" s="1" t="s">
        <v>195</v>
      </c>
      <c r="I61" s="1">
        <v>7883.0</v>
      </c>
      <c r="J61" s="1">
        <v>7792.0</v>
      </c>
      <c r="K61" s="1">
        <v>7974.0</v>
      </c>
      <c r="L61" s="1">
        <v>40.277153</v>
      </c>
      <c r="M61" s="1">
        <v>29.52368</v>
      </c>
      <c r="N61" s="1" t="s">
        <v>213</v>
      </c>
      <c r="O61" s="1" t="s">
        <v>1001</v>
      </c>
      <c r="P61" s="1" t="b">
        <v>1</v>
      </c>
      <c r="Q61" s="30" t="str">
        <f>VLOOKUP(A61,'S8  Newly published datasets'!A:Q,16,FALSE)</f>
        <v>#N/A</v>
      </c>
      <c r="S61" s="15"/>
      <c r="T61" s="17"/>
      <c r="U61" s="17"/>
      <c r="V61" s="17"/>
    </row>
    <row r="62">
      <c r="A62" s="1" t="s">
        <v>1900</v>
      </c>
      <c r="B62" s="1">
        <v>1.0</v>
      </c>
      <c r="C62" s="1" t="s">
        <v>997</v>
      </c>
      <c r="D62" s="1" t="s">
        <v>1438</v>
      </c>
      <c r="E62" s="1" t="s">
        <v>1438</v>
      </c>
      <c r="F62" s="1" t="s">
        <v>1439</v>
      </c>
      <c r="G62" s="1" t="s">
        <v>1904</v>
      </c>
      <c r="H62" s="1" t="s">
        <v>195</v>
      </c>
      <c r="I62" s="1">
        <v>6750.0</v>
      </c>
      <c r="J62" s="1">
        <v>6450.0</v>
      </c>
      <c r="K62" s="1">
        <v>7050.0</v>
      </c>
      <c r="L62" s="1">
        <v>36.8485</v>
      </c>
      <c r="M62" s="1">
        <v>60.4181</v>
      </c>
      <c r="N62" s="1" t="s">
        <v>1764</v>
      </c>
      <c r="O62" s="1" t="s">
        <v>1908</v>
      </c>
      <c r="P62" s="1" t="b">
        <v>1</v>
      </c>
      <c r="Q62" s="30" t="str">
        <f>VLOOKUP(A62,'S8  Newly published datasets'!A:Q,16,FALSE)</f>
        <v>#N/A</v>
      </c>
      <c r="S62" s="15"/>
      <c r="T62" s="15"/>
      <c r="U62" s="15"/>
      <c r="V62" s="15"/>
    </row>
    <row r="63">
      <c r="A63" s="1" t="s">
        <v>1910</v>
      </c>
      <c r="B63" s="1">
        <v>3.0</v>
      </c>
      <c r="C63" s="1" t="s">
        <v>2898</v>
      </c>
      <c r="D63" s="1" t="s">
        <v>1438</v>
      </c>
      <c r="E63" s="1" t="s">
        <v>1438</v>
      </c>
      <c r="F63" s="1" t="s">
        <v>1439</v>
      </c>
      <c r="G63" s="1" t="s">
        <v>115</v>
      </c>
      <c r="H63" s="1" t="s">
        <v>113</v>
      </c>
      <c r="I63" s="1">
        <v>7100.0</v>
      </c>
      <c r="J63" s="1">
        <v>7008.0</v>
      </c>
      <c r="K63" s="1">
        <v>7246.0</v>
      </c>
      <c r="L63" s="1">
        <v>36.80515232</v>
      </c>
      <c r="M63" s="1">
        <v>-3.188112529</v>
      </c>
      <c r="N63" s="1" t="s">
        <v>1116</v>
      </c>
      <c r="O63" s="1" t="s">
        <v>1917</v>
      </c>
      <c r="P63" s="1" t="b">
        <v>1</v>
      </c>
      <c r="Q63" s="30" t="str">
        <f>VLOOKUP(A63,'S8  Newly published datasets'!A:Q,16,FALSE)</f>
        <v>#N/A</v>
      </c>
      <c r="S63" s="15"/>
      <c r="T63" s="17"/>
      <c r="U63" s="17"/>
      <c r="V63" s="17"/>
    </row>
    <row r="64">
      <c r="A64" s="1" t="s">
        <v>166</v>
      </c>
      <c r="B64" s="1">
        <v>1.0</v>
      </c>
      <c r="C64" s="1" t="s">
        <v>997</v>
      </c>
      <c r="D64" s="1" t="s">
        <v>121</v>
      </c>
      <c r="E64" s="1" t="s">
        <v>121</v>
      </c>
      <c r="F64" s="1" t="s">
        <v>119</v>
      </c>
      <c r="G64" s="1" t="s">
        <v>115</v>
      </c>
      <c r="H64" s="1" t="s">
        <v>113</v>
      </c>
      <c r="I64" s="1">
        <v>5177.5</v>
      </c>
      <c r="J64" s="1">
        <v>5055.0</v>
      </c>
      <c r="K64" s="1">
        <v>5300.0</v>
      </c>
      <c r="L64" s="1">
        <v>46.7794238451809</v>
      </c>
      <c r="M64" s="1">
        <v>10.8396846364129</v>
      </c>
      <c r="N64" s="1" t="s">
        <v>128</v>
      </c>
      <c r="O64" s="1" t="s">
        <v>131</v>
      </c>
      <c r="P64" s="1" t="b">
        <v>1</v>
      </c>
      <c r="Q64" s="30" t="str">
        <f>VLOOKUP(A64,'S8  Newly published datasets'!A:Q,16,FALSE)</f>
        <v>#N/A</v>
      </c>
      <c r="S64" s="15"/>
      <c r="T64" s="17"/>
      <c r="U64" s="17"/>
      <c r="V64" s="17"/>
    </row>
    <row r="65">
      <c r="A65" s="1" t="s">
        <v>1939</v>
      </c>
      <c r="B65" s="1">
        <v>1.0</v>
      </c>
      <c r="C65" s="1" t="s">
        <v>306</v>
      </c>
      <c r="D65" s="1" t="s">
        <v>1438</v>
      </c>
      <c r="E65" s="1" t="s">
        <v>1438</v>
      </c>
      <c r="F65" s="1" t="s">
        <v>1439</v>
      </c>
      <c r="G65" s="1" t="s">
        <v>1484</v>
      </c>
      <c r="H65" s="1" t="s">
        <v>195</v>
      </c>
      <c r="I65" s="1">
        <v>2900.0</v>
      </c>
      <c r="J65" s="1">
        <v>2600.0</v>
      </c>
      <c r="K65" s="1">
        <v>3200.0</v>
      </c>
      <c r="L65" s="1">
        <v>51.324387</v>
      </c>
      <c r="M65" s="1">
        <v>-2.008906</v>
      </c>
      <c r="N65" s="1" t="s">
        <v>804</v>
      </c>
      <c r="O65" s="1" t="s">
        <v>1945</v>
      </c>
      <c r="P65" s="1" t="b">
        <v>1</v>
      </c>
      <c r="Q65" s="30" t="str">
        <f>VLOOKUP(A65,'S8  Newly published datasets'!A:Q,16,FALSE)</f>
        <v>#N/A</v>
      </c>
      <c r="S65" s="15"/>
      <c r="T65" s="17"/>
      <c r="U65" s="17"/>
      <c r="V65" s="17"/>
    </row>
    <row r="66">
      <c r="A66" s="1" t="s">
        <v>1487</v>
      </c>
      <c r="B66" s="1">
        <v>1.0</v>
      </c>
      <c r="C66" s="1" t="s">
        <v>997</v>
      </c>
      <c r="D66" s="1" t="s">
        <v>121</v>
      </c>
      <c r="E66" s="1" t="s">
        <v>121</v>
      </c>
      <c r="F66" s="1" t="s">
        <v>119</v>
      </c>
      <c r="G66" s="1" t="s">
        <v>197</v>
      </c>
      <c r="H66" s="1" t="s">
        <v>195</v>
      </c>
      <c r="I66" s="1">
        <v>4282.0</v>
      </c>
      <c r="J66" s="1">
        <v>4158.0</v>
      </c>
      <c r="K66" s="1">
        <v>4406.0</v>
      </c>
      <c r="L66" s="1">
        <v>36.6554022</v>
      </c>
      <c r="M66" s="1">
        <v>49.0400499</v>
      </c>
      <c r="N66" s="1" t="s">
        <v>1104</v>
      </c>
      <c r="O66" s="1" t="s">
        <v>1492</v>
      </c>
      <c r="P66" s="1" t="b">
        <v>1</v>
      </c>
      <c r="Q66" s="30" t="str">
        <f>VLOOKUP(A66,'S8  Newly published datasets'!A:Q,16,FALSE)</f>
        <v>#N/A</v>
      </c>
      <c r="S66" s="15"/>
      <c r="T66" s="17"/>
      <c r="U66" s="17"/>
      <c r="V66" s="17"/>
    </row>
    <row r="67">
      <c r="A67" s="1" t="s">
        <v>1951</v>
      </c>
      <c r="B67" s="1">
        <v>1.0</v>
      </c>
      <c r="C67" s="1" t="s">
        <v>163</v>
      </c>
      <c r="D67" s="1" t="s">
        <v>121</v>
      </c>
      <c r="E67" s="1" t="s">
        <v>121</v>
      </c>
      <c r="F67" s="1" t="s">
        <v>119</v>
      </c>
      <c r="G67" s="1" t="s">
        <v>1955</v>
      </c>
      <c r="H67" s="1" t="s">
        <v>1114</v>
      </c>
      <c r="I67" s="1">
        <v>177.0</v>
      </c>
      <c r="J67" s="1">
        <v>292.0</v>
      </c>
      <c r="K67" s="1">
        <v>62.0</v>
      </c>
      <c r="L67" s="1">
        <v>49.043</v>
      </c>
      <c r="M67" s="1">
        <v>2.5063</v>
      </c>
      <c r="N67" s="1" t="s">
        <v>1230</v>
      </c>
      <c r="O67" s="1" t="s">
        <v>1961</v>
      </c>
      <c r="P67" s="1" t="b">
        <v>1</v>
      </c>
      <c r="Q67" s="30" t="str">
        <f>VLOOKUP(A67,'S8  Newly published datasets'!A:Q,16,FALSE)</f>
        <v>#N/A</v>
      </c>
      <c r="S67" s="15"/>
      <c r="T67" s="17"/>
      <c r="U67" s="17"/>
      <c r="V67" s="17"/>
    </row>
    <row r="68">
      <c r="A68" s="1" t="s">
        <v>1963</v>
      </c>
      <c r="B68" s="1">
        <v>3.0</v>
      </c>
      <c r="C68" s="1" t="s">
        <v>2938</v>
      </c>
      <c r="D68" s="1" t="s">
        <v>121</v>
      </c>
      <c r="E68" s="1" t="s">
        <v>121</v>
      </c>
      <c r="F68" s="1" t="s">
        <v>119</v>
      </c>
      <c r="G68" s="1" t="s">
        <v>1114</v>
      </c>
      <c r="H68" s="1" t="s">
        <v>1114</v>
      </c>
      <c r="I68" s="1">
        <v>177.0</v>
      </c>
      <c r="J68" s="1">
        <v>62.0</v>
      </c>
      <c r="K68" s="1">
        <v>292.0</v>
      </c>
      <c r="L68" s="1">
        <v>49.043</v>
      </c>
      <c r="M68" s="1">
        <v>2.5063</v>
      </c>
      <c r="N68" s="1" t="s">
        <v>1230</v>
      </c>
      <c r="O68" s="1" t="s">
        <v>2941</v>
      </c>
      <c r="P68" s="1" t="b">
        <v>1</v>
      </c>
      <c r="Q68" s="30" t="str">
        <f>VLOOKUP(A68,'S8  Newly published datasets'!A:Q,16,FALSE)</f>
        <v>#N/A</v>
      </c>
      <c r="S68" s="15"/>
      <c r="T68" s="17"/>
      <c r="U68" s="17"/>
      <c r="V68" s="17"/>
    </row>
    <row r="69">
      <c r="A69" s="1" t="s">
        <v>1988</v>
      </c>
      <c r="B69" s="1">
        <v>1.0</v>
      </c>
      <c r="C69" s="1" t="s">
        <v>1015</v>
      </c>
      <c r="D69" s="1" t="s">
        <v>121</v>
      </c>
      <c r="E69" s="1" t="s">
        <v>121</v>
      </c>
      <c r="F69" s="1" t="s">
        <v>119</v>
      </c>
      <c r="G69" s="1" t="s">
        <v>1955</v>
      </c>
      <c r="H69" s="1" t="s">
        <v>1114</v>
      </c>
      <c r="I69" s="1">
        <v>177.0</v>
      </c>
      <c r="J69" s="1">
        <v>292.0</v>
      </c>
      <c r="K69" s="1">
        <v>62.0</v>
      </c>
      <c r="L69" s="1">
        <v>49.043</v>
      </c>
      <c r="M69" s="1">
        <v>2.5063</v>
      </c>
      <c r="N69" s="1" t="s">
        <v>1230</v>
      </c>
      <c r="O69" s="1" t="s">
        <v>1961</v>
      </c>
      <c r="P69" s="1" t="b">
        <v>1</v>
      </c>
      <c r="Q69" s="30" t="str">
        <f>VLOOKUP(A69,'S8  Newly published datasets'!A:Q,16,FALSE)</f>
        <v>#N/A</v>
      </c>
      <c r="S69" s="15"/>
      <c r="T69" s="17"/>
      <c r="U69" s="17"/>
      <c r="V69" s="17"/>
    </row>
    <row r="70">
      <c r="A70" s="1" t="s">
        <v>1994</v>
      </c>
      <c r="B70" s="1">
        <v>1.0</v>
      </c>
      <c r="C70" s="1" t="s">
        <v>1015</v>
      </c>
      <c r="D70" s="1" t="s">
        <v>121</v>
      </c>
      <c r="E70" s="1" t="s">
        <v>121</v>
      </c>
      <c r="F70" s="1" t="s">
        <v>119</v>
      </c>
      <c r="G70" s="1" t="s">
        <v>1955</v>
      </c>
      <c r="H70" s="1" t="s">
        <v>1114</v>
      </c>
      <c r="I70" s="1">
        <v>177.0</v>
      </c>
      <c r="J70" s="1">
        <v>292.0</v>
      </c>
      <c r="K70" s="1">
        <v>62.0</v>
      </c>
      <c r="L70" s="1">
        <v>49.043</v>
      </c>
      <c r="M70" s="1">
        <v>2.5063</v>
      </c>
      <c r="N70" s="1" t="s">
        <v>1230</v>
      </c>
      <c r="O70" s="1" t="s">
        <v>1961</v>
      </c>
      <c r="P70" s="1" t="b">
        <v>1</v>
      </c>
      <c r="Q70" s="30" t="str">
        <f>VLOOKUP(A70,'S8  Newly published datasets'!A:Q,16,FALSE)</f>
        <v>#N/A</v>
      </c>
      <c r="S70" s="15"/>
      <c r="T70" s="17"/>
      <c r="U70" s="17"/>
      <c r="V70" s="17"/>
    </row>
    <row r="71">
      <c r="A71" s="1" t="s">
        <v>2000</v>
      </c>
      <c r="B71" s="1">
        <v>2.0</v>
      </c>
      <c r="C71" s="1" t="s">
        <v>2972</v>
      </c>
      <c r="D71" s="1" t="s">
        <v>121</v>
      </c>
      <c r="E71" s="1" t="s">
        <v>121</v>
      </c>
      <c r="F71" s="1" t="s">
        <v>119</v>
      </c>
      <c r="G71" s="1" t="s">
        <v>1114</v>
      </c>
      <c r="H71" s="1" t="s">
        <v>1114</v>
      </c>
      <c r="I71" s="1">
        <v>177.0</v>
      </c>
      <c r="J71" s="1">
        <v>62.0</v>
      </c>
      <c r="K71" s="1">
        <v>292.0</v>
      </c>
      <c r="L71" s="1">
        <v>49.043</v>
      </c>
      <c r="M71" s="1">
        <v>2.5063</v>
      </c>
      <c r="N71" s="1" t="s">
        <v>1230</v>
      </c>
      <c r="O71" s="1" t="s">
        <v>2941</v>
      </c>
      <c r="P71" s="1" t="b">
        <v>1</v>
      </c>
      <c r="Q71" s="30" t="str">
        <f>VLOOKUP(A71,'S8  Newly published datasets'!A:Q,16,FALSE)</f>
        <v>#N/A</v>
      </c>
      <c r="S71" s="15"/>
      <c r="T71" s="17"/>
      <c r="U71" s="17"/>
      <c r="V71" s="17"/>
    </row>
    <row r="72">
      <c r="A72" s="1" t="s">
        <v>2010</v>
      </c>
      <c r="B72" s="1">
        <v>1.0</v>
      </c>
      <c r="C72" s="1" t="s">
        <v>306</v>
      </c>
      <c r="D72" s="1" t="s">
        <v>1390</v>
      </c>
      <c r="E72" s="1" t="s">
        <v>1390</v>
      </c>
      <c r="F72" s="1" t="s">
        <v>1413</v>
      </c>
      <c r="G72" s="1" t="s">
        <v>2013</v>
      </c>
      <c r="H72" s="1" t="s">
        <v>1240</v>
      </c>
      <c r="I72" s="1">
        <v>4637.0</v>
      </c>
      <c r="J72" s="1">
        <v>5307.0</v>
      </c>
      <c r="K72" s="1">
        <v>5465.0</v>
      </c>
      <c r="L72" s="1">
        <v>54.145</v>
      </c>
      <c r="M72" s="1">
        <v>69.194</v>
      </c>
      <c r="N72" s="1" t="s">
        <v>2018</v>
      </c>
      <c r="O72" s="1" t="s">
        <v>2019</v>
      </c>
      <c r="P72" s="1" t="b">
        <v>1</v>
      </c>
      <c r="Q72" s="30" t="str">
        <f>VLOOKUP(A72,'S8  Newly published datasets'!A:Q,16,FALSE)</f>
        <v>#N/A</v>
      </c>
      <c r="S72" s="15"/>
      <c r="T72" s="17"/>
      <c r="U72" s="17"/>
      <c r="V72" s="17"/>
    </row>
    <row r="73">
      <c r="A73" s="1" t="s">
        <v>2020</v>
      </c>
      <c r="B73" s="1">
        <v>1.0</v>
      </c>
      <c r="C73" s="1" t="s">
        <v>1093</v>
      </c>
      <c r="D73" s="1" t="s">
        <v>1390</v>
      </c>
      <c r="E73" s="1" t="s">
        <v>1390</v>
      </c>
      <c r="F73" s="1" t="s">
        <v>1392</v>
      </c>
      <c r="G73" s="1" t="s">
        <v>1209</v>
      </c>
      <c r="H73" s="1" t="s">
        <v>1209</v>
      </c>
      <c r="I73" s="1">
        <v>1500.0</v>
      </c>
      <c r="J73" s="1" t="s">
        <v>1339</v>
      </c>
      <c r="K73" s="1">
        <v>1549.0</v>
      </c>
      <c r="L73" s="1">
        <v>35.87</v>
      </c>
      <c r="M73" s="1">
        <v>8.79</v>
      </c>
      <c r="N73" s="1" t="s">
        <v>2031</v>
      </c>
      <c r="O73" s="1" t="s">
        <v>2033</v>
      </c>
      <c r="P73" s="1" t="b">
        <v>1</v>
      </c>
      <c r="Q73" s="30" t="str">
        <f>VLOOKUP(A73,'S8  Newly published datasets'!A:Q,16,FALSE)</f>
        <v>#N/A</v>
      </c>
      <c r="S73" s="15"/>
      <c r="T73" s="17"/>
      <c r="U73" s="17"/>
      <c r="V73" s="17"/>
    </row>
    <row r="74">
      <c r="A74" s="1" t="s">
        <v>2036</v>
      </c>
      <c r="B74" s="1">
        <v>1.0</v>
      </c>
      <c r="C74" s="1" t="s">
        <v>1031</v>
      </c>
      <c r="D74" s="1" t="s">
        <v>1390</v>
      </c>
      <c r="E74" s="1" t="s">
        <v>1390</v>
      </c>
      <c r="F74" s="1" t="s">
        <v>1392</v>
      </c>
      <c r="G74" s="1" t="s">
        <v>2040</v>
      </c>
      <c r="H74" s="1" t="s">
        <v>1114</v>
      </c>
      <c r="I74" s="1">
        <v>3538.0</v>
      </c>
      <c r="J74" s="1">
        <v>3698.0</v>
      </c>
      <c r="K74" s="1">
        <v>3909.0</v>
      </c>
      <c r="L74" s="1">
        <v>51.721</v>
      </c>
      <c r="M74" s="1">
        <v>74.644</v>
      </c>
      <c r="N74" s="1" t="s">
        <v>2018</v>
      </c>
      <c r="O74" s="1" t="s">
        <v>2045</v>
      </c>
      <c r="P74" s="1" t="b">
        <v>1</v>
      </c>
      <c r="Q74" s="30" t="str">
        <f>VLOOKUP(A74,'S8  Newly published datasets'!A:Q,16,FALSE)</f>
        <v>#N/A</v>
      </c>
      <c r="S74" s="15"/>
      <c r="T74" s="17"/>
      <c r="U74" s="17"/>
      <c r="V74" s="17"/>
    </row>
    <row r="75">
      <c r="A75" s="1" t="s">
        <v>2047</v>
      </c>
      <c r="B75" s="1">
        <v>1.0</v>
      </c>
      <c r="C75" s="1" t="s">
        <v>1031</v>
      </c>
      <c r="D75" s="1" t="s">
        <v>1390</v>
      </c>
      <c r="E75" s="1" t="s">
        <v>1390</v>
      </c>
      <c r="F75" s="1" t="s">
        <v>1392</v>
      </c>
      <c r="G75" s="1" t="s">
        <v>1209</v>
      </c>
      <c r="H75" s="1" t="s">
        <v>1209</v>
      </c>
      <c r="I75" s="1">
        <v>3879.0</v>
      </c>
      <c r="J75" s="1" t="s">
        <v>1339</v>
      </c>
      <c r="K75" s="1" t="s">
        <v>1339</v>
      </c>
      <c r="L75" s="1">
        <v>38.33</v>
      </c>
      <c r="M75" s="1">
        <v>109.83</v>
      </c>
      <c r="N75" s="1" t="s">
        <v>2051</v>
      </c>
      <c r="O75" s="1" t="s">
        <v>2053</v>
      </c>
      <c r="P75" s="1" t="b">
        <v>1</v>
      </c>
      <c r="Q75" s="30" t="str">
        <f>VLOOKUP(A75,'S8  Newly published datasets'!A:Q,16,FALSE)</f>
        <v>#N/A</v>
      </c>
      <c r="S75" s="15"/>
      <c r="T75" s="17"/>
      <c r="U75" s="17"/>
      <c r="V75" s="17"/>
    </row>
    <row r="76">
      <c r="A76" s="1" t="s">
        <v>2055</v>
      </c>
      <c r="B76" s="1">
        <v>1.0</v>
      </c>
      <c r="C76" s="1" t="s">
        <v>1031</v>
      </c>
      <c r="D76" s="1" t="s">
        <v>1390</v>
      </c>
      <c r="E76" s="1" t="s">
        <v>1390</v>
      </c>
      <c r="F76" s="1" t="s">
        <v>1392</v>
      </c>
      <c r="G76" s="1" t="s">
        <v>1209</v>
      </c>
      <c r="H76" s="1" t="s">
        <v>1209</v>
      </c>
      <c r="I76" s="1">
        <v>3879.0</v>
      </c>
      <c r="J76" s="1" t="s">
        <v>1339</v>
      </c>
      <c r="K76" s="1" t="s">
        <v>1339</v>
      </c>
      <c r="L76" s="1">
        <v>38.33</v>
      </c>
      <c r="M76" s="1">
        <v>109.83</v>
      </c>
      <c r="N76" s="1" t="s">
        <v>2051</v>
      </c>
      <c r="O76" s="1" t="s">
        <v>2053</v>
      </c>
      <c r="P76" s="1" t="b">
        <v>1</v>
      </c>
      <c r="Q76" s="30" t="str">
        <f>VLOOKUP(A76,'S8  Newly published datasets'!A:Q,16,FALSE)</f>
        <v>#N/A</v>
      </c>
      <c r="S76" s="15"/>
      <c r="T76" s="17"/>
      <c r="U76" s="17"/>
      <c r="V76" s="17"/>
    </row>
    <row r="77">
      <c r="A77" s="1" t="s">
        <v>2062</v>
      </c>
      <c r="B77" s="1">
        <v>1.0</v>
      </c>
      <c r="C77" s="1" t="s">
        <v>1031</v>
      </c>
      <c r="D77" s="1" t="s">
        <v>1438</v>
      </c>
      <c r="E77" s="1" t="s">
        <v>1438</v>
      </c>
      <c r="F77" s="1" t="s">
        <v>1513</v>
      </c>
      <c r="G77" s="1" t="s">
        <v>1115</v>
      </c>
      <c r="H77" s="1" t="s">
        <v>1114</v>
      </c>
      <c r="I77" s="1">
        <v>-24.0</v>
      </c>
      <c r="J77" s="1">
        <v>-24.0</v>
      </c>
      <c r="K77" s="1">
        <v>-4.0</v>
      </c>
      <c r="L77" s="1">
        <v>48.504</v>
      </c>
      <c r="M77" s="1">
        <v>2.2136</v>
      </c>
      <c r="N77" s="1" t="s">
        <v>1209</v>
      </c>
      <c r="O77" s="1" t="s">
        <v>1519</v>
      </c>
      <c r="P77" s="1" t="b">
        <v>1</v>
      </c>
      <c r="Q77" s="30" t="str">
        <f>VLOOKUP(A77,'S8  Newly published datasets'!A:Q,16,FALSE)</f>
        <v>#N/A</v>
      </c>
      <c r="S77" s="15"/>
      <c r="T77" s="17"/>
      <c r="U77" s="17"/>
      <c r="V77" s="17"/>
    </row>
    <row r="78">
      <c r="A78" s="1" t="s">
        <v>2070</v>
      </c>
      <c r="B78" s="1">
        <v>1.0</v>
      </c>
      <c r="C78" s="1" t="s">
        <v>306</v>
      </c>
      <c r="D78" s="1" t="s">
        <v>1315</v>
      </c>
      <c r="E78" s="1" t="s">
        <v>1315</v>
      </c>
      <c r="F78" s="1" t="s">
        <v>1316</v>
      </c>
      <c r="G78" s="1" t="s">
        <v>1209</v>
      </c>
      <c r="H78" s="1" t="s">
        <v>1209</v>
      </c>
      <c r="I78" s="1">
        <v>6500.0</v>
      </c>
      <c r="J78" s="1" t="s">
        <v>1339</v>
      </c>
      <c r="K78" s="1" t="s">
        <v>1339</v>
      </c>
      <c r="L78" s="1">
        <v>51.1133</v>
      </c>
      <c r="M78" s="1">
        <v>1.4703</v>
      </c>
      <c r="N78" s="1" t="s">
        <v>804</v>
      </c>
      <c r="O78" s="1" t="s">
        <v>2075</v>
      </c>
      <c r="P78" s="1" t="b">
        <v>1</v>
      </c>
      <c r="Q78" s="30" t="str">
        <f>VLOOKUP(A78,'S8  Newly published datasets'!A:Q,16,FALSE)</f>
        <v>#N/A</v>
      </c>
      <c r="S78" s="15"/>
      <c r="T78" s="17"/>
      <c r="U78" s="17"/>
      <c r="V78" s="17"/>
    </row>
    <row r="79">
      <c r="A79" s="1" t="s">
        <v>2078</v>
      </c>
      <c r="B79" s="1">
        <v>1.0</v>
      </c>
      <c r="C79" s="1" t="s">
        <v>306</v>
      </c>
      <c r="D79" s="1" t="s">
        <v>1390</v>
      </c>
      <c r="E79" s="1" t="s">
        <v>1390</v>
      </c>
      <c r="F79" s="1" t="s">
        <v>1413</v>
      </c>
      <c r="G79" s="1" t="s">
        <v>1414</v>
      </c>
      <c r="H79" s="1" t="s">
        <v>195</v>
      </c>
      <c r="I79" s="1">
        <v>6580.0</v>
      </c>
      <c r="J79" s="1">
        <v>7426.0</v>
      </c>
      <c r="K79" s="1">
        <v>7567.0</v>
      </c>
      <c r="L79" s="1">
        <v>51.63</v>
      </c>
      <c r="M79" s="1">
        <v>49.666</v>
      </c>
      <c r="N79" s="1" t="s">
        <v>1244</v>
      </c>
      <c r="O79" s="1" t="s">
        <v>2082</v>
      </c>
      <c r="P79" s="1" t="b">
        <v>1</v>
      </c>
      <c r="Q79" s="30" t="str">
        <f>VLOOKUP(A79,'S8  Newly published datasets'!A:Q,16,FALSE)</f>
        <v>#N/A</v>
      </c>
      <c r="S79" s="15"/>
      <c r="T79" s="17"/>
      <c r="U79" s="17"/>
      <c r="V79" s="17"/>
    </row>
    <row r="80">
      <c r="A80" s="1" t="s">
        <v>2084</v>
      </c>
      <c r="B80" s="1">
        <v>1.0</v>
      </c>
      <c r="C80" s="1" t="s">
        <v>623</v>
      </c>
      <c r="D80" s="1" t="s">
        <v>1390</v>
      </c>
      <c r="E80" s="1" t="s">
        <v>1390</v>
      </c>
      <c r="F80" s="1" t="s">
        <v>1413</v>
      </c>
      <c r="G80" s="1" t="s">
        <v>1414</v>
      </c>
      <c r="H80" s="1" t="s">
        <v>195</v>
      </c>
      <c r="I80" s="1">
        <v>5266.0</v>
      </c>
      <c r="J80" s="1">
        <v>5932.0</v>
      </c>
      <c r="K80" s="1">
        <v>6184.0</v>
      </c>
      <c r="L80" s="1">
        <v>42.973</v>
      </c>
      <c r="M80" s="1">
        <v>24.118</v>
      </c>
      <c r="N80" s="1" t="s">
        <v>479</v>
      </c>
      <c r="O80" s="1" t="s">
        <v>2091</v>
      </c>
      <c r="P80" s="1" t="b">
        <v>1</v>
      </c>
      <c r="Q80" s="30" t="str">
        <f>VLOOKUP(A80,'S8  Newly published datasets'!A:Q,16,FALSE)</f>
        <v>#N/A</v>
      </c>
      <c r="S80" s="15"/>
      <c r="T80" s="15"/>
      <c r="U80" s="15"/>
      <c r="V80" s="15"/>
    </row>
    <row r="81">
      <c r="A81" s="1" t="s">
        <v>2093</v>
      </c>
      <c r="B81" s="1">
        <v>2.0</v>
      </c>
      <c r="C81" s="1" t="s">
        <v>3068</v>
      </c>
      <c r="D81" s="1" t="s">
        <v>1438</v>
      </c>
      <c r="E81" s="1" t="s">
        <v>1438</v>
      </c>
      <c r="F81" s="1" t="s">
        <v>2095</v>
      </c>
      <c r="G81" s="1" t="s">
        <v>1115</v>
      </c>
      <c r="H81" s="1" t="s">
        <v>1114</v>
      </c>
      <c r="I81" s="1">
        <v>0.0</v>
      </c>
      <c r="J81" s="1">
        <v>-20.0</v>
      </c>
      <c r="K81" s="1">
        <v>20.0</v>
      </c>
      <c r="L81" s="1">
        <v>48.504</v>
      </c>
      <c r="M81" s="1">
        <v>2.2136</v>
      </c>
      <c r="N81" s="1" t="s">
        <v>1209</v>
      </c>
      <c r="O81" s="1" t="s">
        <v>1519</v>
      </c>
      <c r="P81" s="1" t="b">
        <v>1</v>
      </c>
      <c r="Q81" s="30" t="str">
        <f>VLOOKUP(A81,'S8  Newly published datasets'!A:Q,16,FALSE)</f>
        <v>#N/A</v>
      </c>
      <c r="S81" s="15"/>
      <c r="T81" s="15"/>
      <c r="U81" s="15"/>
      <c r="V81" s="15"/>
    </row>
    <row r="82">
      <c r="A82" s="1" t="s">
        <v>2107</v>
      </c>
      <c r="B82" s="1">
        <v>1.0</v>
      </c>
      <c r="C82" s="1" t="s">
        <v>306</v>
      </c>
      <c r="D82" s="1" t="s">
        <v>1390</v>
      </c>
      <c r="E82" s="1" t="s">
        <v>1390</v>
      </c>
      <c r="F82" s="1" t="s">
        <v>1392</v>
      </c>
      <c r="G82" s="1" t="s">
        <v>1209</v>
      </c>
      <c r="H82" s="1" t="s">
        <v>1209</v>
      </c>
      <c r="I82" s="1">
        <v>1556.0</v>
      </c>
      <c r="J82" s="1" t="s">
        <v>1339</v>
      </c>
      <c r="K82" s="1" t="s">
        <v>1339</v>
      </c>
      <c r="L82" s="1">
        <v>53.33333</v>
      </c>
      <c r="M82" s="1">
        <v>6.516667</v>
      </c>
      <c r="N82" s="1" t="s">
        <v>1250</v>
      </c>
      <c r="O82" s="1" t="s">
        <v>2115</v>
      </c>
      <c r="P82" s="1" t="b">
        <v>1</v>
      </c>
      <c r="Q82" s="30" t="str">
        <f>VLOOKUP(A82,'S8  Newly published datasets'!A:Q,16,FALSE)</f>
        <v>#N/A</v>
      </c>
      <c r="S82" s="15"/>
      <c r="T82" s="15"/>
      <c r="U82" s="15"/>
      <c r="V82" s="15"/>
    </row>
    <row r="83">
      <c r="A83" s="1" t="s">
        <v>1617</v>
      </c>
      <c r="B83" s="1">
        <v>1.0</v>
      </c>
      <c r="C83" s="1" t="s">
        <v>306</v>
      </c>
      <c r="D83" s="1" t="s">
        <v>121</v>
      </c>
      <c r="E83" s="1" t="s">
        <v>121</v>
      </c>
      <c r="F83" s="1" t="s">
        <v>119</v>
      </c>
      <c r="G83" s="1" t="s">
        <v>2118</v>
      </c>
      <c r="H83" s="1" t="s">
        <v>2119</v>
      </c>
      <c r="I83" s="1">
        <v>500.0</v>
      </c>
      <c r="J83" s="1">
        <v>350.0</v>
      </c>
      <c r="K83" s="1">
        <v>650.0</v>
      </c>
      <c r="L83" s="1">
        <v>51.28</v>
      </c>
      <c r="M83" s="1">
        <v>1.08</v>
      </c>
      <c r="N83" s="1" t="s">
        <v>804</v>
      </c>
      <c r="O83" s="1" t="s">
        <v>2123</v>
      </c>
      <c r="P83" s="1" t="b">
        <v>1</v>
      </c>
      <c r="Q83" s="30" t="str">
        <f>VLOOKUP(A83,'S8  Newly published datasets'!A:Q,16,FALSE)</f>
        <v>#N/A</v>
      </c>
      <c r="S83" s="15"/>
      <c r="T83" s="15"/>
      <c r="U83" s="15"/>
      <c r="V83" s="15"/>
    </row>
    <row r="84">
      <c r="A84" s="1" t="s">
        <v>1729</v>
      </c>
      <c r="B84" s="1">
        <v>2.0</v>
      </c>
      <c r="C84" s="1" t="s">
        <v>2319</v>
      </c>
      <c r="D84" s="1" t="s">
        <v>1390</v>
      </c>
      <c r="E84" s="1" t="s">
        <v>1390</v>
      </c>
      <c r="F84" s="1" t="s">
        <v>1675</v>
      </c>
      <c r="G84" s="1" t="s">
        <v>2118</v>
      </c>
      <c r="H84" s="1" t="s">
        <v>2119</v>
      </c>
      <c r="I84" s="1">
        <v>500.0</v>
      </c>
      <c r="J84" s="1">
        <v>350.0</v>
      </c>
      <c r="K84" s="1">
        <v>650.0</v>
      </c>
      <c r="L84" s="1">
        <v>51.28</v>
      </c>
      <c r="M84" s="1">
        <v>1.08</v>
      </c>
      <c r="N84" s="1" t="s">
        <v>804</v>
      </c>
      <c r="O84" s="1" t="s">
        <v>2123</v>
      </c>
      <c r="P84" s="1" t="b">
        <v>1</v>
      </c>
      <c r="Q84" s="30" t="str">
        <f>VLOOKUP(A84,'S8  Newly published datasets'!A:Q,16,FALSE)</f>
        <v>#N/A</v>
      </c>
      <c r="S84" s="15"/>
      <c r="T84" s="15"/>
      <c r="U84" s="15"/>
      <c r="V84" s="15"/>
    </row>
    <row r="85">
      <c r="A85" s="1" t="s">
        <v>1793</v>
      </c>
      <c r="B85" s="1">
        <v>1.0</v>
      </c>
      <c r="C85" s="1" t="s">
        <v>306</v>
      </c>
      <c r="D85" s="1" t="s">
        <v>1390</v>
      </c>
      <c r="E85" s="1" t="s">
        <v>1390</v>
      </c>
      <c r="F85" s="1" t="s">
        <v>1675</v>
      </c>
      <c r="G85" s="1" t="s">
        <v>2118</v>
      </c>
      <c r="H85" s="1" t="s">
        <v>2119</v>
      </c>
      <c r="I85" s="1">
        <v>945.0</v>
      </c>
      <c r="J85" s="1">
        <v>930.0</v>
      </c>
      <c r="K85" s="1">
        <v>960.0</v>
      </c>
      <c r="L85" s="1">
        <v>51.28</v>
      </c>
      <c r="M85" s="1">
        <v>1.08</v>
      </c>
      <c r="N85" s="1" t="s">
        <v>804</v>
      </c>
      <c r="O85" s="1" t="s">
        <v>2123</v>
      </c>
      <c r="P85" s="1" t="b">
        <v>1</v>
      </c>
      <c r="Q85" s="30" t="str">
        <f>VLOOKUP(A85,'S8  Newly published datasets'!A:Q,16,FALSE)</f>
        <v>#N/A</v>
      </c>
      <c r="S85" s="15"/>
      <c r="T85" s="15"/>
      <c r="U85" s="15"/>
      <c r="V85" s="15"/>
    </row>
    <row r="86">
      <c r="A86" s="1" t="s">
        <v>1839</v>
      </c>
      <c r="B86" s="1">
        <v>1.0</v>
      </c>
      <c r="C86" s="1" t="s">
        <v>306</v>
      </c>
      <c r="D86" s="1" t="s">
        <v>1390</v>
      </c>
      <c r="E86" s="1" t="s">
        <v>1390</v>
      </c>
      <c r="F86" s="1" t="s">
        <v>1675</v>
      </c>
      <c r="G86" s="1" t="s">
        <v>2118</v>
      </c>
      <c r="H86" s="1" t="s">
        <v>2119</v>
      </c>
      <c r="I86" s="1">
        <v>945.0</v>
      </c>
      <c r="J86" s="1">
        <v>930.0</v>
      </c>
      <c r="K86" s="1">
        <v>960.0</v>
      </c>
      <c r="L86" s="1">
        <v>51.28</v>
      </c>
      <c r="M86" s="1">
        <v>1.08</v>
      </c>
      <c r="N86" s="1" t="s">
        <v>804</v>
      </c>
      <c r="O86" s="1" t="s">
        <v>2123</v>
      </c>
      <c r="P86" s="1" t="b">
        <v>1</v>
      </c>
      <c r="Q86" s="30" t="str">
        <f>VLOOKUP(A86,'S8  Newly published datasets'!A:Q,16,FALSE)</f>
        <v>#N/A</v>
      </c>
      <c r="S86" s="15"/>
      <c r="T86" s="15"/>
      <c r="U86" s="15"/>
      <c r="V86" s="15"/>
    </row>
    <row r="87">
      <c r="A87" s="1" t="s">
        <v>1898</v>
      </c>
      <c r="B87" s="1">
        <v>1.0</v>
      </c>
      <c r="C87" s="1" t="s">
        <v>306</v>
      </c>
      <c r="D87" s="1" t="s">
        <v>1390</v>
      </c>
      <c r="E87" s="1" t="s">
        <v>1390</v>
      </c>
      <c r="F87" s="1" t="s">
        <v>1675</v>
      </c>
      <c r="G87" s="1" t="s">
        <v>2118</v>
      </c>
      <c r="H87" s="1" t="s">
        <v>2119</v>
      </c>
      <c r="I87" s="1">
        <v>945.0</v>
      </c>
      <c r="J87" s="1">
        <v>930.0</v>
      </c>
      <c r="K87" s="1">
        <v>960.0</v>
      </c>
      <c r="L87" s="1">
        <v>51.28</v>
      </c>
      <c r="M87" s="1">
        <v>1.08</v>
      </c>
      <c r="N87" s="1" t="s">
        <v>804</v>
      </c>
      <c r="O87" s="1" t="s">
        <v>2123</v>
      </c>
      <c r="P87" s="1" t="b">
        <v>1</v>
      </c>
      <c r="Q87" s="30" t="str">
        <f>VLOOKUP(A87,'S8  Newly published datasets'!A:Q,16,FALSE)</f>
        <v>#N/A</v>
      </c>
      <c r="S87" s="15"/>
      <c r="T87" s="15"/>
      <c r="U87" s="15"/>
      <c r="V87" s="15"/>
    </row>
    <row r="88">
      <c r="A88" s="1" t="s">
        <v>2151</v>
      </c>
      <c r="B88" s="1">
        <v>1.0</v>
      </c>
      <c r="C88" s="1" t="s">
        <v>997</v>
      </c>
      <c r="D88" s="1" t="s">
        <v>1438</v>
      </c>
      <c r="E88" s="1" t="s">
        <v>1438</v>
      </c>
      <c r="F88" s="1" t="s">
        <v>1439</v>
      </c>
      <c r="G88" s="1" t="s">
        <v>1484</v>
      </c>
      <c r="H88" s="1" t="s">
        <v>195</v>
      </c>
      <c r="I88" s="1">
        <v>4550.0</v>
      </c>
      <c r="J88" s="1">
        <v>4450.0</v>
      </c>
      <c r="K88" s="1">
        <v>4650.0</v>
      </c>
      <c r="L88" s="1">
        <v>31.707985</v>
      </c>
      <c r="M88" s="1">
        <v>34.975283</v>
      </c>
      <c r="N88" s="1" t="s">
        <v>1050</v>
      </c>
      <c r="O88" s="1" t="s">
        <v>2158</v>
      </c>
      <c r="P88" s="1" t="b">
        <v>1</v>
      </c>
      <c r="Q88" s="30" t="str">
        <f>VLOOKUP(A88,'S8  Newly published datasets'!A:Q,16,FALSE)</f>
        <v>#N/A</v>
      </c>
      <c r="S88" s="15"/>
      <c r="T88" s="15"/>
      <c r="U88" s="15"/>
      <c r="V88" s="15"/>
    </row>
    <row r="89">
      <c r="A89" s="1" t="s">
        <v>1041</v>
      </c>
      <c r="B89" s="1">
        <v>1.0</v>
      </c>
      <c r="C89" s="1" t="s">
        <v>306</v>
      </c>
      <c r="D89" s="1" t="s">
        <v>121</v>
      </c>
      <c r="E89" s="1" t="s">
        <v>121</v>
      </c>
      <c r="F89" s="1" t="s">
        <v>119</v>
      </c>
      <c r="G89" s="1" t="s">
        <v>197</v>
      </c>
      <c r="H89" s="1" t="s">
        <v>195</v>
      </c>
      <c r="I89" s="1">
        <v>1130.0</v>
      </c>
      <c r="J89" s="1">
        <v>1260.0</v>
      </c>
      <c r="K89" s="1">
        <v>1000.0</v>
      </c>
      <c r="L89" s="1">
        <v>32.663852</v>
      </c>
      <c r="M89" s="1">
        <v>35.108734</v>
      </c>
      <c r="N89" s="1" t="s">
        <v>1050</v>
      </c>
      <c r="O89" s="1" t="s">
        <v>1051</v>
      </c>
      <c r="P89" s="1" t="b">
        <v>1</v>
      </c>
      <c r="Q89" s="30" t="str">
        <f>VLOOKUP(A89,'S8  Newly published datasets'!A:Q,16,FALSE)</f>
        <v>#N/A</v>
      </c>
      <c r="S89" s="15"/>
      <c r="T89" s="15"/>
      <c r="U89" s="15"/>
      <c r="V89" s="15"/>
    </row>
    <row r="90">
      <c r="A90" s="1" t="s">
        <v>2163</v>
      </c>
      <c r="B90" s="1">
        <v>1.0</v>
      </c>
      <c r="C90" s="1" t="s">
        <v>306</v>
      </c>
      <c r="D90" s="1" t="s">
        <v>1390</v>
      </c>
      <c r="E90" s="1" t="s">
        <v>1390</v>
      </c>
      <c r="F90" s="1" t="s">
        <v>1413</v>
      </c>
      <c r="G90" s="1" t="s">
        <v>1414</v>
      </c>
      <c r="H90" s="1" t="s">
        <v>195</v>
      </c>
      <c r="I90" s="1" t="s">
        <v>1339</v>
      </c>
      <c r="J90" s="1" t="s">
        <v>1339</v>
      </c>
      <c r="K90" s="1" t="s">
        <v>1339</v>
      </c>
      <c r="L90" s="1">
        <v>55.358</v>
      </c>
      <c r="M90" s="1">
        <v>11.393</v>
      </c>
      <c r="N90" s="1" t="s">
        <v>2171</v>
      </c>
      <c r="O90" s="1" t="s">
        <v>2173</v>
      </c>
      <c r="P90" s="1" t="b">
        <v>1</v>
      </c>
      <c r="Q90" s="30" t="str">
        <f>VLOOKUP(A90,'S8  Newly published datasets'!A:Q,16,FALSE)</f>
        <v>#N/A</v>
      </c>
      <c r="S90" s="15"/>
      <c r="T90" s="15"/>
      <c r="U90" s="15"/>
      <c r="V90" s="15"/>
    </row>
    <row r="91">
      <c r="S91" s="15"/>
      <c r="T91" s="15"/>
      <c r="U91" s="15"/>
      <c r="V91" s="15"/>
    </row>
    <row r="92">
      <c r="S92" s="15"/>
      <c r="T92" s="15"/>
      <c r="U92" s="15"/>
      <c r="V92" s="15"/>
    </row>
    <row r="93">
      <c r="S93" s="15"/>
      <c r="T93" s="15"/>
      <c r="U93" s="15"/>
      <c r="V93" s="15"/>
    </row>
    <row r="94">
      <c r="S94" s="15"/>
      <c r="T94" s="15"/>
      <c r="U94" s="15"/>
      <c r="V94" s="15"/>
    </row>
    <row r="95">
      <c r="S95" s="15"/>
      <c r="T95" s="15"/>
      <c r="U95" s="15"/>
      <c r="V95" s="15"/>
    </row>
    <row r="96">
      <c r="S96" s="15"/>
      <c r="T96" s="15"/>
      <c r="U96" s="15"/>
      <c r="V96" s="15"/>
    </row>
    <row r="97">
      <c r="S97" s="15"/>
      <c r="T97" s="15"/>
      <c r="U97" s="15"/>
      <c r="V97" s="15"/>
    </row>
    <row r="98">
      <c r="S98" s="15"/>
      <c r="T98" s="15"/>
      <c r="U98" s="15"/>
      <c r="V98" s="15"/>
    </row>
    <row r="99">
      <c r="S99" s="15"/>
      <c r="T99" s="15"/>
      <c r="U99" s="15"/>
      <c r="V99" s="15"/>
    </row>
    <row r="100">
      <c r="S100" s="15"/>
      <c r="T100" s="15"/>
      <c r="U100" s="15"/>
      <c r="V100" s="15"/>
    </row>
    <row r="101">
      <c r="S101" s="15"/>
      <c r="T101" s="15"/>
      <c r="U101" s="15"/>
      <c r="V101" s="15"/>
    </row>
    <row r="102">
      <c r="S102" s="15"/>
      <c r="T102" s="15"/>
      <c r="U102" s="15"/>
      <c r="V102" s="15"/>
    </row>
    <row r="103">
      <c r="S103" s="15"/>
      <c r="T103" s="15"/>
      <c r="U103" s="15"/>
      <c r="V103" s="15"/>
    </row>
    <row r="104">
      <c r="S104" s="15"/>
      <c r="T104" s="15"/>
      <c r="U104" s="15"/>
      <c r="V104" s="15"/>
    </row>
    <row r="105">
      <c r="S105" s="15"/>
      <c r="T105" s="15"/>
      <c r="U105" s="15"/>
      <c r="V105" s="15"/>
    </row>
    <row r="106">
      <c r="S106" s="15"/>
      <c r="T106" s="15"/>
      <c r="U106" s="15"/>
      <c r="V106" s="15"/>
    </row>
    <row r="107">
      <c r="S107" s="15"/>
      <c r="T107" s="15"/>
      <c r="U107" s="15"/>
      <c r="V107" s="15"/>
    </row>
    <row r="108">
      <c r="S108" s="15"/>
      <c r="T108" s="15"/>
      <c r="U108" s="15"/>
      <c r="V108" s="15"/>
    </row>
    <row r="109">
      <c r="S109" s="15"/>
      <c r="T109" s="15"/>
      <c r="U109" s="15"/>
      <c r="V109" s="15"/>
    </row>
    <row r="110">
      <c r="S110" s="15"/>
      <c r="T110" s="15"/>
      <c r="U110" s="15"/>
      <c r="V110" s="15"/>
    </row>
    <row r="111">
      <c r="S111" s="15"/>
      <c r="T111" s="15"/>
      <c r="U111" s="15"/>
      <c r="V111" s="15"/>
    </row>
    <row r="112">
      <c r="S112" s="15"/>
      <c r="T112" s="15"/>
      <c r="U112" s="15"/>
      <c r="V112" s="15"/>
    </row>
    <row r="113">
      <c r="S113" s="15"/>
      <c r="T113" s="15"/>
      <c r="U113" s="15"/>
      <c r="V113" s="15"/>
    </row>
    <row r="114">
      <c r="S114" s="15"/>
      <c r="T114" s="15"/>
      <c r="U114" s="15"/>
      <c r="V114" s="15"/>
    </row>
    <row r="115">
      <c r="S115" s="15"/>
      <c r="T115" s="15"/>
      <c r="U115" s="15"/>
      <c r="V115" s="15"/>
    </row>
    <row r="116">
      <c r="S116" s="15"/>
      <c r="T116" s="15"/>
      <c r="U116" s="15"/>
      <c r="V116" s="15"/>
    </row>
    <row r="117">
      <c r="S117" s="15"/>
      <c r="T117" s="15"/>
      <c r="U117" s="15"/>
      <c r="V117" s="15"/>
    </row>
    <row r="118">
      <c r="S118" s="15"/>
      <c r="T118" s="15"/>
      <c r="U118" s="15"/>
      <c r="V118" s="15"/>
    </row>
    <row r="119">
      <c r="S119" s="15"/>
      <c r="T119" s="15"/>
      <c r="U119" s="15"/>
      <c r="V119" s="15"/>
    </row>
    <row r="120">
      <c r="S120" s="15"/>
      <c r="T120" s="15"/>
      <c r="U120" s="15"/>
      <c r="V120" s="15"/>
    </row>
    <row r="121">
      <c r="S121" s="15"/>
      <c r="T121" s="15"/>
      <c r="U121" s="15"/>
      <c r="V121" s="15"/>
    </row>
    <row r="122">
      <c r="S122" s="15"/>
      <c r="T122" s="15"/>
      <c r="U122" s="15"/>
      <c r="V122" s="15"/>
    </row>
    <row r="123">
      <c r="S123" s="15"/>
      <c r="T123" s="15"/>
      <c r="U123" s="15"/>
      <c r="V123" s="15"/>
    </row>
    <row r="124">
      <c r="S124" s="15"/>
      <c r="T124" s="15"/>
      <c r="U124" s="15"/>
      <c r="V124" s="15"/>
    </row>
    <row r="125">
      <c r="S125" s="15"/>
      <c r="T125" s="15"/>
      <c r="U125" s="15"/>
      <c r="V125" s="15"/>
    </row>
    <row r="126">
      <c r="S126" s="15"/>
      <c r="T126" s="15"/>
      <c r="U126" s="15"/>
      <c r="V126" s="15"/>
    </row>
    <row r="127">
      <c r="S127" s="15"/>
      <c r="T127" s="15"/>
      <c r="U127" s="15"/>
      <c r="V127" s="15"/>
    </row>
    <row r="128">
      <c r="S128" s="15"/>
      <c r="T128" s="15"/>
      <c r="U128" s="15"/>
      <c r="V128" s="15"/>
    </row>
    <row r="129">
      <c r="S129" s="15"/>
      <c r="T129" s="15"/>
      <c r="U129" s="15"/>
      <c r="V129" s="15"/>
    </row>
    <row r="130">
      <c r="S130" s="15"/>
      <c r="T130" s="15"/>
      <c r="U130" s="15"/>
      <c r="V130" s="15"/>
    </row>
    <row r="131">
      <c r="S131" s="15"/>
      <c r="T131" s="15"/>
      <c r="U131" s="15"/>
      <c r="V131" s="15"/>
    </row>
    <row r="132">
      <c r="S132" s="15"/>
      <c r="T132" s="15"/>
      <c r="U132" s="15"/>
      <c r="V132" s="15"/>
    </row>
    <row r="133">
      <c r="S133" s="15"/>
      <c r="T133" s="15"/>
      <c r="U133" s="15"/>
      <c r="V133" s="15"/>
    </row>
    <row r="134">
      <c r="S134" s="15"/>
      <c r="T134" s="15"/>
      <c r="U134" s="15"/>
      <c r="V134" s="15"/>
    </row>
    <row r="135">
      <c r="S135" s="15"/>
      <c r="T135" s="15"/>
      <c r="U135" s="15"/>
      <c r="V135" s="15"/>
    </row>
    <row r="136">
      <c r="S136" s="15"/>
      <c r="T136" s="15"/>
      <c r="U136" s="15"/>
      <c r="V136" s="15"/>
    </row>
    <row r="137">
      <c r="S137" s="15"/>
      <c r="T137" s="15"/>
      <c r="U137" s="15"/>
      <c r="V137" s="15"/>
    </row>
    <row r="138">
      <c r="S138" s="15"/>
      <c r="T138" s="15"/>
      <c r="U138" s="15"/>
      <c r="V138" s="15"/>
    </row>
    <row r="139">
      <c r="S139" s="15"/>
      <c r="T139" s="15"/>
      <c r="U139" s="15"/>
      <c r="V139" s="15"/>
    </row>
    <row r="140">
      <c r="S140" s="15"/>
      <c r="T140" s="15"/>
      <c r="U140" s="15"/>
      <c r="V140" s="15"/>
    </row>
    <row r="141">
      <c r="S141" s="15"/>
      <c r="T141" s="15"/>
      <c r="U141" s="15"/>
      <c r="V141" s="15"/>
    </row>
    <row r="142">
      <c r="S142" s="15"/>
      <c r="T142" s="15"/>
      <c r="U142" s="15"/>
      <c r="V142" s="15"/>
    </row>
    <row r="143">
      <c r="S143" s="15"/>
      <c r="T143" s="15"/>
      <c r="U143" s="15"/>
      <c r="V143" s="15"/>
    </row>
    <row r="144">
      <c r="S144" s="15"/>
      <c r="T144" s="15"/>
      <c r="U144" s="15"/>
      <c r="V144" s="15"/>
    </row>
    <row r="145">
      <c r="S145" s="15"/>
      <c r="T145" s="15"/>
      <c r="U145" s="15"/>
      <c r="V145" s="15"/>
    </row>
    <row r="146">
      <c r="S146" s="15"/>
      <c r="T146" s="15"/>
      <c r="U146" s="15"/>
      <c r="V146" s="15"/>
    </row>
    <row r="147">
      <c r="S147" s="15"/>
      <c r="T147" s="15"/>
      <c r="U147" s="15"/>
      <c r="V147" s="15"/>
    </row>
    <row r="148">
      <c r="S148" s="15"/>
      <c r="T148" s="15"/>
      <c r="U148" s="15"/>
      <c r="V148" s="15"/>
    </row>
    <row r="149">
      <c r="S149" s="15"/>
      <c r="T149" s="15"/>
      <c r="U149" s="15"/>
      <c r="V149" s="15"/>
    </row>
    <row r="150">
      <c r="S150" s="15"/>
      <c r="T150" s="15"/>
      <c r="U150" s="15"/>
      <c r="V150" s="15"/>
    </row>
    <row r="151">
      <c r="S151" s="15"/>
      <c r="T151" s="15"/>
      <c r="U151" s="15"/>
      <c r="V151" s="15"/>
    </row>
    <row r="152">
      <c r="S152" s="15"/>
      <c r="T152" s="15"/>
      <c r="U152" s="15"/>
      <c r="V152" s="15"/>
    </row>
    <row r="153">
      <c r="S153" s="15"/>
      <c r="T153" s="15"/>
      <c r="U153" s="15"/>
      <c r="V153" s="15"/>
    </row>
    <row r="154">
      <c r="S154" s="15"/>
      <c r="T154" s="15"/>
      <c r="U154" s="15"/>
      <c r="V154" s="15"/>
    </row>
    <row r="155">
      <c r="S155" s="15"/>
      <c r="T155" s="15"/>
      <c r="U155" s="15"/>
      <c r="V155" s="15"/>
    </row>
    <row r="156">
      <c r="S156" s="15"/>
      <c r="T156" s="15"/>
      <c r="U156" s="15"/>
      <c r="V156" s="15"/>
    </row>
    <row r="157">
      <c r="S157" s="15"/>
      <c r="T157" s="15"/>
      <c r="U157" s="15"/>
      <c r="V157" s="15"/>
    </row>
    <row r="158">
      <c r="S158" s="15"/>
      <c r="T158" s="15"/>
      <c r="U158" s="15"/>
      <c r="V158" s="15"/>
    </row>
    <row r="159">
      <c r="S159" s="15"/>
      <c r="T159" s="15"/>
      <c r="U159" s="15"/>
      <c r="V159" s="15"/>
    </row>
    <row r="160">
      <c r="S160" s="15"/>
      <c r="T160" s="15"/>
      <c r="U160" s="15"/>
      <c r="V160" s="15"/>
    </row>
    <row r="161">
      <c r="S161" s="15"/>
      <c r="T161" s="15"/>
      <c r="U161" s="15"/>
      <c r="V161" s="15"/>
    </row>
    <row r="162">
      <c r="S162" s="15"/>
      <c r="T162" s="15"/>
      <c r="U162" s="15"/>
      <c r="V162" s="15"/>
    </row>
    <row r="163">
      <c r="S163" s="15"/>
      <c r="T163" s="15"/>
      <c r="U163" s="15"/>
      <c r="V163" s="15"/>
    </row>
    <row r="164">
      <c r="S164" s="15"/>
      <c r="T164" s="15"/>
      <c r="U164" s="15"/>
      <c r="V164" s="15"/>
    </row>
    <row r="165">
      <c r="S165" s="15"/>
      <c r="T165" s="15"/>
      <c r="U165" s="15"/>
      <c r="V165" s="15"/>
    </row>
    <row r="166">
      <c r="S166" s="15"/>
      <c r="T166" s="15"/>
      <c r="U166" s="15"/>
      <c r="V166" s="15"/>
    </row>
    <row r="167">
      <c r="S167" s="15"/>
      <c r="T167" s="15"/>
      <c r="U167" s="15"/>
      <c r="V167" s="15"/>
    </row>
    <row r="168">
      <c r="S168" s="15"/>
      <c r="T168" s="15"/>
      <c r="U168" s="15"/>
      <c r="V168" s="15"/>
    </row>
    <row r="169">
      <c r="S169" s="15"/>
      <c r="T169" s="15"/>
      <c r="U169" s="15"/>
      <c r="V169" s="15"/>
    </row>
    <row r="170">
      <c r="S170" s="15"/>
      <c r="T170" s="15"/>
      <c r="U170" s="15"/>
      <c r="V170" s="15"/>
    </row>
    <row r="171">
      <c r="S171" s="15"/>
      <c r="T171" s="15"/>
      <c r="U171" s="15"/>
      <c r="V171" s="15"/>
    </row>
    <row r="172">
      <c r="S172" s="15"/>
      <c r="T172" s="15"/>
      <c r="U172" s="15"/>
      <c r="V172" s="15"/>
    </row>
    <row r="173">
      <c r="S173" s="15"/>
      <c r="T173" s="15"/>
      <c r="U173" s="15"/>
      <c r="V173" s="15"/>
    </row>
    <row r="174">
      <c r="S174" s="15"/>
      <c r="T174" s="15"/>
      <c r="U174" s="15"/>
      <c r="V174" s="15"/>
    </row>
    <row r="175">
      <c r="S175" s="15"/>
      <c r="T175" s="15"/>
      <c r="U175" s="15"/>
      <c r="V175" s="15"/>
    </row>
    <row r="176">
      <c r="S176" s="15"/>
      <c r="T176" s="15"/>
      <c r="U176" s="15"/>
      <c r="V176" s="15"/>
    </row>
    <row r="177">
      <c r="S177" s="15"/>
      <c r="T177" s="15"/>
      <c r="U177" s="15"/>
      <c r="V177" s="15"/>
    </row>
    <row r="178">
      <c r="S178" s="15"/>
      <c r="T178" s="15"/>
      <c r="U178" s="15"/>
      <c r="V178" s="15"/>
    </row>
    <row r="179">
      <c r="S179" s="15"/>
      <c r="T179" s="15"/>
      <c r="U179" s="15"/>
      <c r="V179" s="15"/>
    </row>
    <row r="180">
      <c r="S180" s="15"/>
      <c r="T180" s="15"/>
      <c r="U180" s="15"/>
      <c r="V180" s="15"/>
    </row>
    <row r="181">
      <c r="S181" s="15"/>
      <c r="T181" s="15"/>
      <c r="U181" s="15"/>
      <c r="V181" s="15"/>
    </row>
    <row r="182">
      <c r="S182" s="15"/>
      <c r="T182" s="15"/>
      <c r="U182" s="15"/>
      <c r="V182" s="15"/>
    </row>
    <row r="183">
      <c r="S183" s="15"/>
      <c r="T183" s="15"/>
      <c r="U183" s="15"/>
      <c r="V183" s="15"/>
    </row>
    <row r="184">
      <c r="S184" s="15"/>
      <c r="T184" s="15"/>
      <c r="U184" s="15"/>
      <c r="V184" s="15"/>
    </row>
    <row r="185">
      <c r="S185" s="15"/>
      <c r="T185" s="15"/>
      <c r="U185" s="15"/>
      <c r="V185" s="15"/>
    </row>
    <row r="186">
      <c r="S186" s="15"/>
      <c r="T186" s="15"/>
      <c r="U186" s="15"/>
      <c r="V186" s="15"/>
    </row>
    <row r="187">
      <c r="S187" s="15"/>
      <c r="T187" s="15"/>
      <c r="U187" s="15"/>
      <c r="V187" s="15"/>
    </row>
    <row r="188">
      <c r="S188" s="15"/>
      <c r="T188" s="15"/>
      <c r="U188" s="15"/>
      <c r="V188" s="15"/>
    </row>
    <row r="189">
      <c r="S189" s="15"/>
      <c r="T189" s="15"/>
      <c r="U189" s="15"/>
      <c r="V189" s="15"/>
    </row>
    <row r="190">
      <c r="S190" s="15"/>
      <c r="T190" s="15"/>
      <c r="U190" s="15"/>
      <c r="V190" s="15"/>
    </row>
    <row r="191">
      <c r="S191" s="15"/>
      <c r="T191" s="15"/>
      <c r="U191" s="15"/>
      <c r="V191" s="15"/>
    </row>
    <row r="192">
      <c r="S192" s="15"/>
      <c r="T192" s="15"/>
      <c r="U192" s="15"/>
      <c r="V192" s="15"/>
    </row>
    <row r="193">
      <c r="S193" s="15"/>
      <c r="T193" s="15"/>
      <c r="U193" s="15"/>
      <c r="V193" s="15"/>
    </row>
    <row r="194">
      <c r="S194" s="15"/>
      <c r="T194" s="15"/>
      <c r="U194" s="15"/>
      <c r="V194" s="15"/>
    </row>
    <row r="195">
      <c r="S195" s="15"/>
      <c r="T195" s="15"/>
      <c r="U195" s="15"/>
      <c r="V195" s="15"/>
    </row>
    <row r="196">
      <c r="S196" s="15"/>
      <c r="T196" s="15"/>
      <c r="U196" s="15"/>
      <c r="V196" s="15"/>
    </row>
    <row r="197">
      <c r="S197" s="15"/>
      <c r="T197" s="15"/>
      <c r="U197" s="15"/>
      <c r="V197" s="15"/>
    </row>
    <row r="198">
      <c r="S198" s="15"/>
      <c r="T198" s="15"/>
      <c r="U198" s="15"/>
      <c r="V198" s="15"/>
    </row>
    <row r="199">
      <c r="S199" s="15"/>
      <c r="T199" s="15"/>
      <c r="U199" s="15"/>
      <c r="V199" s="15"/>
    </row>
    <row r="200">
      <c r="S200" s="15"/>
      <c r="T200" s="15"/>
      <c r="U200" s="15"/>
      <c r="V200" s="15"/>
    </row>
    <row r="201">
      <c r="S201" s="15"/>
      <c r="T201" s="15"/>
      <c r="U201" s="15"/>
      <c r="V201" s="15"/>
    </row>
    <row r="202">
      <c r="S202" s="15"/>
      <c r="T202" s="15"/>
      <c r="U202" s="15"/>
      <c r="V202" s="15"/>
    </row>
    <row r="203">
      <c r="S203" s="15"/>
      <c r="T203" s="15"/>
      <c r="U203" s="15"/>
      <c r="V203" s="15"/>
    </row>
    <row r="204">
      <c r="S204" s="15"/>
      <c r="T204" s="15"/>
      <c r="U204" s="15"/>
      <c r="V204" s="15"/>
    </row>
    <row r="205">
      <c r="S205" s="15"/>
      <c r="T205" s="15"/>
      <c r="U205" s="15"/>
      <c r="V205" s="15"/>
    </row>
    <row r="206">
      <c r="S206" s="15"/>
      <c r="T206" s="15"/>
      <c r="U206" s="15"/>
      <c r="V206" s="15"/>
    </row>
    <row r="207">
      <c r="S207" s="15"/>
      <c r="T207" s="15"/>
      <c r="U207" s="15"/>
      <c r="V207" s="15"/>
    </row>
    <row r="208">
      <c r="S208" s="15"/>
      <c r="T208" s="15"/>
      <c r="U208" s="15"/>
      <c r="V208" s="15"/>
    </row>
    <row r="209">
      <c r="S209" s="15"/>
      <c r="T209" s="15"/>
      <c r="U209" s="15"/>
      <c r="V209" s="15"/>
    </row>
    <row r="210">
      <c r="S210" s="15"/>
      <c r="T210" s="15"/>
      <c r="U210" s="15"/>
      <c r="V210" s="15"/>
    </row>
    <row r="211">
      <c r="S211" s="15"/>
      <c r="T211" s="15"/>
      <c r="U211" s="15"/>
      <c r="V211" s="15"/>
    </row>
    <row r="212">
      <c r="S212" s="15"/>
      <c r="T212" s="15"/>
      <c r="U212" s="15"/>
      <c r="V212" s="15"/>
    </row>
    <row r="213">
      <c r="S213" s="15"/>
      <c r="T213" s="15"/>
      <c r="U213" s="15"/>
      <c r="V213" s="15"/>
    </row>
    <row r="214">
      <c r="S214" s="15"/>
      <c r="T214" s="15"/>
      <c r="U214" s="15"/>
      <c r="V214" s="15"/>
    </row>
    <row r="215">
      <c r="S215" s="15"/>
      <c r="T215" s="15"/>
      <c r="U215" s="15"/>
      <c r="V215" s="15"/>
    </row>
    <row r="216">
      <c r="S216" s="15"/>
      <c r="T216" s="15"/>
      <c r="U216" s="15"/>
      <c r="V216" s="15"/>
    </row>
    <row r="217">
      <c r="S217" s="15"/>
      <c r="T217" s="15"/>
      <c r="U217" s="15"/>
      <c r="V217" s="15"/>
    </row>
    <row r="218">
      <c r="S218" s="15"/>
      <c r="T218" s="15"/>
      <c r="U218" s="15"/>
      <c r="V218" s="15"/>
    </row>
    <row r="219">
      <c r="S219" s="15"/>
      <c r="T219" s="15"/>
      <c r="U219" s="15"/>
      <c r="V219" s="15"/>
    </row>
    <row r="220">
      <c r="S220" s="15"/>
      <c r="T220" s="15"/>
      <c r="U220" s="15"/>
      <c r="V220" s="15"/>
    </row>
    <row r="221">
      <c r="S221" s="15"/>
      <c r="T221" s="15"/>
      <c r="U221" s="15"/>
      <c r="V221" s="15"/>
    </row>
    <row r="222">
      <c r="S222" s="15"/>
      <c r="T222" s="15"/>
      <c r="U222" s="15"/>
      <c r="V222" s="15"/>
    </row>
    <row r="223">
      <c r="S223" s="15"/>
      <c r="T223" s="15"/>
      <c r="U223" s="15"/>
      <c r="V223" s="15"/>
    </row>
    <row r="224">
      <c r="S224" s="15"/>
      <c r="T224" s="15"/>
      <c r="U224" s="15"/>
      <c r="V224" s="15"/>
    </row>
    <row r="225">
      <c r="S225" s="15"/>
      <c r="T225" s="15"/>
      <c r="U225" s="15"/>
      <c r="V225" s="15"/>
    </row>
    <row r="226">
      <c r="S226" s="15"/>
      <c r="T226" s="15"/>
      <c r="U226" s="15"/>
      <c r="V226" s="15"/>
    </row>
    <row r="227">
      <c r="S227" s="15"/>
      <c r="T227" s="15"/>
      <c r="U227" s="15"/>
      <c r="V227" s="15"/>
    </row>
    <row r="228">
      <c r="S228" s="15"/>
      <c r="T228" s="15"/>
      <c r="U228" s="15"/>
      <c r="V228" s="15"/>
    </row>
    <row r="229">
      <c r="S229" s="15"/>
      <c r="T229" s="15"/>
      <c r="U229" s="15"/>
      <c r="V229" s="15"/>
    </row>
    <row r="230">
      <c r="S230" s="15"/>
      <c r="T230" s="15"/>
      <c r="U230" s="15"/>
      <c r="V230" s="15"/>
    </row>
    <row r="231">
      <c r="S231" s="15"/>
      <c r="T231" s="15"/>
      <c r="U231" s="15"/>
      <c r="V231" s="15"/>
    </row>
    <row r="232">
      <c r="S232" s="15"/>
      <c r="T232" s="15"/>
      <c r="U232" s="15"/>
      <c r="V232" s="15"/>
    </row>
    <row r="233">
      <c r="S233" s="15"/>
      <c r="T233" s="15"/>
      <c r="U233" s="15"/>
      <c r="V233" s="15"/>
    </row>
    <row r="234">
      <c r="S234" s="15"/>
      <c r="T234" s="15"/>
      <c r="U234" s="15"/>
      <c r="V234" s="15"/>
    </row>
    <row r="235">
      <c r="S235" s="15"/>
      <c r="T235" s="15"/>
      <c r="U235" s="15"/>
      <c r="V235" s="15"/>
    </row>
    <row r="236">
      <c r="S236" s="15"/>
      <c r="T236" s="15"/>
      <c r="U236" s="15"/>
      <c r="V236" s="15"/>
    </row>
    <row r="237">
      <c r="S237" s="15"/>
      <c r="T237" s="15"/>
      <c r="U237" s="15"/>
      <c r="V237" s="15"/>
    </row>
    <row r="238">
      <c r="S238" s="15"/>
      <c r="T238" s="15"/>
      <c r="U238" s="15"/>
      <c r="V238" s="15"/>
    </row>
    <row r="239">
      <c r="S239" s="15"/>
      <c r="T239" s="15"/>
      <c r="U239" s="15"/>
      <c r="V239" s="15"/>
    </row>
    <row r="240">
      <c r="S240" s="15"/>
      <c r="T240" s="15"/>
      <c r="U240" s="15"/>
      <c r="V240" s="15"/>
    </row>
    <row r="241">
      <c r="S241" s="15"/>
      <c r="T241" s="15"/>
      <c r="U241" s="15"/>
      <c r="V241" s="15"/>
    </row>
    <row r="242">
      <c r="S242" s="15"/>
      <c r="T242" s="15"/>
      <c r="U242" s="15"/>
      <c r="V242" s="15"/>
    </row>
    <row r="243">
      <c r="S243" s="15"/>
      <c r="T243" s="15"/>
      <c r="U243" s="15"/>
      <c r="V243" s="15"/>
    </row>
    <row r="244">
      <c r="S244" s="15"/>
      <c r="T244" s="15"/>
      <c r="U244" s="15"/>
      <c r="V244" s="15"/>
    </row>
    <row r="245">
      <c r="S245" s="15"/>
      <c r="T245" s="15"/>
      <c r="U245" s="15"/>
      <c r="V245" s="15"/>
    </row>
    <row r="246">
      <c r="S246" s="15"/>
      <c r="T246" s="15"/>
      <c r="U246" s="15"/>
      <c r="V246" s="15"/>
    </row>
    <row r="247">
      <c r="S247" s="15"/>
      <c r="T247" s="15"/>
      <c r="U247" s="15"/>
      <c r="V247" s="15"/>
    </row>
    <row r="248">
      <c r="S248" s="15"/>
      <c r="T248" s="15"/>
      <c r="U248" s="15"/>
      <c r="V248" s="15"/>
    </row>
    <row r="249">
      <c r="S249" s="15"/>
      <c r="T249" s="15"/>
      <c r="U249" s="15"/>
      <c r="V249" s="15"/>
    </row>
    <row r="250">
      <c r="S250" s="15"/>
      <c r="T250" s="15"/>
      <c r="U250" s="15"/>
      <c r="V250" s="15"/>
    </row>
    <row r="251">
      <c r="S251" s="15"/>
      <c r="T251" s="15"/>
      <c r="U251" s="15"/>
      <c r="V251" s="15"/>
    </row>
    <row r="252">
      <c r="S252" s="15"/>
      <c r="T252" s="15"/>
      <c r="U252" s="15"/>
      <c r="V252" s="15"/>
    </row>
    <row r="253">
      <c r="S253" s="15"/>
      <c r="T253" s="15"/>
      <c r="U253" s="15"/>
      <c r="V253" s="15"/>
    </row>
    <row r="254">
      <c r="S254" s="15"/>
      <c r="T254" s="15"/>
      <c r="U254" s="15"/>
      <c r="V254" s="15"/>
    </row>
    <row r="255">
      <c r="S255" s="15"/>
      <c r="T255" s="15"/>
      <c r="U255" s="15"/>
      <c r="V255" s="15"/>
    </row>
    <row r="256">
      <c r="S256" s="15"/>
      <c r="T256" s="15"/>
      <c r="U256" s="15"/>
      <c r="V256" s="15"/>
    </row>
    <row r="257">
      <c r="S257" s="15"/>
      <c r="T257" s="15"/>
      <c r="U257" s="15"/>
      <c r="V257" s="15"/>
    </row>
    <row r="258">
      <c r="S258" s="15"/>
      <c r="T258" s="15"/>
      <c r="U258" s="15"/>
      <c r="V258" s="15"/>
    </row>
    <row r="259">
      <c r="S259" s="15"/>
      <c r="T259" s="15"/>
      <c r="U259" s="15"/>
      <c r="V259" s="15"/>
    </row>
    <row r="260">
      <c r="S260" s="15"/>
      <c r="T260" s="15"/>
      <c r="U260" s="15"/>
      <c r="V260" s="15"/>
    </row>
    <row r="261">
      <c r="S261" s="15"/>
      <c r="T261" s="15"/>
      <c r="U261" s="15"/>
      <c r="V261" s="15"/>
    </row>
    <row r="262">
      <c r="S262" s="15"/>
      <c r="T262" s="15"/>
      <c r="U262" s="15"/>
      <c r="V262" s="15"/>
    </row>
    <row r="263">
      <c r="S263" s="15"/>
      <c r="T263" s="15"/>
      <c r="U263" s="15"/>
      <c r="V263" s="15"/>
    </row>
    <row r="264">
      <c r="S264" s="15"/>
      <c r="T264" s="15"/>
      <c r="U264" s="15"/>
      <c r="V264" s="15"/>
    </row>
    <row r="265">
      <c r="S265" s="15"/>
      <c r="T265" s="15"/>
      <c r="U265" s="15"/>
      <c r="V265" s="15"/>
    </row>
    <row r="266">
      <c r="S266" s="15"/>
      <c r="T266" s="15"/>
      <c r="U266" s="15"/>
      <c r="V266" s="15"/>
    </row>
    <row r="267">
      <c r="S267" s="15"/>
      <c r="T267" s="15"/>
      <c r="U267" s="15"/>
      <c r="V267" s="15"/>
    </row>
    <row r="268">
      <c r="S268" s="15"/>
      <c r="T268" s="15"/>
      <c r="U268" s="15"/>
      <c r="V268" s="15"/>
    </row>
    <row r="269">
      <c r="S269" s="15"/>
      <c r="T269" s="15"/>
      <c r="U269" s="15"/>
      <c r="V269" s="15"/>
    </row>
    <row r="270">
      <c r="S270" s="15"/>
      <c r="T270" s="15"/>
      <c r="U270" s="15"/>
      <c r="V270" s="15"/>
    </row>
    <row r="271">
      <c r="S271" s="15"/>
      <c r="T271" s="15"/>
      <c r="U271" s="15"/>
      <c r="V271" s="15"/>
    </row>
    <row r="272">
      <c r="S272" s="15"/>
      <c r="T272" s="15"/>
      <c r="U272" s="15"/>
      <c r="V272" s="15"/>
    </row>
    <row r="273">
      <c r="S273" s="15"/>
      <c r="T273" s="15"/>
      <c r="U273" s="15"/>
      <c r="V273" s="15"/>
    </row>
    <row r="274">
      <c r="S274" s="15"/>
      <c r="T274" s="15"/>
      <c r="U274" s="15"/>
      <c r="V274" s="15"/>
    </row>
    <row r="275">
      <c r="S275" s="15"/>
      <c r="T275" s="15"/>
      <c r="U275" s="15"/>
      <c r="V275" s="15"/>
    </row>
    <row r="276">
      <c r="S276" s="15"/>
      <c r="T276" s="15"/>
      <c r="U276" s="15"/>
      <c r="V276" s="15"/>
    </row>
    <row r="277">
      <c r="S277" s="15"/>
      <c r="T277" s="15"/>
      <c r="U277" s="15"/>
      <c r="V277" s="15"/>
    </row>
    <row r="278">
      <c r="S278" s="15"/>
      <c r="T278" s="15"/>
      <c r="U278" s="15"/>
      <c r="V278" s="15"/>
    </row>
    <row r="279">
      <c r="S279" s="15"/>
      <c r="T279" s="15"/>
      <c r="U279" s="15"/>
      <c r="V279" s="15"/>
    </row>
    <row r="280">
      <c r="S280" s="15"/>
      <c r="T280" s="15"/>
      <c r="U280" s="15"/>
      <c r="V280" s="15"/>
    </row>
    <row r="281">
      <c r="S281" s="15"/>
      <c r="T281" s="15"/>
      <c r="U281" s="15"/>
      <c r="V281" s="15"/>
    </row>
    <row r="282">
      <c r="S282" s="15"/>
      <c r="T282" s="15"/>
      <c r="U282" s="15"/>
      <c r="V282" s="15"/>
    </row>
    <row r="283">
      <c r="S283" s="15"/>
      <c r="T283" s="15"/>
      <c r="U283" s="15"/>
      <c r="V283" s="15"/>
    </row>
    <row r="284">
      <c r="S284" s="15"/>
      <c r="T284" s="15"/>
      <c r="U284" s="15"/>
      <c r="V284" s="15"/>
    </row>
    <row r="285">
      <c r="S285" s="15"/>
      <c r="T285" s="15"/>
      <c r="U285" s="15"/>
      <c r="V285" s="15"/>
    </row>
    <row r="286">
      <c r="S286" s="15"/>
      <c r="T286" s="15"/>
      <c r="U286" s="15"/>
      <c r="V286" s="15"/>
    </row>
    <row r="287">
      <c r="S287" s="15"/>
      <c r="T287" s="15"/>
      <c r="U287" s="15"/>
      <c r="V287" s="15"/>
    </row>
    <row r="288">
      <c r="S288" s="15"/>
      <c r="T288" s="15"/>
      <c r="U288" s="15"/>
      <c r="V288" s="15"/>
    </row>
    <row r="289">
      <c r="S289" s="15"/>
      <c r="T289" s="15"/>
      <c r="U289" s="15"/>
      <c r="V289" s="15"/>
    </row>
    <row r="290">
      <c r="S290" s="15"/>
      <c r="T290" s="15"/>
      <c r="U290" s="15"/>
      <c r="V290" s="15"/>
    </row>
    <row r="291">
      <c r="S291" s="15"/>
      <c r="T291" s="15"/>
      <c r="U291" s="15"/>
      <c r="V291" s="15"/>
    </row>
    <row r="292">
      <c r="S292" s="15"/>
      <c r="T292" s="15"/>
      <c r="U292" s="15"/>
      <c r="V292" s="15"/>
    </row>
    <row r="293">
      <c r="S293" s="15"/>
      <c r="T293" s="15"/>
      <c r="U293" s="15"/>
      <c r="V293" s="15"/>
    </row>
    <row r="294">
      <c r="S294" s="15"/>
      <c r="T294" s="15"/>
      <c r="U294" s="15"/>
      <c r="V294" s="15"/>
    </row>
    <row r="295">
      <c r="S295" s="15"/>
      <c r="T295" s="15"/>
      <c r="U295" s="15"/>
      <c r="V295" s="15"/>
    </row>
    <row r="296">
      <c r="S296" s="15"/>
      <c r="T296" s="15"/>
      <c r="U296" s="15"/>
      <c r="V296" s="15"/>
    </row>
    <row r="297">
      <c r="S297" s="15"/>
      <c r="T297" s="15"/>
      <c r="U297" s="15"/>
      <c r="V297" s="15"/>
    </row>
    <row r="298">
      <c r="S298" s="15"/>
      <c r="T298" s="15"/>
      <c r="U298" s="15"/>
      <c r="V298" s="15"/>
    </row>
    <row r="299">
      <c r="S299" s="15"/>
      <c r="T299" s="15"/>
      <c r="U299" s="15"/>
      <c r="V299" s="15"/>
    </row>
    <row r="300">
      <c r="S300" s="15"/>
      <c r="T300" s="15"/>
      <c r="U300" s="15"/>
      <c r="V300" s="15"/>
    </row>
    <row r="301">
      <c r="S301" s="15"/>
      <c r="T301" s="15"/>
      <c r="U301" s="15"/>
      <c r="V301" s="15"/>
    </row>
    <row r="302">
      <c r="S302" s="15"/>
      <c r="T302" s="15"/>
      <c r="U302" s="15"/>
      <c r="V302" s="15"/>
    </row>
    <row r="303">
      <c r="S303" s="15"/>
      <c r="T303" s="15"/>
      <c r="U303" s="15"/>
      <c r="V303" s="15"/>
    </row>
    <row r="304">
      <c r="S304" s="15"/>
      <c r="T304" s="15"/>
      <c r="U304" s="15"/>
      <c r="V304" s="15"/>
    </row>
    <row r="305">
      <c r="S305" s="15"/>
      <c r="T305" s="15"/>
      <c r="U305" s="15"/>
      <c r="V305" s="15"/>
    </row>
    <row r="306">
      <c r="S306" s="15"/>
      <c r="T306" s="15"/>
      <c r="U306" s="15"/>
      <c r="V306" s="15"/>
    </row>
    <row r="307">
      <c r="S307" s="15"/>
      <c r="T307" s="15"/>
      <c r="U307" s="15"/>
      <c r="V307" s="15"/>
    </row>
    <row r="308">
      <c r="S308" s="15"/>
      <c r="T308" s="15"/>
      <c r="U308" s="15"/>
      <c r="V308" s="15"/>
    </row>
    <row r="309">
      <c r="S309" s="15"/>
      <c r="T309" s="15"/>
      <c r="U309" s="15"/>
      <c r="V309" s="15"/>
    </row>
    <row r="310">
      <c r="S310" s="15"/>
      <c r="T310" s="15"/>
      <c r="U310" s="15"/>
      <c r="V310" s="15"/>
    </row>
    <row r="311">
      <c r="S311" s="15"/>
      <c r="T311" s="15"/>
      <c r="U311" s="15"/>
      <c r="V311" s="15"/>
    </row>
    <row r="312">
      <c r="S312" s="15"/>
      <c r="T312" s="15"/>
      <c r="U312" s="15"/>
      <c r="V312" s="15"/>
    </row>
    <row r="313">
      <c r="S313" s="15"/>
      <c r="T313" s="15"/>
      <c r="U313" s="15"/>
      <c r="V313" s="15"/>
    </row>
    <row r="314">
      <c r="S314" s="15"/>
      <c r="T314" s="15"/>
      <c r="U314" s="15"/>
      <c r="V314" s="15"/>
    </row>
    <row r="315">
      <c r="S315" s="15"/>
      <c r="T315" s="15"/>
      <c r="U315" s="15"/>
      <c r="V315" s="15"/>
    </row>
    <row r="316">
      <c r="S316" s="15"/>
      <c r="T316" s="15"/>
      <c r="U316" s="15"/>
      <c r="V316" s="15"/>
    </row>
    <row r="317">
      <c r="S317" s="15"/>
      <c r="T317" s="15"/>
      <c r="U317" s="15"/>
      <c r="V317" s="15"/>
    </row>
    <row r="318">
      <c r="S318" s="15"/>
      <c r="T318" s="15"/>
      <c r="U318" s="15"/>
      <c r="V318" s="15"/>
    </row>
    <row r="319">
      <c r="S319" s="15"/>
      <c r="T319" s="15"/>
      <c r="U319" s="15"/>
      <c r="V319" s="15"/>
    </row>
    <row r="320">
      <c r="S320" s="15"/>
      <c r="T320" s="15"/>
      <c r="U320" s="15"/>
      <c r="V320" s="15"/>
    </row>
    <row r="321">
      <c r="S321" s="15"/>
      <c r="T321" s="15"/>
      <c r="U321" s="15"/>
      <c r="V321" s="15"/>
    </row>
    <row r="322">
      <c r="S322" s="15"/>
      <c r="T322" s="15"/>
      <c r="U322" s="15"/>
      <c r="V322" s="15"/>
    </row>
    <row r="323">
      <c r="S323" s="15"/>
      <c r="T323" s="15"/>
      <c r="U323" s="15"/>
      <c r="V323" s="15"/>
    </row>
    <row r="324">
      <c r="S324" s="15"/>
      <c r="T324" s="15"/>
      <c r="U324" s="15"/>
      <c r="V324" s="15"/>
    </row>
    <row r="325">
      <c r="S325" s="15"/>
      <c r="T325" s="15"/>
      <c r="U325" s="15"/>
      <c r="V325" s="15"/>
    </row>
    <row r="326">
      <c r="S326" s="15"/>
      <c r="T326" s="15"/>
      <c r="U326" s="15"/>
      <c r="V326" s="15"/>
    </row>
    <row r="327">
      <c r="S327" s="15"/>
      <c r="T327" s="15"/>
      <c r="U327" s="15"/>
      <c r="V327" s="15"/>
    </row>
    <row r="328">
      <c r="S328" s="15"/>
      <c r="T328" s="15"/>
      <c r="U328" s="15"/>
      <c r="V328" s="15"/>
    </row>
    <row r="329">
      <c r="S329" s="15"/>
      <c r="T329" s="15"/>
      <c r="U329" s="15"/>
      <c r="V329" s="15"/>
    </row>
    <row r="330">
      <c r="S330" s="15"/>
      <c r="T330" s="15"/>
      <c r="U330" s="15"/>
      <c r="V330" s="15"/>
    </row>
    <row r="331">
      <c r="S331" s="15"/>
      <c r="T331" s="15"/>
      <c r="U331" s="15"/>
      <c r="V331" s="15"/>
    </row>
    <row r="332">
      <c r="S332" s="15"/>
      <c r="T332" s="15"/>
      <c r="U332" s="15"/>
      <c r="V332" s="15"/>
    </row>
    <row r="333">
      <c r="S333" s="15"/>
      <c r="T333" s="15"/>
      <c r="U333" s="15"/>
      <c r="V333" s="15"/>
    </row>
    <row r="334">
      <c r="S334" s="15"/>
      <c r="T334" s="15"/>
      <c r="U334" s="15"/>
      <c r="V334" s="15"/>
    </row>
    <row r="335">
      <c r="S335" s="15"/>
      <c r="T335" s="15"/>
      <c r="U335" s="15"/>
      <c r="V335" s="15"/>
    </row>
    <row r="336">
      <c r="S336" s="15"/>
      <c r="T336" s="15"/>
      <c r="U336" s="15"/>
      <c r="V336" s="15"/>
    </row>
    <row r="337">
      <c r="S337" s="15"/>
      <c r="T337" s="15"/>
      <c r="U337" s="15"/>
      <c r="V337" s="15"/>
    </row>
    <row r="338">
      <c r="S338" s="15"/>
      <c r="T338" s="15"/>
      <c r="U338" s="15"/>
      <c r="V338" s="15"/>
    </row>
    <row r="339">
      <c r="S339" s="15"/>
      <c r="T339" s="15"/>
      <c r="U339" s="15"/>
      <c r="V339" s="15"/>
    </row>
    <row r="340">
      <c r="S340" s="15"/>
      <c r="T340" s="15"/>
      <c r="U340" s="15"/>
      <c r="V340" s="15"/>
    </row>
    <row r="341">
      <c r="S341" s="15"/>
      <c r="T341" s="15"/>
      <c r="U341" s="15"/>
      <c r="V341" s="15"/>
    </row>
    <row r="342">
      <c r="S342" s="15"/>
      <c r="T342" s="15"/>
      <c r="U342" s="15"/>
      <c r="V342" s="15"/>
    </row>
    <row r="343">
      <c r="S343" s="15"/>
      <c r="T343" s="15"/>
      <c r="U343" s="15"/>
      <c r="V343" s="15"/>
    </row>
    <row r="344">
      <c r="S344" s="15"/>
      <c r="T344" s="15"/>
      <c r="U344" s="15"/>
      <c r="V344" s="15"/>
    </row>
    <row r="345">
      <c r="S345" s="15"/>
      <c r="T345" s="15"/>
      <c r="U345" s="15"/>
      <c r="V345" s="15"/>
    </row>
    <row r="346">
      <c r="S346" s="15"/>
      <c r="T346" s="15"/>
      <c r="U346" s="15"/>
      <c r="V346" s="15"/>
    </row>
    <row r="347">
      <c r="S347" s="15"/>
      <c r="T347" s="15"/>
      <c r="U347" s="15"/>
      <c r="V347" s="15"/>
    </row>
    <row r="348">
      <c r="S348" s="15"/>
      <c r="T348" s="15"/>
      <c r="U348" s="15"/>
      <c r="V348" s="15"/>
    </row>
    <row r="349">
      <c r="S349" s="15"/>
      <c r="T349" s="15"/>
      <c r="U349" s="15"/>
      <c r="V349" s="15"/>
    </row>
    <row r="350">
      <c r="S350" s="15"/>
      <c r="T350" s="15"/>
      <c r="U350" s="15"/>
      <c r="V350" s="15"/>
    </row>
    <row r="351">
      <c r="S351" s="15"/>
      <c r="T351" s="15"/>
      <c r="U351" s="15"/>
      <c r="V351" s="15"/>
    </row>
    <row r="352">
      <c r="S352" s="15"/>
      <c r="T352" s="15"/>
      <c r="U352" s="15"/>
      <c r="V352" s="15"/>
    </row>
    <row r="353">
      <c r="S353" s="15"/>
      <c r="T353" s="15"/>
      <c r="U353" s="15"/>
      <c r="V353" s="15"/>
    </row>
    <row r="354">
      <c r="S354" s="15"/>
      <c r="T354" s="15"/>
      <c r="U354" s="15"/>
      <c r="V354" s="15"/>
    </row>
    <row r="355">
      <c r="S355" s="15"/>
      <c r="T355" s="15"/>
      <c r="U355" s="15"/>
      <c r="V355" s="15"/>
    </row>
    <row r="356">
      <c r="S356" s="15"/>
      <c r="T356" s="15"/>
      <c r="U356" s="15"/>
      <c r="V356" s="15"/>
    </row>
    <row r="357">
      <c r="S357" s="15"/>
      <c r="T357" s="15"/>
      <c r="U357" s="15"/>
      <c r="V357" s="15"/>
    </row>
    <row r="358">
      <c r="S358" s="15"/>
      <c r="T358" s="15"/>
      <c r="U358" s="15"/>
      <c r="V358" s="15"/>
    </row>
    <row r="359">
      <c r="S359" s="15"/>
      <c r="T359" s="15"/>
      <c r="U359" s="15"/>
      <c r="V359" s="15"/>
    </row>
    <row r="360">
      <c r="S360" s="15"/>
      <c r="T360" s="15"/>
      <c r="U360" s="15"/>
      <c r="V360" s="15"/>
    </row>
    <row r="361">
      <c r="S361" s="15"/>
      <c r="T361" s="15"/>
      <c r="U361" s="15"/>
      <c r="V361" s="15"/>
    </row>
    <row r="362">
      <c r="S362" s="15"/>
      <c r="T362" s="15"/>
      <c r="U362" s="15"/>
      <c r="V362" s="15"/>
    </row>
    <row r="363">
      <c r="S363" s="15"/>
      <c r="T363" s="15"/>
      <c r="U363" s="15"/>
      <c r="V363" s="15"/>
    </row>
    <row r="364">
      <c r="S364" s="15"/>
      <c r="T364" s="15"/>
      <c r="U364" s="15"/>
      <c r="V364" s="15"/>
    </row>
    <row r="365">
      <c r="S365" s="15"/>
      <c r="T365" s="15"/>
      <c r="U365" s="15"/>
      <c r="V365" s="15"/>
    </row>
    <row r="366">
      <c r="S366" s="15"/>
      <c r="T366" s="15"/>
      <c r="U366" s="15"/>
      <c r="V366" s="15"/>
    </row>
    <row r="367">
      <c r="S367" s="15"/>
      <c r="T367" s="15"/>
      <c r="U367" s="15"/>
      <c r="V367" s="15"/>
    </row>
    <row r="368">
      <c r="S368" s="15"/>
      <c r="T368" s="15"/>
      <c r="U368" s="15"/>
      <c r="V368" s="15"/>
    </row>
    <row r="369">
      <c r="S369" s="15"/>
      <c r="T369" s="15"/>
      <c r="U369" s="15"/>
      <c r="V369" s="15"/>
    </row>
    <row r="370">
      <c r="S370" s="15"/>
      <c r="T370" s="15"/>
      <c r="U370" s="15"/>
      <c r="V370" s="15"/>
    </row>
    <row r="371">
      <c r="S371" s="15"/>
      <c r="T371" s="15"/>
      <c r="U371" s="15"/>
      <c r="V371" s="15"/>
    </row>
    <row r="372">
      <c r="S372" s="15"/>
      <c r="T372" s="15"/>
      <c r="U372" s="15"/>
      <c r="V372" s="15"/>
    </row>
    <row r="373">
      <c r="S373" s="15"/>
      <c r="T373" s="15"/>
      <c r="U373" s="15"/>
      <c r="V373" s="15"/>
    </row>
    <row r="374">
      <c r="S374" s="15"/>
      <c r="T374" s="15"/>
      <c r="U374" s="15"/>
      <c r="V374" s="15"/>
    </row>
    <row r="375">
      <c r="S375" s="15"/>
      <c r="T375" s="15"/>
      <c r="U375" s="15"/>
      <c r="V375" s="15"/>
    </row>
    <row r="376">
      <c r="S376" s="15"/>
      <c r="T376" s="15"/>
      <c r="U376" s="15"/>
      <c r="V376" s="15"/>
    </row>
    <row r="377">
      <c r="S377" s="15"/>
      <c r="T377" s="15"/>
      <c r="U377" s="15"/>
      <c r="V377" s="15"/>
    </row>
    <row r="378">
      <c r="S378" s="15"/>
      <c r="T378" s="15"/>
      <c r="U378" s="15"/>
      <c r="V378" s="15"/>
    </row>
    <row r="379">
      <c r="S379" s="15"/>
      <c r="T379" s="15"/>
      <c r="U379" s="15"/>
      <c r="V379" s="15"/>
    </row>
    <row r="380">
      <c r="S380" s="15"/>
      <c r="T380" s="15"/>
      <c r="U380" s="15"/>
      <c r="V380" s="15"/>
    </row>
    <row r="381">
      <c r="S381" s="15"/>
      <c r="T381" s="15"/>
      <c r="U381" s="15"/>
      <c r="V381" s="15"/>
    </row>
    <row r="382">
      <c r="S382" s="15"/>
      <c r="T382" s="15"/>
      <c r="U382" s="15"/>
      <c r="V382" s="15"/>
    </row>
    <row r="383">
      <c r="S383" s="15"/>
      <c r="T383" s="15"/>
      <c r="U383" s="15"/>
      <c r="V383" s="15"/>
    </row>
    <row r="384">
      <c r="S384" s="15"/>
      <c r="T384" s="15"/>
      <c r="U384" s="15"/>
      <c r="V384" s="15"/>
    </row>
    <row r="385">
      <c r="S385" s="15"/>
      <c r="T385" s="15"/>
      <c r="U385" s="15"/>
      <c r="V385" s="15"/>
    </row>
    <row r="386">
      <c r="S386" s="15"/>
      <c r="T386" s="15"/>
      <c r="U386" s="15"/>
      <c r="V386" s="15"/>
    </row>
    <row r="387">
      <c r="S387" s="15"/>
      <c r="T387" s="15"/>
      <c r="U387" s="15"/>
      <c r="V387" s="15"/>
    </row>
    <row r="388">
      <c r="S388" s="15"/>
      <c r="T388" s="15"/>
      <c r="U388" s="15"/>
      <c r="V388" s="15"/>
    </row>
    <row r="389">
      <c r="S389" s="15"/>
      <c r="T389" s="15"/>
      <c r="U389" s="15"/>
      <c r="V389" s="15"/>
    </row>
    <row r="390">
      <c r="S390" s="15"/>
      <c r="T390" s="15"/>
      <c r="U390" s="15"/>
      <c r="V390" s="15"/>
    </row>
    <row r="391">
      <c r="S391" s="15"/>
      <c r="T391" s="15"/>
      <c r="U391" s="15"/>
      <c r="V391" s="15"/>
    </row>
    <row r="392">
      <c r="S392" s="15"/>
      <c r="T392" s="15"/>
      <c r="U392" s="15"/>
      <c r="V392" s="15"/>
    </row>
    <row r="393">
      <c r="S393" s="15"/>
      <c r="T393" s="15"/>
      <c r="U393" s="15"/>
      <c r="V393" s="15"/>
    </row>
    <row r="394">
      <c r="S394" s="15"/>
      <c r="T394" s="15"/>
      <c r="U394" s="15"/>
      <c r="V394" s="15"/>
    </row>
    <row r="395">
      <c r="S395" s="15"/>
      <c r="T395" s="15"/>
      <c r="U395" s="15"/>
      <c r="V395" s="15"/>
    </row>
    <row r="396">
      <c r="S396" s="15"/>
      <c r="T396" s="15"/>
      <c r="U396" s="15"/>
      <c r="V396" s="15"/>
    </row>
    <row r="397">
      <c r="S397" s="15"/>
      <c r="T397" s="15"/>
      <c r="U397" s="15"/>
      <c r="V397" s="15"/>
    </row>
    <row r="398">
      <c r="S398" s="15"/>
      <c r="T398" s="15"/>
      <c r="U398" s="15"/>
      <c r="V398" s="15"/>
    </row>
    <row r="399">
      <c r="S399" s="15"/>
      <c r="T399" s="15"/>
      <c r="U399" s="15"/>
      <c r="V399" s="15"/>
    </row>
    <row r="400">
      <c r="S400" s="15"/>
      <c r="T400" s="15"/>
      <c r="U400" s="15"/>
      <c r="V400" s="15"/>
    </row>
    <row r="401">
      <c r="S401" s="15"/>
      <c r="T401" s="15"/>
      <c r="U401" s="15"/>
      <c r="V401" s="15"/>
    </row>
    <row r="402">
      <c r="S402" s="15"/>
      <c r="T402" s="15"/>
      <c r="U402" s="15"/>
      <c r="V402" s="15"/>
    </row>
    <row r="403">
      <c r="S403" s="15"/>
      <c r="T403" s="15"/>
      <c r="U403" s="15"/>
      <c r="V403" s="15"/>
    </row>
    <row r="404">
      <c r="S404" s="15"/>
      <c r="T404" s="15"/>
      <c r="U404" s="15"/>
      <c r="V404" s="15"/>
    </row>
    <row r="405">
      <c r="S405" s="15"/>
      <c r="T405" s="15"/>
      <c r="U405" s="15"/>
      <c r="V405" s="15"/>
    </row>
    <row r="406">
      <c r="S406" s="15"/>
      <c r="T406" s="15"/>
      <c r="U406" s="15"/>
      <c r="V406" s="15"/>
    </row>
    <row r="407">
      <c r="S407" s="15"/>
      <c r="T407" s="15"/>
      <c r="U407" s="15"/>
      <c r="V407" s="15"/>
    </row>
    <row r="408">
      <c r="S408" s="15"/>
      <c r="T408" s="15"/>
      <c r="U408" s="15"/>
      <c r="V408" s="15"/>
    </row>
    <row r="409">
      <c r="S409" s="15"/>
      <c r="T409" s="15"/>
      <c r="U409" s="15"/>
      <c r="V409" s="15"/>
    </row>
    <row r="410">
      <c r="S410" s="15"/>
      <c r="T410" s="15"/>
      <c r="U410" s="15"/>
      <c r="V410" s="15"/>
    </row>
    <row r="411">
      <c r="S411" s="15"/>
      <c r="T411" s="15"/>
      <c r="U411" s="15"/>
      <c r="V411" s="15"/>
    </row>
    <row r="412">
      <c r="S412" s="15"/>
      <c r="T412" s="15"/>
      <c r="U412" s="15"/>
      <c r="V412" s="15"/>
    </row>
    <row r="413">
      <c r="S413" s="15"/>
      <c r="T413" s="15"/>
      <c r="U413" s="15"/>
      <c r="V413" s="15"/>
    </row>
    <row r="414">
      <c r="S414" s="15"/>
      <c r="T414" s="15"/>
      <c r="U414" s="15"/>
      <c r="V414" s="15"/>
    </row>
    <row r="415">
      <c r="S415" s="15"/>
      <c r="T415" s="15"/>
      <c r="U415" s="15"/>
      <c r="V415" s="15"/>
    </row>
    <row r="416">
      <c r="S416" s="15"/>
      <c r="T416" s="15"/>
      <c r="U416" s="15"/>
      <c r="V416" s="15"/>
    </row>
    <row r="417">
      <c r="S417" s="15"/>
      <c r="T417" s="15"/>
      <c r="U417" s="15"/>
      <c r="V417" s="15"/>
    </row>
    <row r="418">
      <c r="S418" s="15"/>
      <c r="T418" s="15"/>
      <c r="U418" s="15"/>
      <c r="V418" s="15"/>
    </row>
    <row r="419">
      <c r="S419" s="15"/>
      <c r="T419" s="15"/>
      <c r="U419" s="15"/>
      <c r="V419" s="15"/>
    </row>
    <row r="420">
      <c r="S420" s="15"/>
      <c r="T420" s="15"/>
      <c r="U420" s="15"/>
      <c r="V420" s="15"/>
    </row>
    <row r="421">
      <c r="S421" s="15"/>
      <c r="T421" s="15"/>
      <c r="U421" s="15"/>
      <c r="V421" s="15"/>
    </row>
    <row r="422">
      <c r="S422" s="15"/>
      <c r="T422" s="15"/>
      <c r="U422" s="15"/>
      <c r="V422" s="15"/>
    </row>
    <row r="423">
      <c r="S423" s="15"/>
      <c r="T423" s="15"/>
      <c r="U423" s="15"/>
      <c r="V423" s="15"/>
    </row>
    <row r="424">
      <c r="S424" s="15"/>
      <c r="T424" s="15"/>
      <c r="U424" s="15"/>
      <c r="V424" s="15"/>
    </row>
    <row r="425">
      <c r="S425" s="15"/>
      <c r="T425" s="15"/>
      <c r="U425" s="15"/>
      <c r="V425" s="15"/>
    </row>
    <row r="426">
      <c r="S426" s="15"/>
      <c r="T426" s="15"/>
      <c r="U426" s="15"/>
      <c r="V426" s="15"/>
    </row>
    <row r="427">
      <c r="S427" s="15"/>
      <c r="T427" s="15"/>
      <c r="U427" s="15"/>
      <c r="V427" s="15"/>
    </row>
    <row r="428">
      <c r="S428" s="15"/>
      <c r="T428" s="15"/>
      <c r="U428" s="15"/>
      <c r="V428" s="15"/>
    </row>
    <row r="429">
      <c r="S429" s="15"/>
      <c r="T429" s="15"/>
      <c r="U429" s="15"/>
      <c r="V429" s="15"/>
    </row>
    <row r="430">
      <c r="S430" s="15"/>
      <c r="T430" s="15"/>
      <c r="U430" s="15"/>
      <c r="V430" s="15"/>
    </row>
    <row r="431">
      <c r="S431" s="15"/>
      <c r="T431" s="15"/>
      <c r="U431" s="15"/>
      <c r="V431" s="15"/>
    </row>
    <row r="432">
      <c r="S432" s="15"/>
      <c r="T432" s="15"/>
      <c r="U432" s="15"/>
      <c r="V432" s="15"/>
    </row>
    <row r="433">
      <c r="S433" s="15"/>
      <c r="T433" s="15"/>
      <c r="U433" s="15"/>
      <c r="V433" s="15"/>
    </row>
    <row r="434">
      <c r="S434" s="15"/>
      <c r="T434" s="15"/>
      <c r="U434" s="15"/>
      <c r="V434" s="15"/>
    </row>
    <row r="435">
      <c r="S435" s="15"/>
      <c r="T435" s="15"/>
      <c r="U435" s="15"/>
      <c r="V435" s="15"/>
    </row>
    <row r="436">
      <c r="S436" s="15"/>
      <c r="T436" s="15"/>
      <c r="U436" s="15"/>
      <c r="V436" s="15"/>
    </row>
    <row r="437">
      <c r="S437" s="15"/>
      <c r="T437" s="15"/>
      <c r="U437" s="15"/>
      <c r="V437" s="15"/>
    </row>
    <row r="438">
      <c r="S438" s="15"/>
      <c r="T438" s="15"/>
      <c r="U438" s="15"/>
      <c r="V438" s="15"/>
    </row>
    <row r="439">
      <c r="S439" s="15"/>
      <c r="T439" s="15"/>
      <c r="U439" s="15"/>
      <c r="V439" s="15"/>
    </row>
    <row r="440">
      <c r="S440" s="15"/>
      <c r="T440" s="15"/>
      <c r="U440" s="15"/>
      <c r="V440" s="15"/>
    </row>
    <row r="441">
      <c r="S441" s="15"/>
      <c r="T441" s="15"/>
      <c r="U441" s="15"/>
      <c r="V441" s="15"/>
    </row>
    <row r="442">
      <c r="S442" s="15"/>
      <c r="T442" s="15"/>
      <c r="U442" s="15"/>
      <c r="V442" s="15"/>
    </row>
    <row r="443">
      <c r="S443" s="15"/>
      <c r="T443" s="15"/>
      <c r="U443" s="15"/>
      <c r="V443" s="15"/>
    </row>
    <row r="444">
      <c r="S444" s="15"/>
      <c r="T444" s="15"/>
      <c r="U444" s="15"/>
      <c r="V444" s="15"/>
    </row>
    <row r="445">
      <c r="S445" s="15"/>
      <c r="T445" s="15"/>
      <c r="U445" s="15"/>
      <c r="V445" s="15"/>
    </row>
    <row r="446">
      <c r="S446" s="15"/>
      <c r="T446" s="15"/>
      <c r="U446" s="15"/>
      <c r="V446" s="15"/>
    </row>
    <row r="447">
      <c r="S447" s="15"/>
      <c r="T447" s="15"/>
      <c r="U447" s="15"/>
      <c r="V447" s="15"/>
    </row>
    <row r="448">
      <c r="S448" s="15"/>
      <c r="T448" s="15"/>
      <c r="U448" s="15"/>
      <c r="V448" s="15"/>
    </row>
    <row r="449">
      <c r="S449" s="15"/>
      <c r="T449" s="15"/>
      <c r="U449" s="15"/>
      <c r="V449" s="15"/>
    </row>
    <row r="450">
      <c r="S450" s="15"/>
      <c r="T450" s="15"/>
      <c r="U450" s="15"/>
      <c r="V450" s="15"/>
    </row>
    <row r="451">
      <c r="S451" s="15"/>
      <c r="T451" s="15"/>
      <c r="U451" s="15"/>
      <c r="V451" s="15"/>
    </row>
    <row r="452">
      <c r="S452" s="15"/>
      <c r="T452" s="15"/>
      <c r="U452" s="15"/>
      <c r="V452" s="15"/>
    </row>
    <row r="453">
      <c r="S453" s="15"/>
      <c r="T453" s="15"/>
      <c r="U453" s="15"/>
      <c r="V453" s="15"/>
    </row>
    <row r="454">
      <c r="S454" s="15"/>
      <c r="T454" s="15"/>
      <c r="U454" s="15"/>
      <c r="V454" s="15"/>
    </row>
    <row r="455">
      <c r="S455" s="15"/>
      <c r="T455" s="15"/>
      <c r="U455" s="15"/>
      <c r="V455" s="15"/>
    </row>
    <row r="456">
      <c r="S456" s="15"/>
      <c r="T456" s="15"/>
      <c r="U456" s="15"/>
      <c r="V456" s="15"/>
    </row>
    <row r="457">
      <c r="S457" s="15"/>
      <c r="T457" s="15"/>
      <c r="U457" s="15"/>
      <c r="V457" s="15"/>
    </row>
    <row r="458">
      <c r="S458" s="15"/>
      <c r="T458" s="15"/>
      <c r="U458" s="15"/>
      <c r="V458" s="15"/>
    </row>
    <row r="459">
      <c r="S459" s="15"/>
      <c r="T459" s="15"/>
      <c r="U459" s="15"/>
      <c r="V459" s="15"/>
    </row>
    <row r="460">
      <c r="S460" s="15"/>
      <c r="T460" s="15"/>
      <c r="U460" s="15"/>
      <c r="V460" s="15"/>
    </row>
    <row r="461">
      <c r="S461" s="15"/>
      <c r="T461" s="15"/>
      <c r="U461" s="15"/>
      <c r="V461" s="15"/>
    </row>
    <row r="462">
      <c r="S462" s="15"/>
      <c r="T462" s="15"/>
      <c r="U462" s="15"/>
      <c r="V462" s="15"/>
    </row>
    <row r="463">
      <c r="S463" s="15"/>
      <c r="T463" s="15"/>
      <c r="U463" s="15"/>
      <c r="V463" s="15"/>
    </row>
    <row r="464">
      <c r="S464" s="15"/>
      <c r="T464" s="15"/>
      <c r="U464" s="15"/>
      <c r="V464" s="15"/>
    </row>
    <row r="465">
      <c r="S465" s="15"/>
      <c r="T465" s="15"/>
      <c r="U465" s="15"/>
      <c r="V465" s="15"/>
    </row>
    <row r="466">
      <c r="S466" s="15"/>
      <c r="T466" s="15"/>
      <c r="U466" s="15"/>
      <c r="V466" s="15"/>
    </row>
    <row r="467">
      <c r="S467" s="15"/>
      <c r="T467" s="15"/>
      <c r="U467" s="15"/>
      <c r="V467" s="15"/>
    </row>
    <row r="468">
      <c r="S468" s="15"/>
      <c r="T468" s="15"/>
      <c r="U468" s="15"/>
      <c r="V468" s="15"/>
    </row>
    <row r="469">
      <c r="S469" s="15"/>
      <c r="T469" s="15"/>
      <c r="U469" s="15"/>
      <c r="V469" s="15"/>
    </row>
    <row r="470">
      <c r="S470" s="15"/>
      <c r="T470" s="15"/>
      <c r="U470" s="15"/>
      <c r="V470" s="15"/>
    </row>
    <row r="471">
      <c r="S471" s="15"/>
      <c r="T471" s="15"/>
      <c r="U471" s="15"/>
      <c r="V471" s="15"/>
    </row>
    <row r="472">
      <c r="S472" s="15"/>
      <c r="T472" s="15"/>
      <c r="U472" s="15"/>
      <c r="V472" s="15"/>
    </row>
    <row r="473">
      <c r="S473" s="15"/>
      <c r="T473" s="15"/>
      <c r="U473" s="15"/>
      <c r="V473" s="15"/>
    </row>
    <row r="474">
      <c r="S474" s="15"/>
      <c r="T474" s="15"/>
      <c r="U474" s="15"/>
      <c r="V474" s="15"/>
    </row>
    <row r="475">
      <c r="S475" s="15"/>
      <c r="T475" s="15"/>
      <c r="U475" s="15"/>
      <c r="V475" s="15"/>
    </row>
    <row r="476">
      <c r="S476" s="15"/>
      <c r="T476" s="15"/>
      <c r="U476" s="15"/>
      <c r="V476" s="15"/>
    </row>
    <row r="477">
      <c r="S477" s="15"/>
      <c r="T477" s="15"/>
      <c r="U477" s="15"/>
      <c r="V477" s="15"/>
    </row>
    <row r="478">
      <c r="S478" s="15"/>
      <c r="T478" s="15"/>
      <c r="U478" s="15"/>
      <c r="V478" s="15"/>
    </row>
    <row r="479">
      <c r="S479" s="15"/>
      <c r="T479" s="15"/>
      <c r="U479" s="15"/>
      <c r="V479" s="15"/>
    </row>
    <row r="480">
      <c r="S480" s="15"/>
      <c r="T480" s="15"/>
      <c r="U480" s="15"/>
      <c r="V480" s="15"/>
    </row>
    <row r="481">
      <c r="S481" s="15"/>
      <c r="T481" s="15"/>
      <c r="U481" s="15"/>
      <c r="V481" s="15"/>
    </row>
    <row r="482">
      <c r="S482" s="15"/>
      <c r="T482" s="15"/>
      <c r="U482" s="15"/>
      <c r="V482" s="15"/>
    </row>
    <row r="483">
      <c r="S483" s="15"/>
      <c r="T483" s="15"/>
      <c r="U483" s="15"/>
      <c r="V483" s="15"/>
    </row>
    <row r="484">
      <c r="S484" s="15"/>
      <c r="T484" s="15"/>
      <c r="U484" s="15"/>
      <c r="V484" s="15"/>
    </row>
    <row r="485">
      <c r="S485" s="15"/>
      <c r="T485" s="15"/>
      <c r="U485" s="15"/>
      <c r="V485" s="15"/>
    </row>
    <row r="486">
      <c r="S486" s="15"/>
      <c r="T486" s="15"/>
      <c r="U486" s="15"/>
      <c r="V486" s="15"/>
    </row>
    <row r="487">
      <c r="S487" s="15"/>
      <c r="T487" s="15"/>
      <c r="U487" s="15"/>
      <c r="V487" s="15"/>
    </row>
    <row r="488">
      <c r="S488" s="15"/>
      <c r="T488" s="15"/>
      <c r="U488" s="15"/>
      <c r="V488" s="15"/>
    </row>
    <row r="489">
      <c r="S489" s="15"/>
      <c r="T489" s="15"/>
      <c r="U489" s="15"/>
      <c r="V489" s="15"/>
    </row>
    <row r="490">
      <c r="S490" s="15"/>
      <c r="T490" s="15"/>
      <c r="U490" s="15"/>
      <c r="V490" s="15"/>
    </row>
    <row r="491">
      <c r="S491" s="15"/>
      <c r="T491" s="15"/>
      <c r="U491" s="15"/>
      <c r="V491" s="15"/>
    </row>
    <row r="492">
      <c r="S492" s="15"/>
      <c r="T492" s="15"/>
      <c r="U492" s="15"/>
      <c r="V492" s="15"/>
    </row>
    <row r="493">
      <c r="S493" s="15"/>
      <c r="T493" s="15"/>
      <c r="U493" s="15"/>
      <c r="V493" s="15"/>
    </row>
    <row r="494">
      <c r="S494" s="15"/>
      <c r="T494" s="15"/>
      <c r="U494" s="15"/>
      <c r="V494" s="15"/>
    </row>
    <row r="495">
      <c r="S495" s="15"/>
      <c r="T495" s="15"/>
      <c r="U495" s="15"/>
      <c r="V495" s="15"/>
    </row>
    <row r="496">
      <c r="S496" s="15"/>
      <c r="T496" s="15"/>
      <c r="U496" s="15"/>
      <c r="V496" s="15"/>
    </row>
    <row r="497">
      <c r="S497" s="15"/>
      <c r="T497" s="15"/>
      <c r="U497" s="15"/>
      <c r="V497" s="15"/>
    </row>
    <row r="498">
      <c r="S498" s="15"/>
      <c r="T498" s="15"/>
      <c r="U498" s="15"/>
      <c r="V498" s="15"/>
    </row>
    <row r="499">
      <c r="S499" s="15"/>
      <c r="T499" s="15"/>
      <c r="U499" s="15"/>
      <c r="V499" s="15"/>
    </row>
    <row r="500">
      <c r="S500" s="15"/>
      <c r="T500" s="15"/>
      <c r="U500" s="15"/>
      <c r="V500" s="15"/>
    </row>
    <row r="501">
      <c r="S501" s="15"/>
      <c r="T501" s="15"/>
      <c r="U501" s="15"/>
      <c r="V501" s="15"/>
    </row>
    <row r="502">
      <c r="S502" s="15"/>
      <c r="T502" s="15"/>
      <c r="U502" s="15"/>
      <c r="V502" s="15"/>
    </row>
    <row r="503">
      <c r="S503" s="15"/>
      <c r="T503" s="15"/>
      <c r="U503" s="15"/>
      <c r="V503" s="15"/>
    </row>
    <row r="504">
      <c r="S504" s="15"/>
      <c r="T504" s="15"/>
      <c r="U504" s="15"/>
      <c r="V504" s="15"/>
    </row>
    <row r="505">
      <c r="S505" s="15"/>
      <c r="T505" s="15"/>
      <c r="U505" s="15"/>
      <c r="V505" s="15"/>
    </row>
    <row r="506">
      <c r="S506" s="15"/>
      <c r="T506" s="15"/>
      <c r="U506" s="15"/>
      <c r="V506" s="15"/>
    </row>
    <row r="507">
      <c r="S507" s="15"/>
      <c r="T507" s="15"/>
      <c r="U507" s="15"/>
      <c r="V507" s="15"/>
    </row>
    <row r="508">
      <c r="S508" s="15"/>
      <c r="T508" s="15"/>
      <c r="U508" s="15"/>
      <c r="V508" s="15"/>
    </row>
    <row r="509">
      <c r="S509" s="15"/>
      <c r="T509" s="15"/>
      <c r="U509" s="15"/>
      <c r="V509" s="15"/>
    </row>
    <row r="510">
      <c r="S510" s="15"/>
      <c r="T510" s="15"/>
      <c r="U510" s="15"/>
      <c r="V510" s="15"/>
    </row>
    <row r="511">
      <c r="S511" s="15"/>
      <c r="T511" s="15"/>
      <c r="U511" s="15"/>
      <c r="V511" s="15"/>
    </row>
    <row r="512">
      <c r="S512" s="15"/>
      <c r="T512" s="15"/>
      <c r="U512" s="15"/>
      <c r="V512" s="15"/>
    </row>
    <row r="513">
      <c r="S513" s="15"/>
      <c r="T513" s="15"/>
      <c r="U513" s="15"/>
      <c r="V513" s="15"/>
    </row>
    <row r="514">
      <c r="S514" s="15"/>
      <c r="T514" s="15"/>
      <c r="U514" s="15"/>
      <c r="V514" s="15"/>
    </row>
    <row r="515">
      <c r="S515" s="15"/>
      <c r="T515" s="15"/>
      <c r="U515" s="15"/>
      <c r="V515" s="15"/>
    </row>
    <row r="516">
      <c r="S516" s="15"/>
      <c r="T516" s="15"/>
      <c r="U516" s="15"/>
      <c r="V516" s="15"/>
    </row>
    <row r="517">
      <c r="S517" s="15"/>
      <c r="T517" s="15"/>
      <c r="U517" s="15"/>
      <c r="V517" s="15"/>
    </row>
    <row r="518">
      <c r="S518" s="15"/>
      <c r="T518" s="15"/>
      <c r="U518" s="15"/>
      <c r="V518" s="15"/>
    </row>
    <row r="519">
      <c r="S519" s="15"/>
      <c r="T519" s="15"/>
      <c r="U519" s="15"/>
      <c r="V519" s="15"/>
    </row>
    <row r="520">
      <c r="S520" s="15"/>
      <c r="T520" s="15"/>
      <c r="U520" s="15"/>
      <c r="V520" s="15"/>
    </row>
    <row r="521">
      <c r="S521" s="15"/>
      <c r="T521" s="15"/>
      <c r="U521" s="15"/>
      <c r="V521" s="15"/>
    </row>
    <row r="522">
      <c r="S522" s="15"/>
      <c r="T522" s="15"/>
      <c r="U522" s="15"/>
      <c r="V522" s="15"/>
    </row>
    <row r="523">
      <c r="S523" s="15"/>
      <c r="T523" s="15"/>
      <c r="U523" s="15"/>
      <c r="V523" s="15"/>
    </row>
    <row r="524">
      <c r="S524" s="15"/>
      <c r="T524" s="15"/>
      <c r="U524" s="15"/>
      <c r="V524" s="15"/>
    </row>
    <row r="525">
      <c r="S525" s="15"/>
      <c r="T525" s="15"/>
      <c r="U525" s="15"/>
      <c r="V525" s="15"/>
    </row>
    <row r="526">
      <c r="S526" s="15"/>
      <c r="T526" s="15"/>
      <c r="U526" s="15"/>
      <c r="V526" s="15"/>
    </row>
    <row r="527">
      <c r="S527" s="15"/>
      <c r="T527" s="15"/>
      <c r="U527" s="15"/>
      <c r="V527" s="15"/>
    </row>
    <row r="528">
      <c r="S528" s="15"/>
      <c r="T528" s="15"/>
      <c r="U528" s="15"/>
      <c r="V528" s="15"/>
    </row>
    <row r="529">
      <c r="S529" s="15"/>
      <c r="T529" s="15"/>
      <c r="U529" s="15"/>
      <c r="V529" s="15"/>
    </row>
    <row r="530">
      <c r="S530" s="15"/>
      <c r="T530" s="15"/>
      <c r="U530" s="15"/>
      <c r="V530" s="15"/>
    </row>
    <row r="531">
      <c r="S531" s="15"/>
      <c r="T531" s="15"/>
      <c r="U531" s="15"/>
      <c r="V531" s="15"/>
    </row>
    <row r="532">
      <c r="S532" s="15"/>
      <c r="T532" s="15"/>
      <c r="U532" s="15"/>
      <c r="V532" s="15"/>
    </row>
    <row r="533">
      <c r="S533" s="15"/>
      <c r="T533" s="15"/>
      <c r="U533" s="15"/>
      <c r="V533" s="15"/>
    </row>
    <row r="534">
      <c r="S534" s="15"/>
      <c r="T534" s="15"/>
      <c r="U534" s="15"/>
      <c r="V534" s="15"/>
    </row>
    <row r="535">
      <c r="S535" s="15"/>
      <c r="T535" s="15"/>
      <c r="U535" s="15"/>
      <c r="V535" s="15"/>
    </row>
    <row r="536">
      <c r="S536" s="15"/>
      <c r="T536" s="15"/>
      <c r="U536" s="15"/>
      <c r="V536" s="15"/>
    </row>
    <row r="537">
      <c r="S537" s="15"/>
      <c r="T537" s="15"/>
      <c r="U537" s="15"/>
      <c r="V537" s="15"/>
    </row>
    <row r="538">
      <c r="S538" s="15"/>
      <c r="T538" s="15"/>
      <c r="U538" s="15"/>
      <c r="V538" s="15"/>
    </row>
    <row r="539">
      <c r="S539" s="15"/>
      <c r="T539" s="15"/>
      <c r="U539" s="15"/>
      <c r="V539" s="15"/>
    </row>
    <row r="540">
      <c r="S540" s="15"/>
      <c r="T540" s="15"/>
      <c r="U540" s="15"/>
      <c r="V540" s="15"/>
    </row>
    <row r="541">
      <c r="S541" s="15"/>
      <c r="T541" s="15"/>
      <c r="U541" s="15"/>
      <c r="V541" s="15"/>
    </row>
    <row r="542">
      <c r="S542" s="15"/>
      <c r="T542" s="15"/>
      <c r="U542" s="15"/>
      <c r="V542" s="15"/>
    </row>
    <row r="543">
      <c r="S543" s="15"/>
      <c r="T543" s="15"/>
      <c r="U543" s="15"/>
      <c r="V543" s="15"/>
    </row>
    <row r="544">
      <c r="S544" s="15"/>
      <c r="T544" s="15"/>
      <c r="U544" s="15"/>
      <c r="V544" s="15"/>
    </row>
    <row r="545">
      <c r="S545" s="15"/>
      <c r="T545" s="15"/>
      <c r="U545" s="15"/>
      <c r="V545" s="15"/>
    </row>
    <row r="546">
      <c r="S546" s="15"/>
      <c r="T546" s="15"/>
      <c r="U546" s="15"/>
      <c r="V546" s="15"/>
    </row>
    <row r="547">
      <c r="S547" s="15"/>
      <c r="T547" s="15"/>
      <c r="U547" s="15"/>
      <c r="V547" s="15"/>
    </row>
    <row r="548">
      <c r="S548" s="15"/>
      <c r="T548" s="15"/>
      <c r="U548" s="15"/>
      <c r="V548" s="15"/>
    </row>
    <row r="549">
      <c r="S549" s="15"/>
      <c r="T549" s="15"/>
      <c r="U549" s="15"/>
      <c r="V549" s="15"/>
    </row>
    <row r="550">
      <c r="S550" s="15"/>
      <c r="T550" s="15"/>
      <c r="U550" s="15"/>
      <c r="V550" s="15"/>
    </row>
    <row r="551">
      <c r="S551" s="15"/>
      <c r="T551" s="15"/>
      <c r="U551" s="15"/>
      <c r="V551" s="15"/>
    </row>
    <row r="552">
      <c r="S552" s="15"/>
      <c r="T552" s="15"/>
      <c r="U552" s="15"/>
      <c r="V552" s="15"/>
    </row>
    <row r="553">
      <c r="S553" s="15"/>
      <c r="T553" s="15"/>
      <c r="U553" s="15"/>
      <c r="V553" s="15"/>
    </row>
    <row r="554">
      <c r="S554" s="15"/>
      <c r="T554" s="15"/>
      <c r="U554" s="15"/>
      <c r="V554" s="15"/>
    </row>
    <row r="555">
      <c r="S555" s="15"/>
      <c r="T555" s="15"/>
      <c r="U555" s="15"/>
      <c r="V555" s="15"/>
    </row>
    <row r="556">
      <c r="S556" s="15"/>
      <c r="T556" s="15"/>
      <c r="U556" s="15"/>
      <c r="V556" s="15"/>
    </row>
    <row r="557">
      <c r="S557" s="15"/>
      <c r="T557" s="15"/>
      <c r="U557" s="15"/>
      <c r="V557" s="15"/>
    </row>
    <row r="558">
      <c r="S558" s="15"/>
      <c r="T558" s="15"/>
      <c r="U558" s="15"/>
      <c r="V558" s="15"/>
    </row>
    <row r="559">
      <c r="S559" s="15"/>
      <c r="T559" s="15"/>
      <c r="U559" s="15"/>
      <c r="V559" s="15"/>
    </row>
    <row r="560">
      <c r="S560" s="15"/>
      <c r="T560" s="15"/>
      <c r="U560" s="15"/>
      <c r="V560" s="15"/>
    </row>
    <row r="561">
      <c r="S561" s="15"/>
      <c r="T561" s="15"/>
      <c r="U561" s="15"/>
      <c r="V561" s="15"/>
    </row>
    <row r="562">
      <c r="S562" s="15"/>
      <c r="T562" s="15"/>
      <c r="U562" s="15"/>
      <c r="V562" s="15"/>
    </row>
    <row r="563">
      <c r="S563" s="15"/>
      <c r="T563" s="15"/>
      <c r="U563" s="15"/>
      <c r="V563" s="15"/>
    </row>
    <row r="564">
      <c r="S564" s="15"/>
      <c r="T564" s="15"/>
      <c r="U564" s="15"/>
      <c r="V564" s="15"/>
    </row>
    <row r="565">
      <c r="S565" s="15"/>
      <c r="T565" s="15"/>
      <c r="U565" s="15"/>
      <c r="V565" s="15"/>
    </row>
    <row r="566">
      <c r="S566" s="15"/>
      <c r="T566" s="15"/>
      <c r="U566" s="15"/>
      <c r="V566" s="15"/>
    </row>
    <row r="567">
      <c r="S567" s="15"/>
      <c r="T567" s="15"/>
      <c r="U567" s="15"/>
      <c r="V567" s="15"/>
    </row>
    <row r="568">
      <c r="S568" s="15"/>
      <c r="T568" s="15"/>
      <c r="U568" s="15"/>
      <c r="V568" s="15"/>
    </row>
    <row r="569">
      <c r="S569" s="15"/>
      <c r="T569" s="15"/>
      <c r="U569" s="15"/>
      <c r="V569" s="15"/>
    </row>
    <row r="570">
      <c r="S570" s="15"/>
      <c r="T570" s="15"/>
      <c r="U570" s="15"/>
      <c r="V570" s="15"/>
    </row>
    <row r="571">
      <c r="S571" s="15"/>
      <c r="T571" s="15"/>
      <c r="U571" s="15"/>
      <c r="V571" s="15"/>
    </row>
    <row r="572">
      <c r="S572" s="15"/>
      <c r="T572" s="15"/>
      <c r="U572" s="15"/>
      <c r="V572" s="15"/>
    </row>
    <row r="573">
      <c r="S573" s="15"/>
      <c r="T573" s="15"/>
      <c r="U573" s="15"/>
      <c r="V573" s="15"/>
    </row>
    <row r="574">
      <c r="S574" s="15"/>
      <c r="T574" s="15"/>
      <c r="U574" s="15"/>
      <c r="V574" s="15"/>
    </row>
    <row r="575">
      <c r="S575" s="15"/>
      <c r="T575" s="15"/>
      <c r="U575" s="15"/>
      <c r="V575" s="15"/>
    </row>
    <row r="576">
      <c r="S576" s="15"/>
      <c r="T576" s="15"/>
      <c r="U576" s="15"/>
      <c r="V576" s="15"/>
    </row>
    <row r="577">
      <c r="S577" s="15"/>
      <c r="T577" s="15"/>
      <c r="U577" s="15"/>
      <c r="V577" s="15"/>
    </row>
    <row r="578">
      <c r="S578" s="15"/>
      <c r="T578" s="15"/>
      <c r="U578" s="15"/>
      <c r="V578" s="15"/>
    </row>
    <row r="579">
      <c r="S579" s="15"/>
      <c r="T579" s="15"/>
      <c r="U579" s="15"/>
      <c r="V579" s="15"/>
    </row>
    <row r="580">
      <c r="S580" s="15"/>
      <c r="T580" s="15"/>
      <c r="U580" s="15"/>
      <c r="V580" s="15"/>
    </row>
    <row r="581">
      <c r="S581" s="15"/>
      <c r="T581" s="15"/>
      <c r="U581" s="15"/>
      <c r="V581" s="15"/>
    </row>
    <row r="582">
      <c r="S582" s="15"/>
      <c r="T582" s="15"/>
      <c r="U582" s="15"/>
      <c r="V582" s="15"/>
    </row>
    <row r="583">
      <c r="S583" s="15"/>
      <c r="T583" s="15"/>
      <c r="U583" s="15"/>
      <c r="V583" s="15"/>
    </row>
    <row r="584">
      <c r="S584" s="15"/>
      <c r="T584" s="15"/>
      <c r="U584" s="15"/>
      <c r="V584" s="15"/>
    </row>
    <row r="585">
      <c r="S585" s="15"/>
      <c r="T585" s="15"/>
      <c r="U585" s="15"/>
      <c r="V585" s="15"/>
    </row>
    <row r="586">
      <c r="S586" s="15"/>
      <c r="T586" s="15"/>
      <c r="U586" s="15"/>
      <c r="V586" s="15"/>
    </row>
    <row r="587">
      <c r="S587" s="15"/>
      <c r="T587" s="15"/>
      <c r="U587" s="15"/>
      <c r="V587" s="15"/>
    </row>
    <row r="588">
      <c r="S588" s="15"/>
      <c r="T588" s="15"/>
      <c r="U588" s="15"/>
      <c r="V588" s="15"/>
    </row>
    <row r="589">
      <c r="S589" s="15"/>
      <c r="T589" s="15"/>
      <c r="U589" s="15"/>
      <c r="V589" s="15"/>
    </row>
    <row r="590">
      <c r="S590" s="15"/>
      <c r="T590" s="15"/>
      <c r="U590" s="15"/>
      <c r="V590" s="15"/>
    </row>
    <row r="591">
      <c r="S591" s="15"/>
      <c r="T591" s="15"/>
      <c r="U591" s="15"/>
      <c r="V591" s="15"/>
    </row>
    <row r="592">
      <c r="S592" s="15"/>
      <c r="T592" s="15"/>
      <c r="U592" s="15"/>
      <c r="V592" s="15"/>
    </row>
    <row r="593">
      <c r="S593" s="15"/>
      <c r="T593" s="15"/>
      <c r="U593" s="15"/>
      <c r="V593" s="15"/>
    </row>
    <row r="594">
      <c r="S594" s="15"/>
      <c r="T594" s="15"/>
      <c r="U594" s="15"/>
      <c r="V594" s="15"/>
    </row>
    <row r="595">
      <c r="S595" s="15"/>
      <c r="T595" s="15"/>
      <c r="U595" s="15"/>
      <c r="V595" s="15"/>
    </row>
    <row r="596">
      <c r="S596" s="15"/>
      <c r="T596" s="15"/>
      <c r="U596" s="15"/>
      <c r="V596" s="15"/>
    </row>
    <row r="597">
      <c r="S597" s="15"/>
      <c r="T597" s="15"/>
      <c r="U597" s="15"/>
      <c r="V597" s="15"/>
    </row>
    <row r="598">
      <c r="S598" s="15"/>
      <c r="T598" s="15"/>
      <c r="U598" s="15"/>
      <c r="V598" s="15"/>
    </row>
    <row r="599">
      <c r="S599" s="15"/>
      <c r="T599" s="15"/>
      <c r="U599" s="15"/>
      <c r="V599" s="15"/>
    </row>
    <row r="600">
      <c r="S600" s="15"/>
      <c r="T600" s="15"/>
      <c r="U600" s="15"/>
      <c r="V600" s="15"/>
    </row>
    <row r="601">
      <c r="S601" s="15"/>
      <c r="T601" s="15"/>
      <c r="U601" s="15"/>
      <c r="V601" s="15"/>
    </row>
    <row r="602">
      <c r="S602" s="15"/>
      <c r="T602" s="15"/>
      <c r="U602" s="15"/>
      <c r="V602" s="15"/>
    </row>
    <row r="603">
      <c r="S603" s="15"/>
      <c r="T603" s="15"/>
      <c r="U603" s="15"/>
      <c r="V603" s="15"/>
    </row>
    <row r="604">
      <c r="S604" s="15"/>
      <c r="T604" s="15"/>
      <c r="U604" s="15"/>
      <c r="V604" s="15"/>
    </row>
    <row r="605">
      <c r="S605" s="15"/>
      <c r="T605" s="15"/>
      <c r="U605" s="15"/>
      <c r="V605" s="15"/>
    </row>
    <row r="606">
      <c r="S606" s="15"/>
      <c r="T606" s="15"/>
      <c r="U606" s="15"/>
      <c r="V606" s="15"/>
    </row>
    <row r="607">
      <c r="S607" s="15"/>
      <c r="T607" s="15"/>
      <c r="U607" s="15"/>
      <c r="V607" s="15"/>
    </row>
    <row r="608">
      <c r="S608" s="15"/>
      <c r="T608" s="15"/>
      <c r="U608" s="15"/>
      <c r="V608" s="15"/>
    </row>
    <row r="609">
      <c r="S609" s="15"/>
      <c r="T609" s="15"/>
      <c r="U609" s="15"/>
      <c r="V609" s="15"/>
    </row>
    <row r="610">
      <c r="S610" s="15"/>
      <c r="T610" s="15"/>
      <c r="U610" s="15"/>
      <c r="V610" s="15"/>
    </row>
    <row r="611">
      <c r="S611" s="15"/>
      <c r="T611" s="15"/>
      <c r="U611" s="15"/>
      <c r="V611" s="15"/>
    </row>
    <row r="612">
      <c r="S612" s="15"/>
      <c r="T612" s="15"/>
      <c r="U612" s="15"/>
      <c r="V612" s="15"/>
    </row>
    <row r="613">
      <c r="S613" s="15"/>
      <c r="T613" s="15"/>
      <c r="U613" s="15"/>
      <c r="V613" s="15"/>
    </row>
    <row r="614">
      <c r="S614" s="15"/>
      <c r="T614" s="15"/>
      <c r="U614" s="15"/>
      <c r="V614" s="15"/>
    </row>
    <row r="615">
      <c r="S615" s="15"/>
      <c r="T615" s="15"/>
      <c r="U615" s="15"/>
      <c r="V615" s="15"/>
    </row>
    <row r="616">
      <c r="S616" s="15"/>
      <c r="T616" s="15"/>
      <c r="U616" s="15"/>
      <c r="V616" s="15"/>
    </row>
    <row r="617">
      <c r="S617" s="15"/>
      <c r="T617" s="15"/>
      <c r="U617" s="15"/>
      <c r="V617" s="15"/>
    </row>
    <row r="618">
      <c r="S618" s="15"/>
      <c r="T618" s="15"/>
      <c r="U618" s="15"/>
      <c r="V618" s="15"/>
    </row>
    <row r="619">
      <c r="S619" s="15"/>
      <c r="T619" s="15"/>
      <c r="U619" s="15"/>
      <c r="V619" s="15"/>
    </row>
    <row r="620">
      <c r="S620" s="15"/>
      <c r="T620" s="15"/>
      <c r="U620" s="15"/>
      <c r="V620" s="15"/>
    </row>
    <row r="621">
      <c r="S621" s="15"/>
      <c r="T621" s="15"/>
      <c r="U621" s="15"/>
      <c r="V621" s="15"/>
    </row>
    <row r="622">
      <c r="S622" s="15"/>
      <c r="T622" s="15"/>
      <c r="U622" s="15"/>
      <c r="V622" s="15"/>
    </row>
    <row r="623">
      <c r="S623" s="15"/>
      <c r="T623" s="15"/>
      <c r="U623" s="15"/>
      <c r="V623" s="15"/>
    </row>
    <row r="624">
      <c r="S624" s="15"/>
      <c r="T624" s="15"/>
      <c r="U624" s="15"/>
      <c r="V624" s="15"/>
    </row>
    <row r="625">
      <c r="S625" s="15"/>
      <c r="T625" s="15"/>
      <c r="U625" s="15"/>
      <c r="V625" s="15"/>
    </row>
    <row r="626">
      <c r="S626" s="15"/>
      <c r="T626" s="15"/>
      <c r="U626" s="15"/>
      <c r="V626" s="15"/>
    </row>
    <row r="627">
      <c r="S627" s="15"/>
      <c r="T627" s="15"/>
      <c r="U627" s="15"/>
      <c r="V627" s="15"/>
    </row>
    <row r="628">
      <c r="S628" s="15"/>
      <c r="T628" s="15"/>
      <c r="U628" s="15"/>
      <c r="V628" s="15"/>
    </row>
    <row r="629">
      <c r="S629" s="15"/>
      <c r="T629" s="15"/>
      <c r="U629" s="15"/>
      <c r="V629" s="15"/>
    </row>
    <row r="630">
      <c r="S630" s="15"/>
      <c r="T630" s="15"/>
      <c r="U630" s="15"/>
      <c r="V630" s="15"/>
    </row>
    <row r="631">
      <c r="S631" s="15"/>
      <c r="T631" s="15"/>
      <c r="U631" s="15"/>
      <c r="V631" s="15"/>
    </row>
    <row r="632">
      <c r="S632" s="15"/>
      <c r="T632" s="15"/>
      <c r="U632" s="15"/>
      <c r="V632" s="15"/>
    </row>
    <row r="633">
      <c r="S633" s="15"/>
      <c r="T633" s="15"/>
      <c r="U633" s="15"/>
      <c r="V633" s="15"/>
    </row>
    <row r="634">
      <c r="S634" s="15"/>
      <c r="T634" s="15"/>
      <c r="U634" s="15"/>
      <c r="V634" s="15"/>
    </row>
    <row r="635">
      <c r="S635" s="15"/>
      <c r="T635" s="15"/>
      <c r="U635" s="15"/>
      <c r="V635" s="15"/>
    </row>
    <row r="636">
      <c r="S636" s="15"/>
      <c r="T636" s="15"/>
      <c r="U636" s="15"/>
      <c r="V636" s="15"/>
    </row>
    <row r="637">
      <c r="S637" s="15"/>
      <c r="T637" s="15"/>
      <c r="U637" s="15"/>
      <c r="V637" s="15"/>
    </row>
    <row r="638">
      <c r="S638" s="15"/>
      <c r="T638" s="15"/>
      <c r="U638" s="15"/>
      <c r="V638" s="15"/>
    </row>
    <row r="639">
      <c r="S639" s="15"/>
      <c r="T639" s="15"/>
      <c r="U639" s="15"/>
      <c r="V639" s="15"/>
    </row>
    <row r="640">
      <c r="S640" s="15"/>
      <c r="T640" s="15"/>
      <c r="U640" s="15"/>
      <c r="V640" s="15"/>
    </row>
    <row r="641">
      <c r="S641" s="15"/>
      <c r="T641" s="15"/>
      <c r="U641" s="15"/>
      <c r="V641" s="15"/>
    </row>
    <row r="642">
      <c r="S642" s="15"/>
      <c r="T642" s="15"/>
      <c r="U642" s="15"/>
      <c r="V642" s="15"/>
    </row>
    <row r="643">
      <c r="S643" s="15"/>
      <c r="T643" s="15"/>
      <c r="U643" s="15"/>
      <c r="V643" s="15"/>
    </row>
    <row r="644">
      <c r="S644" s="15"/>
      <c r="T644" s="15"/>
      <c r="U644" s="15"/>
      <c r="V644" s="15"/>
    </row>
    <row r="645">
      <c r="S645" s="15"/>
      <c r="T645" s="15"/>
      <c r="U645" s="15"/>
      <c r="V645" s="15"/>
    </row>
    <row r="646">
      <c r="S646" s="15"/>
      <c r="T646" s="15"/>
      <c r="U646" s="15"/>
      <c r="V646" s="15"/>
    </row>
    <row r="647">
      <c r="S647" s="15"/>
      <c r="T647" s="15"/>
      <c r="U647" s="15"/>
      <c r="V647" s="15"/>
    </row>
    <row r="648">
      <c r="S648" s="15"/>
      <c r="T648" s="15"/>
      <c r="U648" s="15"/>
      <c r="V648" s="15"/>
    </row>
    <row r="649">
      <c r="S649" s="15"/>
      <c r="T649" s="15"/>
      <c r="U649" s="15"/>
      <c r="V649" s="15"/>
    </row>
    <row r="650">
      <c r="S650" s="15"/>
      <c r="T650" s="15"/>
      <c r="U650" s="15"/>
      <c r="V650" s="15"/>
    </row>
    <row r="651">
      <c r="S651" s="15"/>
      <c r="T651" s="15"/>
      <c r="U651" s="15"/>
      <c r="V651" s="15"/>
    </row>
    <row r="652">
      <c r="S652" s="15"/>
      <c r="T652" s="15"/>
      <c r="U652" s="15"/>
      <c r="V652" s="15"/>
    </row>
    <row r="653">
      <c r="S653" s="15"/>
      <c r="T653" s="15"/>
      <c r="U653" s="15"/>
      <c r="V653" s="15"/>
    </row>
    <row r="654">
      <c r="S654" s="15"/>
      <c r="T654" s="15"/>
      <c r="U654" s="15"/>
      <c r="V654" s="15"/>
    </row>
    <row r="655">
      <c r="S655" s="15"/>
      <c r="T655" s="15"/>
      <c r="U655" s="15"/>
      <c r="V655" s="15"/>
    </row>
    <row r="656">
      <c r="S656" s="15"/>
      <c r="T656" s="15"/>
      <c r="U656" s="15"/>
      <c r="V656" s="15"/>
    </row>
    <row r="657">
      <c r="S657" s="15"/>
      <c r="T657" s="15"/>
      <c r="U657" s="15"/>
      <c r="V657" s="15"/>
    </row>
    <row r="658">
      <c r="S658" s="15"/>
      <c r="T658" s="15"/>
      <c r="U658" s="15"/>
      <c r="V658" s="15"/>
    </row>
    <row r="659">
      <c r="S659" s="15"/>
      <c r="T659" s="15"/>
      <c r="U659" s="15"/>
      <c r="V659" s="15"/>
    </row>
    <row r="660">
      <c r="S660" s="15"/>
      <c r="T660" s="15"/>
      <c r="U660" s="15"/>
      <c r="V660" s="15"/>
    </row>
    <row r="661">
      <c r="S661" s="15"/>
      <c r="T661" s="15"/>
      <c r="U661" s="15"/>
      <c r="V661" s="15"/>
    </row>
    <row r="662">
      <c r="S662" s="15"/>
      <c r="T662" s="15"/>
      <c r="U662" s="15"/>
      <c r="V662" s="15"/>
    </row>
    <row r="663">
      <c r="S663" s="15"/>
      <c r="T663" s="15"/>
      <c r="U663" s="15"/>
      <c r="V663" s="15"/>
    </row>
    <row r="664">
      <c r="S664" s="15"/>
      <c r="T664" s="15"/>
      <c r="U664" s="15"/>
      <c r="V664" s="15"/>
    </row>
    <row r="665">
      <c r="S665" s="15"/>
      <c r="T665" s="15"/>
      <c r="U665" s="15"/>
      <c r="V665" s="15"/>
    </row>
    <row r="666">
      <c r="S666" s="15"/>
      <c r="T666" s="15"/>
      <c r="U666" s="15"/>
      <c r="V666" s="15"/>
    </row>
    <row r="667">
      <c r="S667" s="15"/>
      <c r="T667" s="15"/>
      <c r="U667" s="15"/>
      <c r="V667" s="15"/>
    </row>
    <row r="668">
      <c r="S668" s="15"/>
      <c r="T668" s="15"/>
      <c r="U668" s="15"/>
      <c r="V668" s="15"/>
    </row>
    <row r="669">
      <c r="S669" s="15"/>
      <c r="T669" s="15"/>
      <c r="U669" s="15"/>
      <c r="V669" s="15"/>
    </row>
    <row r="670">
      <c r="S670" s="15"/>
      <c r="T670" s="15"/>
      <c r="U670" s="15"/>
      <c r="V670" s="15"/>
    </row>
    <row r="671">
      <c r="S671" s="15"/>
      <c r="T671" s="15"/>
      <c r="U671" s="15"/>
      <c r="V671" s="15"/>
    </row>
    <row r="672">
      <c r="S672" s="15"/>
      <c r="T672" s="15"/>
      <c r="U672" s="15"/>
      <c r="V672" s="15"/>
    </row>
    <row r="673">
      <c r="S673" s="15"/>
      <c r="T673" s="15"/>
      <c r="U673" s="15"/>
      <c r="V673" s="15"/>
    </row>
    <row r="674">
      <c r="S674" s="15"/>
      <c r="T674" s="15"/>
      <c r="U674" s="15"/>
      <c r="V674" s="15"/>
    </row>
    <row r="675">
      <c r="S675" s="15"/>
      <c r="T675" s="15"/>
      <c r="U675" s="15"/>
      <c r="V675" s="15"/>
    </row>
    <row r="676">
      <c r="S676" s="15"/>
      <c r="T676" s="15"/>
      <c r="U676" s="15"/>
      <c r="V676" s="15"/>
    </row>
    <row r="677">
      <c r="S677" s="15"/>
      <c r="T677" s="15"/>
      <c r="U677" s="15"/>
      <c r="V677" s="15"/>
    </row>
    <row r="678">
      <c r="S678" s="15"/>
      <c r="T678" s="15"/>
      <c r="U678" s="15"/>
      <c r="V678" s="15"/>
    </row>
    <row r="679">
      <c r="S679" s="15"/>
      <c r="T679" s="15"/>
      <c r="U679" s="15"/>
      <c r="V679" s="15"/>
    </row>
    <row r="680">
      <c r="S680" s="15"/>
      <c r="T680" s="15"/>
      <c r="U680" s="15"/>
      <c r="V680" s="15"/>
    </row>
    <row r="681">
      <c r="S681" s="15"/>
      <c r="T681" s="15"/>
      <c r="U681" s="15"/>
      <c r="V681" s="15"/>
    </row>
    <row r="682">
      <c r="S682" s="15"/>
      <c r="T682" s="15"/>
      <c r="U682" s="15"/>
      <c r="V682" s="15"/>
    </row>
    <row r="683">
      <c r="S683" s="15"/>
      <c r="T683" s="15"/>
      <c r="U683" s="15"/>
      <c r="V683" s="15"/>
    </row>
    <row r="684">
      <c r="S684" s="15"/>
      <c r="T684" s="15"/>
      <c r="U684" s="15"/>
      <c r="V684" s="15"/>
    </row>
    <row r="685">
      <c r="S685" s="15"/>
      <c r="T685" s="15"/>
      <c r="U685" s="15"/>
      <c r="V685" s="15"/>
    </row>
    <row r="686">
      <c r="S686" s="15"/>
      <c r="T686" s="15"/>
      <c r="U686" s="15"/>
      <c r="V686" s="15"/>
    </row>
    <row r="687">
      <c r="S687" s="15"/>
      <c r="T687" s="15"/>
      <c r="U687" s="15"/>
      <c r="V687" s="15"/>
    </row>
    <row r="688">
      <c r="S688" s="15"/>
      <c r="T688" s="15"/>
      <c r="U688" s="15"/>
      <c r="V688" s="15"/>
    </row>
    <row r="689">
      <c r="S689" s="15"/>
      <c r="T689" s="15"/>
      <c r="U689" s="15"/>
      <c r="V689" s="15"/>
    </row>
    <row r="690">
      <c r="S690" s="15"/>
      <c r="T690" s="15"/>
      <c r="U690" s="15"/>
      <c r="V690" s="15"/>
    </row>
    <row r="691">
      <c r="S691" s="15"/>
      <c r="T691" s="15"/>
      <c r="U691" s="15"/>
      <c r="V691" s="15"/>
    </row>
    <row r="692">
      <c r="S692" s="15"/>
      <c r="T692" s="15"/>
      <c r="U692" s="15"/>
      <c r="V692" s="15"/>
    </row>
    <row r="693">
      <c r="S693" s="15"/>
      <c r="T693" s="15"/>
      <c r="U693" s="15"/>
      <c r="V693" s="15"/>
    </row>
    <row r="694">
      <c r="S694" s="15"/>
      <c r="T694" s="15"/>
      <c r="U694" s="15"/>
      <c r="V694" s="15"/>
    </row>
    <row r="695">
      <c r="S695" s="15"/>
      <c r="T695" s="15"/>
      <c r="U695" s="15"/>
      <c r="V695" s="15"/>
    </row>
    <row r="696">
      <c r="S696" s="15"/>
      <c r="T696" s="15"/>
      <c r="U696" s="15"/>
      <c r="V696" s="15"/>
    </row>
    <row r="697">
      <c r="S697" s="15"/>
      <c r="T697" s="15"/>
      <c r="U697" s="15"/>
      <c r="V697" s="15"/>
    </row>
    <row r="698">
      <c r="S698" s="15"/>
      <c r="T698" s="15"/>
      <c r="U698" s="15"/>
      <c r="V698" s="15"/>
    </row>
    <row r="699">
      <c r="S699" s="15"/>
      <c r="T699" s="15"/>
      <c r="U699" s="15"/>
      <c r="V699" s="15"/>
    </row>
    <row r="700">
      <c r="S700" s="15"/>
      <c r="T700" s="15"/>
      <c r="U700" s="15"/>
      <c r="V700" s="15"/>
    </row>
    <row r="701">
      <c r="S701" s="15"/>
      <c r="T701" s="15"/>
      <c r="U701" s="15"/>
      <c r="V701" s="15"/>
    </row>
    <row r="702">
      <c r="S702" s="15"/>
      <c r="T702" s="15"/>
      <c r="U702" s="15"/>
      <c r="V702" s="15"/>
    </row>
    <row r="703">
      <c r="S703" s="15"/>
      <c r="T703" s="15"/>
      <c r="U703" s="15"/>
      <c r="V703" s="15"/>
    </row>
    <row r="704">
      <c r="S704" s="15"/>
      <c r="T704" s="15"/>
      <c r="U704" s="15"/>
      <c r="V704" s="15"/>
    </row>
    <row r="705">
      <c r="S705" s="15"/>
      <c r="T705" s="15"/>
      <c r="U705" s="15"/>
      <c r="V705" s="15"/>
    </row>
    <row r="706">
      <c r="S706" s="15"/>
      <c r="T706" s="15"/>
      <c r="U706" s="15"/>
      <c r="V706" s="15"/>
    </row>
    <row r="707">
      <c r="S707" s="15"/>
      <c r="T707" s="15"/>
      <c r="U707" s="15"/>
      <c r="V707" s="15"/>
    </row>
    <row r="708">
      <c r="S708" s="15"/>
      <c r="T708" s="15"/>
      <c r="U708" s="15"/>
      <c r="V708" s="15"/>
    </row>
    <row r="709">
      <c r="S709" s="15"/>
      <c r="T709" s="15"/>
      <c r="U709" s="15"/>
      <c r="V709" s="15"/>
    </row>
    <row r="710">
      <c r="S710" s="15"/>
      <c r="T710" s="15"/>
      <c r="U710" s="15"/>
      <c r="V710" s="15"/>
    </row>
    <row r="711">
      <c r="S711" s="15"/>
      <c r="T711" s="15"/>
      <c r="U711" s="15"/>
      <c r="V711" s="15"/>
    </row>
    <row r="712">
      <c r="S712" s="15"/>
      <c r="T712" s="15"/>
      <c r="U712" s="15"/>
      <c r="V712" s="15"/>
    </row>
    <row r="713">
      <c r="S713" s="15"/>
      <c r="T713" s="15"/>
      <c r="U713" s="15"/>
      <c r="V713" s="15"/>
    </row>
    <row r="714">
      <c r="S714" s="15"/>
      <c r="T714" s="15"/>
      <c r="U714" s="15"/>
      <c r="V714" s="15"/>
    </row>
    <row r="715">
      <c r="S715" s="15"/>
      <c r="T715" s="15"/>
      <c r="U715" s="15"/>
      <c r="V715" s="15"/>
    </row>
    <row r="716">
      <c r="S716" s="15"/>
      <c r="T716" s="15"/>
      <c r="U716" s="15"/>
      <c r="V716" s="15"/>
    </row>
    <row r="717">
      <c r="S717" s="15"/>
      <c r="T717" s="15"/>
      <c r="U717" s="15"/>
      <c r="V717" s="15"/>
    </row>
    <row r="718">
      <c r="S718" s="15"/>
      <c r="T718" s="15"/>
      <c r="U718" s="15"/>
      <c r="V718" s="15"/>
    </row>
    <row r="719">
      <c r="S719" s="15"/>
      <c r="T719" s="15"/>
      <c r="U719" s="15"/>
      <c r="V719" s="15"/>
    </row>
    <row r="720">
      <c r="S720" s="15"/>
      <c r="T720" s="15"/>
      <c r="U720" s="15"/>
      <c r="V720" s="15"/>
    </row>
    <row r="721">
      <c r="S721" s="15"/>
      <c r="T721" s="15"/>
      <c r="U721" s="15"/>
      <c r="V721" s="15"/>
    </row>
    <row r="722">
      <c r="S722" s="15"/>
      <c r="T722" s="15"/>
      <c r="U722" s="15"/>
      <c r="V722" s="15"/>
    </row>
    <row r="723">
      <c r="S723" s="15"/>
      <c r="T723" s="15"/>
      <c r="U723" s="15"/>
      <c r="V723" s="15"/>
    </row>
    <row r="724">
      <c r="S724" s="15"/>
      <c r="T724" s="15"/>
      <c r="U724" s="15"/>
      <c r="V724" s="15"/>
    </row>
    <row r="725">
      <c r="S725" s="15"/>
      <c r="T725" s="15"/>
      <c r="U725" s="15"/>
      <c r="V725" s="15"/>
    </row>
    <row r="726">
      <c r="S726" s="15"/>
      <c r="T726" s="15"/>
      <c r="U726" s="15"/>
      <c r="V726" s="15"/>
    </row>
    <row r="727">
      <c r="S727" s="15"/>
      <c r="T727" s="15"/>
      <c r="U727" s="15"/>
      <c r="V727" s="15"/>
    </row>
    <row r="728">
      <c r="S728" s="15"/>
      <c r="T728" s="15"/>
      <c r="U728" s="15"/>
      <c r="V728" s="15"/>
    </row>
    <row r="729">
      <c r="S729" s="15"/>
      <c r="T729" s="15"/>
      <c r="U729" s="15"/>
      <c r="V729" s="15"/>
    </row>
    <row r="730">
      <c r="S730" s="15"/>
      <c r="T730" s="15"/>
      <c r="U730" s="15"/>
      <c r="V730" s="15"/>
    </row>
    <row r="731">
      <c r="S731" s="15"/>
      <c r="T731" s="15"/>
      <c r="U731" s="15"/>
      <c r="V731" s="15"/>
    </row>
    <row r="732">
      <c r="S732" s="15"/>
      <c r="T732" s="15"/>
      <c r="U732" s="15"/>
      <c r="V732" s="15"/>
    </row>
    <row r="733">
      <c r="S733" s="15"/>
      <c r="T733" s="15"/>
      <c r="U733" s="15"/>
      <c r="V733" s="15"/>
    </row>
    <row r="734">
      <c r="S734" s="15"/>
      <c r="T734" s="15"/>
      <c r="U734" s="15"/>
      <c r="V734" s="15"/>
    </row>
    <row r="735">
      <c r="S735" s="15"/>
      <c r="T735" s="15"/>
      <c r="U735" s="15"/>
      <c r="V735" s="15"/>
    </row>
    <row r="736">
      <c r="S736" s="15"/>
      <c r="T736" s="15"/>
      <c r="U736" s="15"/>
      <c r="V736" s="15"/>
    </row>
    <row r="737">
      <c r="S737" s="15"/>
      <c r="T737" s="15"/>
      <c r="U737" s="15"/>
      <c r="V737" s="15"/>
    </row>
    <row r="738">
      <c r="S738" s="15"/>
      <c r="T738" s="15"/>
      <c r="U738" s="15"/>
      <c r="V738" s="15"/>
    </row>
    <row r="739">
      <c r="S739" s="15"/>
      <c r="T739" s="15"/>
      <c r="U739" s="15"/>
      <c r="V739" s="15"/>
    </row>
    <row r="740">
      <c r="S740" s="15"/>
      <c r="T740" s="15"/>
      <c r="U740" s="15"/>
      <c r="V740" s="15"/>
    </row>
    <row r="741">
      <c r="S741" s="15"/>
      <c r="T741" s="15"/>
      <c r="U741" s="15"/>
      <c r="V741" s="15"/>
    </row>
    <row r="742">
      <c r="S742" s="15"/>
      <c r="T742" s="15"/>
      <c r="U742" s="15"/>
      <c r="V742" s="15"/>
    </row>
    <row r="743">
      <c r="S743" s="15"/>
      <c r="T743" s="15"/>
      <c r="U743" s="15"/>
      <c r="V743" s="15"/>
    </row>
    <row r="744">
      <c r="S744" s="15"/>
      <c r="T744" s="15"/>
      <c r="U744" s="15"/>
      <c r="V744" s="15"/>
    </row>
    <row r="745">
      <c r="S745" s="15"/>
      <c r="T745" s="15"/>
      <c r="U745" s="15"/>
      <c r="V745" s="15"/>
    </row>
    <row r="746">
      <c r="S746" s="15"/>
      <c r="T746" s="15"/>
      <c r="U746" s="15"/>
      <c r="V746" s="15"/>
    </row>
    <row r="747">
      <c r="S747" s="15"/>
      <c r="T747" s="15"/>
      <c r="U747" s="15"/>
      <c r="V747" s="15"/>
    </row>
    <row r="748">
      <c r="S748" s="15"/>
      <c r="T748" s="15"/>
      <c r="U748" s="15"/>
      <c r="V748" s="15"/>
    </row>
    <row r="749">
      <c r="S749" s="15"/>
      <c r="T749" s="15"/>
      <c r="U749" s="15"/>
      <c r="V749" s="15"/>
    </row>
    <row r="750">
      <c r="S750" s="15"/>
      <c r="T750" s="15"/>
      <c r="U750" s="15"/>
      <c r="V750" s="15"/>
    </row>
    <row r="751">
      <c r="S751" s="15"/>
      <c r="T751" s="15"/>
      <c r="U751" s="15"/>
      <c r="V751" s="15"/>
    </row>
    <row r="752">
      <c r="S752" s="15"/>
      <c r="T752" s="15"/>
      <c r="U752" s="15"/>
      <c r="V752" s="15"/>
    </row>
    <row r="753">
      <c r="S753" s="15"/>
      <c r="T753" s="15"/>
      <c r="U753" s="15"/>
      <c r="V753" s="15"/>
    </row>
    <row r="754">
      <c r="S754" s="15"/>
      <c r="T754" s="15"/>
      <c r="U754" s="15"/>
      <c r="V754" s="15"/>
    </row>
    <row r="755">
      <c r="S755" s="15"/>
      <c r="T755" s="15"/>
      <c r="U755" s="15"/>
      <c r="V755" s="15"/>
    </row>
    <row r="756">
      <c r="S756" s="15"/>
      <c r="T756" s="15"/>
      <c r="U756" s="15"/>
      <c r="V756" s="15"/>
    </row>
    <row r="757">
      <c r="S757" s="15"/>
      <c r="T757" s="15"/>
      <c r="U757" s="15"/>
      <c r="V757" s="15"/>
    </row>
    <row r="758">
      <c r="S758" s="15"/>
      <c r="T758" s="15"/>
      <c r="U758" s="15"/>
      <c r="V758" s="15"/>
    </row>
    <row r="759">
      <c r="S759" s="15"/>
      <c r="T759" s="15"/>
      <c r="U759" s="15"/>
      <c r="V759" s="15"/>
    </row>
    <row r="760">
      <c r="S760" s="15"/>
      <c r="T760" s="15"/>
      <c r="U760" s="15"/>
      <c r="V760" s="15"/>
    </row>
    <row r="761">
      <c r="S761" s="15"/>
      <c r="T761" s="15"/>
      <c r="U761" s="15"/>
      <c r="V761" s="15"/>
    </row>
    <row r="762">
      <c r="S762" s="15"/>
      <c r="T762" s="15"/>
      <c r="U762" s="15"/>
      <c r="V762" s="15"/>
    </row>
    <row r="763">
      <c r="S763" s="15"/>
      <c r="T763" s="15"/>
      <c r="U763" s="15"/>
      <c r="V763" s="15"/>
    </row>
    <row r="764">
      <c r="S764" s="15"/>
      <c r="T764" s="15"/>
      <c r="U764" s="15"/>
      <c r="V764" s="15"/>
    </row>
    <row r="765">
      <c r="S765" s="15"/>
      <c r="T765" s="15"/>
      <c r="U765" s="15"/>
      <c r="V765" s="15"/>
    </row>
    <row r="766">
      <c r="S766" s="15"/>
      <c r="T766" s="15"/>
      <c r="U766" s="15"/>
      <c r="V766" s="15"/>
    </row>
    <row r="767">
      <c r="S767" s="15"/>
      <c r="T767" s="15"/>
      <c r="U767" s="15"/>
      <c r="V767" s="15"/>
    </row>
    <row r="768">
      <c r="S768" s="15"/>
      <c r="T768" s="15"/>
      <c r="U768" s="15"/>
      <c r="V768" s="15"/>
    </row>
    <row r="769">
      <c r="S769" s="15"/>
      <c r="T769" s="15"/>
      <c r="U769" s="15"/>
      <c r="V769" s="15"/>
    </row>
    <row r="770">
      <c r="S770" s="15"/>
      <c r="T770" s="15"/>
      <c r="U770" s="15"/>
      <c r="V770" s="15"/>
    </row>
    <row r="771">
      <c r="S771" s="15"/>
      <c r="T771" s="15"/>
      <c r="U771" s="15"/>
      <c r="V771" s="15"/>
    </row>
    <row r="772">
      <c r="S772" s="15"/>
      <c r="T772" s="15"/>
      <c r="U772" s="15"/>
      <c r="V772" s="15"/>
    </row>
    <row r="773">
      <c r="S773" s="15"/>
      <c r="T773" s="15"/>
      <c r="U773" s="15"/>
      <c r="V773" s="15"/>
    </row>
    <row r="774">
      <c r="S774" s="15"/>
      <c r="T774" s="15"/>
      <c r="U774" s="15"/>
      <c r="V774" s="15"/>
    </row>
    <row r="775">
      <c r="S775" s="15"/>
      <c r="T775" s="15"/>
      <c r="U775" s="15"/>
      <c r="V775" s="15"/>
    </row>
    <row r="776">
      <c r="S776" s="15"/>
      <c r="T776" s="15"/>
      <c r="U776" s="15"/>
      <c r="V776" s="15"/>
    </row>
    <row r="777">
      <c r="S777" s="15"/>
      <c r="T777" s="15"/>
      <c r="U777" s="15"/>
      <c r="V777" s="15"/>
    </row>
    <row r="778">
      <c r="S778" s="15"/>
      <c r="T778" s="15"/>
      <c r="U778" s="15"/>
      <c r="V778" s="15"/>
    </row>
    <row r="779">
      <c r="S779" s="15"/>
      <c r="T779" s="15"/>
      <c r="U779" s="15"/>
      <c r="V779" s="15"/>
    </row>
    <row r="780">
      <c r="S780" s="15"/>
      <c r="T780" s="15"/>
      <c r="U780" s="15"/>
      <c r="V780" s="15"/>
    </row>
    <row r="781">
      <c r="S781" s="15"/>
      <c r="T781" s="15"/>
      <c r="U781" s="15"/>
      <c r="V781" s="15"/>
    </row>
    <row r="782">
      <c r="S782" s="15"/>
      <c r="T782" s="15"/>
      <c r="U782" s="15"/>
      <c r="V782" s="15"/>
    </row>
    <row r="783">
      <c r="S783" s="15"/>
      <c r="T783" s="15"/>
      <c r="U783" s="15"/>
      <c r="V783" s="15"/>
    </row>
    <row r="784">
      <c r="S784" s="15"/>
      <c r="T784" s="15"/>
      <c r="U784" s="15"/>
      <c r="V784" s="15"/>
    </row>
    <row r="785">
      <c r="S785" s="15"/>
      <c r="T785" s="15"/>
      <c r="U785" s="15"/>
      <c r="V785" s="15"/>
    </row>
    <row r="786">
      <c r="S786" s="15"/>
      <c r="T786" s="15"/>
      <c r="U786" s="15"/>
      <c r="V786" s="15"/>
    </row>
    <row r="787">
      <c r="S787" s="15"/>
      <c r="T787" s="15"/>
      <c r="U787" s="15"/>
      <c r="V787" s="15"/>
    </row>
    <row r="788">
      <c r="S788" s="15"/>
      <c r="T788" s="15"/>
      <c r="U788" s="15"/>
      <c r="V788" s="15"/>
    </row>
    <row r="789">
      <c r="S789" s="15"/>
      <c r="T789" s="15"/>
      <c r="U789" s="15"/>
      <c r="V789" s="15"/>
    </row>
    <row r="790">
      <c r="S790" s="15"/>
      <c r="T790" s="15"/>
      <c r="U790" s="15"/>
      <c r="V790" s="15"/>
    </row>
    <row r="791">
      <c r="S791" s="15"/>
      <c r="T791" s="15"/>
      <c r="U791" s="15"/>
      <c r="V791" s="15"/>
    </row>
    <row r="792">
      <c r="S792" s="15"/>
      <c r="T792" s="15"/>
      <c r="U792" s="15"/>
      <c r="V792" s="15"/>
    </row>
    <row r="793">
      <c r="S793" s="15"/>
      <c r="T793" s="15"/>
      <c r="U793" s="15"/>
      <c r="V793" s="15"/>
    </row>
    <row r="794">
      <c r="S794" s="15"/>
      <c r="T794" s="15"/>
      <c r="U794" s="15"/>
      <c r="V794" s="15"/>
    </row>
    <row r="795">
      <c r="S795" s="15"/>
      <c r="T795" s="15"/>
      <c r="U795" s="15"/>
      <c r="V795" s="15"/>
    </row>
    <row r="796">
      <c r="S796" s="15"/>
      <c r="T796" s="15"/>
      <c r="U796" s="15"/>
      <c r="V796" s="15"/>
    </row>
    <row r="797">
      <c r="S797" s="15"/>
      <c r="T797" s="15"/>
      <c r="U797" s="15"/>
      <c r="V797" s="15"/>
    </row>
    <row r="798">
      <c r="S798" s="15"/>
      <c r="T798" s="15"/>
      <c r="U798" s="15"/>
      <c r="V798" s="15"/>
    </row>
    <row r="799">
      <c r="S799" s="15"/>
      <c r="T799" s="15"/>
      <c r="U799" s="15"/>
      <c r="V799" s="15"/>
    </row>
    <row r="800">
      <c r="S800" s="15"/>
      <c r="T800" s="15"/>
      <c r="U800" s="15"/>
      <c r="V800" s="15"/>
    </row>
    <row r="801">
      <c r="S801" s="15"/>
      <c r="T801" s="15"/>
      <c r="U801" s="15"/>
      <c r="V801" s="15"/>
    </row>
    <row r="802">
      <c r="S802" s="15"/>
      <c r="T802" s="15"/>
      <c r="U802" s="15"/>
      <c r="V802" s="15"/>
    </row>
    <row r="803">
      <c r="S803" s="15"/>
      <c r="T803" s="15"/>
      <c r="U803" s="15"/>
      <c r="V803" s="15"/>
    </row>
    <row r="804">
      <c r="S804" s="15"/>
      <c r="T804" s="15"/>
      <c r="U804" s="15"/>
      <c r="V804" s="15"/>
    </row>
    <row r="805">
      <c r="S805" s="15"/>
      <c r="T805" s="15"/>
      <c r="U805" s="15"/>
      <c r="V805" s="15"/>
    </row>
    <row r="806">
      <c r="S806" s="15"/>
      <c r="T806" s="15"/>
      <c r="U806" s="15"/>
      <c r="V806" s="15"/>
    </row>
    <row r="807">
      <c r="S807" s="15"/>
      <c r="T807" s="15"/>
      <c r="U807" s="15"/>
      <c r="V807" s="15"/>
    </row>
    <row r="808">
      <c r="S808" s="15"/>
      <c r="T808" s="15"/>
      <c r="U808" s="15"/>
      <c r="V808" s="15"/>
    </row>
    <row r="809">
      <c r="S809" s="15"/>
      <c r="T809" s="15"/>
      <c r="U809" s="15"/>
      <c r="V809" s="15"/>
    </row>
    <row r="810">
      <c r="S810" s="15"/>
      <c r="T810" s="15"/>
      <c r="U810" s="15"/>
      <c r="V810" s="15"/>
    </row>
    <row r="811">
      <c r="S811" s="15"/>
      <c r="T811" s="15"/>
      <c r="U811" s="15"/>
      <c r="V811" s="15"/>
    </row>
    <row r="812">
      <c r="S812" s="15"/>
      <c r="T812" s="15"/>
      <c r="U812" s="15"/>
      <c r="V812" s="15"/>
    </row>
    <row r="813">
      <c r="S813" s="15"/>
      <c r="T813" s="15"/>
      <c r="U813" s="15"/>
      <c r="V813" s="15"/>
    </row>
    <row r="814">
      <c r="S814" s="15"/>
      <c r="T814" s="15"/>
      <c r="U814" s="15"/>
      <c r="V814" s="15"/>
    </row>
    <row r="815">
      <c r="S815" s="15"/>
      <c r="T815" s="15"/>
      <c r="U815" s="15"/>
      <c r="V815" s="15"/>
    </row>
    <row r="816">
      <c r="S816" s="15"/>
      <c r="T816" s="15"/>
      <c r="U816" s="15"/>
      <c r="V816" s="15"/>
    </row>
    <row r="817">
      <c r="S817" s="15"/>
      <c r="T817" s="15"/>
      <c r="U817" s="15"/>
      <c r="V817" s="15"/>
    </row>
    <row r="818">
      <c r="S818" s="15"/>
      <c r="T818" s="15"/>
      <c r="U818" s="15"/>
      <c r="V818" s="15"/>
    </row>
    <row r="819">
      <c r="S819" s="15"/>
      <c r="T819" s="15"/>
      <c r="U819" s="15"/>
      <c r="V819" s="15"/>
    </row>
    <row r="820">
      <c r="S820" s="15"/>
      <c r="T820" s="15"/>
      <c r="U820" s="15"/>
      <c r="V820" s="15"/>
    </row>
    <row r="821">
      <c r="S821" s="15"/>
      <c r="T821" s="15"/>
      <c r="U821" s="15"/>
      <c r="V821" s="15"/>
    </row>
    <row r="822">
      <c r="S822" s="15"/>
      <c r="T822" s="15"/>
      <c r="U822" s="15"/>
      <c r="V822" s="15"/>
    </row>
    <row r="823">
      <c r="S823" s="15"/>
      <c r="T823" s="15"/>
      <c r="U823" s="15"/>
      <c r="V823" s="15"/>
    </row>
    <row r="824">
      <c r="S824" s="15"/>
      <c r="T824" s="15"/>
      <c r="U824" s="15"/>
      <c r="V824" s="15"/>
    </row>
    <row r="825">
      <c r="S825" s="15"/>
      <c r="T825" s="15"/>
      <c r="U825" s="15"/>
      <c r="V825" s="15"/>
    </row>
    <row r="826">
      <c r="S826" s="15"/>
      <c r="T826" s="15"/>
      <c r="U826" s="15"/>
      <c r="V826" s="15"/>
    </row>
    <row r="827">
      <c r="S827" s="15"/>
      <c r="T827" s="15"/>
      <c r="U827" s="15"/>
      <c r="V827" s="15"/>
    </row>
    <row r="828">
      <c r="S828" s="15"/>
      <c r="T828" s="15"/>
      <c r="U828" s="15"/>
      <c r="V828" s="15"/>
    </row>
    <row r="829">
      <c r="S829" s="15"/>
      <c r="T829" s="15"/>
      <c r="U829" s="15"/>
      <c r="V829" s="15"/>
    </row>
    <row r="830">
      <c r="S830" s="15"/>
      <c r="T830" s="15"/>
      <c r="U830" s="15"/>
      <c r="V830" s="15"/>
    </row>
    <row r="831">
      <c r="S831" s="15"/>
      <c r="T831" s="15"/>
      <c r="U831" s="15"/>
      <c r="V831" s="15"/>
    </row>
    <row r="832">
      <c r="S832" s="15"/>
      <c r="T832" s="15"/>
      <c r="U832" s="15"/>
      <c r="V832" s="15"/>
    </row>
    <row r="833">
      <c r="S833" s="15"/>
      <c r="T833" s="15"/>
      <c r="U833" s="15"/>
      <c r="V833" s="15"/>
    </row>
    <row r="834">
      <c r="S834" s="15"/>
      <c r="T834" s="15"/>
      <c r="U834" s="15"/>
      <c r="V834" s="15"/>
    </row>
    <row r="835">
      <c r="S835" s="15"/>
      <c r="T835" s="15"/>
      <c r="U835" s="15"/>
      <c r="V835" s="15"/>
    </row>
    <row r="836">
      <c r="S836" s="15"/>
      <c r="T836" s="15"/>
      <c r="U836" s="15"/>
      <c r="V836" s="15"/>
    </row>
    <row r="837">
      <c r="S837" s="15"/>
      <c r="T837" s="15"/>
      <c r="U837" s="15"/>
      <c r="V837" s="15"/>
    </row>
    <row r="838">
      <c r="S838" s="15"/>
      <c r="T838" s="15"/>
      <c r="U838" s="15"/>
      <c r="V838" s="15"/>
    </row>
    <row r="839">
      <c r="S839" s="15"/>
      <c r="T839" s="15"/>
      <c r="U839" s="15"/>
      <c r="V839" s="15"/>
    </row>
    <row r="840">
      <c r="S840" s="15"/>
      <c r="T840" s="15"/>
      <c r="U840" s="15"/>
      <c r="V840" s="15"/>
    </row>
    <row r="841">
      <c r="S841" s="15"/>
      <c r="T841" s="15"/>
      <c r="U841" s="15"/>
      <c r="V841" s="15"/>
    </row>
    <row r="842">
      <c r="S842" s="15"/>
      <c r="T842" s="15"/>
      <c r="U842" s="15"/>
      <c r="V842" s="15"/>
    </row>
    <row r="843">
      <c r="S843" s="15"/>
      <c r="T843" s="15"/>
      <c r="U843" s="15"/>
      <c r="V843" s="15"/>
    </row>
    <row r="844">
      <c r="S844" s="15"/>
      <c r="T844" s="15"/>
      <c r="U844" s="15"/>
      <c r="V844" s="15"/>
    </row>
    <row r="845">
      <c r="S845" s="15"/>
      <c r="T845" s="15"/>
      <c r="U845" s="15"/>
      <c r="V845" s="15"/>
    </row>
    <row r="846">
      <c r="S846" s="15"/>
      <c r="T846" s="15"/>
      <c r="U846" s="15"/>
      <c r="V846" s="15"/>
    </row>
    <row r="847">
      <c r="S847" s="15"/>
      <c r="T847" s="15"/>
      <c r="U847" s="15"/>
      <c r="V847" s="15"/>
    </row>
    <row r="848">
      <c r="S848" s="15"/>
      <c r="T848" s="15"/>
      <c r="U848" s="15"/>
      <c r="V848" s="15"/>
    </row>
    <row r="849">
      <c r="S849" s="15"/>
      <c r="T849" s="15"/>
      <c r="U849" s="15"/>
      <c r="V849" s="15"/>
    </row>
    <row r="850">
      <c r="S850" s="15"/>
      <c r="T850" s="15"/>
      <c r="U850" s="15"/>
      <c r="V850" s="15"/>
    </row>
    <row r="851">
      <c r="S851" s="15"/>
      <c r="T851" s="15"/>
      <c r="U851" s="15"/>
      <c r="V851" s="15"/>
    </row>
    <row r="852">
      <c r="S852" s="15"/>
      <c r="T852" s="15"/>
      <c r="U852" s="15"/>
      <c r="V852" s="15"/>
    </row>
    <row r="853">
      <c r="S853" s="15"/>
      <c r="T853" s="15"/>
      <c r="U853" s="15"/>
      <c r="V853" s="15"/>
    </row>
    <row r="854">
      <c r="S854" s="15"/>
      <c r="T854" s="15"/>
      <c r="U854" s="15"/>
      <c r="V854" s="15"/>
    </row>
    <row r="855">
      <c r="S855" s="15"/>
      <c r="T855" s="15"/>
      <c r="U855" s="15"/>
      <c r="V855" s="15"/>
    </row>
    <row r="856">
      <c r="S856" s="15"/>
      <c r="T856" s="15"/>
      <c r="U856" s="15"/>
      <c r="V856" s="15"/>
    </row>
    <row r="857">
      <c r="S857" s="15"/>
      <c r="T857" s="15"/>
      <c r="U857" s="15"/>
      <c r="V857" s="15"/>
    </row>
    <row r="858">
      <c r="S858" s="15"/>
      <c r="T858" s="15"/>
      <c r="U858" s="15"/>
      <c r="V858" s="15"/>
    </row>
    <row r="859">
      <c r="S859" s="15"/>
      <c r="T859" s="15"/>
      <c r="U859" s="15"/>
      <c r="V859" s="15"/>
    </row>
    <row r="860">
      <c r="S860" s="15"/>
      <c r="T860" s="15"/>
      <c r="U860" s="15"/>
      <c r="V860" s="15"/>
    </row>
    <row r="861">
      <c r="S861" s="15"/>
      <c r="T861" s="15"/>
      <c r="U861" s="15"/>
      <c r="V861" s="15"/>
    </row>
    <row r="862">
      <c r="S862" s="15"/>
      <c r="T862" s="15"/>
      <c r="U862" s="15"/>
      <c r="V862" s="15"/>
    </row>
    <row r="863">
      <c r="S863" s="15"/>
      <c r="T863" s="15"/>
      <c r="U863" s="15"/>
      <c r="V863" s="15"/>
    </row>
    <row r="864">
      <c r="S864" s="15"/>
      <c r="T864" s="15"/>
      <c r="U864" s="15"/>
      <c r="V864" s="15"/>
    </row>
    <row r="865">
      <c r="S865" s="15"/>
      <c r="T865" s="15"/>
      <c r="U865" s="15"/>
      <c r="V865" s="15"/>
    </row>
    <row r="866">
      <c r="S866" s="15"/>
      <c r="T866" s="15"/>
      <c r="U866" s="15"/>
      <c r="V866" s="15"/>
    </row>
    <row r="867">
      <c r="S867" s="15"/>
      <c r="T867" s="15"/>
      <c r="U867" s="15"/>
      <c r="V867" s="15"/>
    </row>
    <row r="868">
      <c r="S868" s="15"/>
      <c r="T868" s="15"/>
      <c r="U868" s="15"/>
      <c r="V868" s="15"/>
    </row>
    <row r="869">
      <c r="S869" s="15"/>
      <c r="T869" s="15"/>
      <c r="U869" s="15"/>
      <c r="V869" s="15"/>
    </row>
    <row r="870">
      <c r="S870" s="15"/>
      <c r="T870" s="15"/>
      <c r="U870" s="15"/>
      <c r="V870" s="15"/>
    </row>
    <row r="871">
      <c r="S871" s="15"/>
      <c r="T871" s="15"/>
      <c r="U871" s="15"/>
      <c r="V871" s="15"/>
    </row>
    <row r="872">
      <c r="S872" s="15"/>
      <c r="T872" s="15"/>
      <c r="U872" s="15"/>
      <c r="V872" s="15"/>
    </row>
    <row r="873">
      <c r="S873" s="15"/>
      <c r="T873" s="15"/>
      <c r="U873" s="15"/>
      <c r="V873" s="15"/>
    </row>
    <row r="874">
      <c r="S874" s="15"/>
      <c r="T874" s="15"/>
      <c r="U874" s="15"/>
      <c r="V874" s="15"/>
    </row>
    <row r="875">
      <c r="S875" s="15"/>
      <c r="T875" s="15"/>
      <c r="U875" s="15"/>
      <c r="V875" s="15"/>
    </row>
    <row r="876">
      <c r="S876" s="15"/>
      <c r="T876" s="15"/>
      <c r="U876" s="15"/>
      <c r="V876" s="15"/>
    </row>
    <row r="877">
      <c r="S877" s="15"/>
      <c r="T877" s="15"/>
      <c r="U877" s="15"/>
      <c r="V877" s="15"/>
    </row>
    <row r="878">
      <c r="S878" s="15"/>
      <c r="T878" s="15"/>
      <c r="U878" s="15"/>
      <c r="V878" s="15"/>
    </row>
    <row r="879">
      <c r="S879" s="15"/>
      <c r="T879" s="15"/>
      <c r="U879" s="15"/>
      <c r="V879" s="15"/>
    </row>
    <row r="880">
      <c r="S880" s="15"/>
      <c r="T880" s="15"/>
      <c r="U880" s="15"/>
      <c r="V880" s="15"/>
    </row>
    <row r="881">
      <c r="S881" s="15"/>
      <c r="T881" s="15"/>
      <c r="U881" s="15"/>
      <c r="V881" s="15"/>
    </row>
    <row r="882">
      <c r="S882" s="15"/>
      <c r="T882" s="15"/>
      <c r="U882" s="15"/>
      <c r="V882" s="15"/>
    </row>
    <row r="883">
      <c r="S883" s="15"/>
      <c r="T883" s="15"/>
      <c r="U883" s="15"/>
      <c r="V883" s="15"/>
    </row>
    <row r="884">
      <c r="S884" s="15"/>
      <c r="T884" s="15"/>
      <c r="U884" s="15"/>
      <c r="V884" s="15"/>
    </row>
    <row r="885">
      <c r="S885" s="15"/>
      <c r="T885" s="15"/>
      <c r="U885" s="15"/>
      <c r="V885" s="15"/>
    </row>
    <row r="886">
      <c r="S886" s="15"/>
      <c r="T886" s="15"/>
      <c r="U886" s="15"/>
      <c r="V886" s="15"/>
    </row>
    <row r="887">
      <c r="S887" s="15"/>
      <c r="T887" s="15"/>
      <c r="U887" s="15"/>
      <c r="V887" s="15"/>
    </row>
    <row r="888">
      <c r="S888" s="15"/>
      <c r="T888" s="15"/>
      <c r="U888" s="15"/>
      <c r="V888" s="15"/>
    </row>
    <row r="889">
      <c r="S889" s="15"/>
      <c r="T889" s="15"/>
      <c r="U889" s="15"/>
      <c r="V889" s="15"/>
    </row>
    <row r="890">
      <c r="S890" s="15"/>
      <c r="T890" s="15"/>
      <c r="U890" s="15"/>
      <c r="V890" s="15"/>
    </row>
    <row r="891">
      <c r="S891" s="15"/>
      <c r="T891" s="15"/>
      <c r="U891" s="15"/>
      <c r="V891" s="15"/>
    </row>
    <row r="892">
      <c r="S892" s="15"/>
      <c r="T892" s="15"/>
      <c r="U892" s="15"/>
      <c r="V892" s="15"/>
    </row>
    <row r="893">
      <c r="S893" s="15"/>
      <c r="T893" s="15"/>
      <c r="U893" s="15"/>
      <c r="V893" s="15"/>
    </row>
    <row r="894">
      <c r="S894" s="15"/>
      <c r="T894" s="15"/>
      <c r="U894" s="15"/>
      <c r="V894" s="15"/>
    </row>
    <row r="895">
      <c r="S895" s="15"/>
      <c r="T895" s="15"/>
      <c r="U895" s="15"/>
      <c r="V895" s="15"/>
    </row>
    <row r="896">
      <c r="S896" s="15"/>
      <c r="T896" s="15"/>
      <c r="U896" s="15"/>
      <c r="V896" s="15"/>
    </row>
    <row r="897">
      <c r="S897" s="15"/>
      <c r="T897" s="15"/>
      <c r="U897" s="15"/>
      <c r="V897" s="15"/>
    </row>
    <row r="898">
      <c r="S898" s="15"/>
      <c r="T898" s="15"/>
      <c r="U898" s="15"/>
      <c r="V898" s="15"/>
    </row>
    <row r="899">
      <c r="S899" s="15"/>
      <c r="T899" s="15"/>
      <c r="U899" s="15"/>
      <c r="V899" s="15"/>
    </row>
    <row r="900">
      <c r="S900" s="15"/>
      <c r="T900" s="15"/>
      <c r="U900" s="15"/>
      <c r="V900" s="15"/>
    </row>
    <row r="901">
      <c r="S901" s="15"/>
      <c r="T901" s="15"/>
      <c r="U901" s="15"/>
      <c r="V901" s="15"/>
    </row>
    <row r="902">
      <c r="S902" s="15"/>
      <c r="T902" s="15"/>
      <c r="U902" s="15"/>
      <c r="V902" s="15"/>
    </row>
    <row r="903">
      <c r="S903" s="15"/>
      <c r="T903" s="15"/>
      <c r="U903" s="15"/>
      <c r="V903" s="15"/>
    </row>
    <row r="904">
      <c r="S904" s="15"/>
      <c r="T904" s="15"/>
      <c r="U904" s="15"/>
      <c r="V904" s="15"/>
    </row>
    <row r="905">
      <c r="S905" s="15"/>
      <c r="T905" s="15"/>
      <c r="U905" s="15"/>
      <c r="V905" s="15"/>
    </row>
    <row r="906">
      <c r="S906" s="15"/>
      <c r="T906" s="15"/>
      <c r="U906" s="15"/>
      <c r="V906" s="15"/>
    </row>
    <row r="907">
      <c r="S907" s="15"/>
      <c r="T907" s="15"/>
      <c r="U907" s="15"/>
      <c r="V907" s="15"/>
    </row>
    <row r="908">
      <c r="S908" s="15"/>
      <c r="T908" s="15"/>
      <c r="U908" s="15"/>
      <c r="V908" s="15"/>
    </row>
    <row r="909">
      <c r="S909" s="15"/>
      <c r="T909" s="15"/>
      <c r="U909" s="15"/>
      <c r="V909" s="15"/>
    </row>
    <row r="910">
      <c r="S910" s="15"/>
      <c r="T910" s="15"/>
      <c r="U910" s="15"/>
      <c r="V910" s="15"/>
    </row>
    <row r="911">
      <c r="S911" s="15"/>
      <c r="T911" s="15"/>
      <c r="U911" s="15"/>
      <c r="V911" s="15"/>
    </row>
    <row r="912">
      <c r="S912" s="15"/>
      <c r="T912" s="15"/>
      <c r="U912" s="15"/>
      <c r="V912" s="15"/>
    </row>
    <row r="913">
      <c r="S913" s="15"/>
      <c r="T913" s="15"/>
      <c r="U913" s="15"/>
      <c r="V913" s="15"/>
    </row>
    <row r="914">
      <c r="S914" s="15"/>
      <c r="T914" s="15"/>
      <c r="U914" s="15"/>
      <c r="V914" s="15"/>
    </row>
    <row r="915">
      <c r="S915" s="15"/>
      <c r="T915" s="15"/>
      <c r="U915" s="15"/>
      <c r="V915" s="15"/>
    </row>
    <row r="916">
      <c r="S916" s="15"/>
      <c r="T916" s="15"/>
      <c r="U916" s="15"/>
      <c r="V916" s="15"/>
    </row>
    <row r="917">
      <c r="S917" s="15"/>
      <c r="T917" s="15"/>
      <c r="U917" s="15"/>
      <c r="V917" s="15"/>
    </row>
    <row r="918">
      <c r="S918" s="15"/>
      <c r="T918" s="15"/>
      <c r="U918" s="15"/>
      <c r="V918" s="15"/>
    </row>
    <row r="919">
      <c r="S919" s="15"/>
      <c r="T919" s="15"/>
      <c r="U919" s="15"/>
      <c r="V919" s="15"/>
    </row>
    <row r="920">
      <c r="S920" s="15"/>
      <c r="T920" s="15"/>
      <c r="U920" s="15"/>
      <c r="V920" s="15"/>
    </row>
    <row r="921">
      <c r="S921" s="15"/>
      <c r="T921" s="15"/>
      <c r="U921" s="15"/>
      <c r="V921" s="15"/>
    </row>
    <row r="922">
      <c r="S922" s="15"/>
      <c r="T922" s="15"/>
      <c r="U922" s="15"/>
      <c r="V922" s="15"/>
    </row>
    <row r="923">
      <c r="S923" s="15"/>
      <c r="T923" s="15"/>
      <c r="U923" s="15"/>
      <c r="V923" s="15"/>
    </row>
    <row r="924">
      <c r="S924" s="15"/>
      <c r="T924" s="15"/>
      <c r="U924" s="15"/>
      <c r="V924" s="15"/>
    </row>
    <row r="925">
      <c r="S925" s="15"/>
      <c r="T925" s="15"/>
      <c r="U925" s="15"/>
      <c r="V925" s="15"/>
    </row>
    <row r="926">
      <c r="S926" s="15"/>
      <c r="T926" s="15"/>
      <c r="U926" s="15"/>
      <c r="V926" s="15"/>
    </row>
    <row r="927">
      <c r="S927" s="15"/>
      <c r="T927" s="15"/>
      <c r="U927" s="15"/>
      <c r="V927" s="15"/>
    </row>
    <row r="928">
      <c r="S928" s="15"/>
      <c r="T928" s="15"/>
      <c r="U928" s="15"/>
      <c r="V928" s="15"/>
    </row>
    <row r="929">
      <c r="S929" s="15"/>
      <c r="T929" s="15"/>
      <c r="U929" s="15"/>
      <c r="V929" s="15"/>
    </row>
    <row r="930">
      <c r="S930" s="15"/>
      <c r="T930" s="15"/>
      <c r="U930" s="15"/>
      <c r="V930" s="15"/>
    </row>
    <row r="931">
      <c r="S931" s="15"/>
      <c r="T931" s="15"/>
      <c r="U931" s="15"/>
      <c r="V931" s="15"/>
    </row>
    <row r="932">
      <c r="S932" s="15"/>
      <c r="T932" s="15"/>
      <c r="U932" s="15"/>
      <c r="V932" s="15"/>
    </row>
    <row r="933">
      <c r="S933" s="15"/>
      <c r="T933" s="15"/>
      <c r="U933" s="15"/>
      <c r="V933" s="15"/>
    </row>
    <row r="934">
      <c r="S934" s="15"/>
      <c r="T934" s="15"/>
      <c r="U934" s="15"/>
      <c r="V934" s="15"/>
    </row>
    <row r="935">
      <c r="S935" s="15"/>
      <c r="T935" s="15"/>
      <c r="U935" s="15"/>
      <c r="V935" s="15"/>
    </row>
    <row r="936">
      <c r="S936" s="15"/>
      <c r="T936" s="15"/>
      <c r="U936" s="15"/>
      <c r="V936" s="15"/>
    </row>
    <row r="937">
      <c r="S937" s="15"/>
      <c r="T937" s="15"/>
      <c r="U937" s="15"/>
      <c r="V937" s="15"/>
    </row>
    <row r="938">
      <c r="S938" s="15"/>
      <c r="T938" s="15"/>
      <c r="U938" s="15"/>
      <c r="V938" s="15"/>
    </row>
    <row r="939">
      <c r="S939" s="15"/>
      <c r="T939" s="15"/>
      <c r="U939" s="15"/>
      <c r="V939" s="15"/>
    </row>
    <row r="940">
      <c r="S940" s="15"/>
      <c r="T940" s="15"/>
      <c r="U940" s="15"/>
      <c r="V940" s="15"/>
    </row>
    <row r="941">
      <c r="S941" s="15"/>
      <c r="T941" s="15"/>
      <c r="U941" s="15"/>
      <c r="V941" s="15"/>
    </row>
    <row r="942">
      <c r="S942" s="15"/>
      <c r="T942" s="15"/>
      <c r="U942" s="15"/>
      <c r="V942" s="15"/>
    </row>
    <row r="943">
      <c r="S943" s="15"/>
      <c r="T943" s="15"/>
      <c r="U943" s="15"/>
      <c r="V943" s="15"/>
    </row>
    <row r="944">
      <c r="S944" s="15"/>
      <c r="T944" s="15"/>
      <c r="U944" s="15"/>
      <c r="V944" s="15"/>
    </row>
    <row r="945">
      <c r="S945" s="15"/>
      <c r="T945" s="15"/>
      <c r="U945" s="15"/>
      <c r="V945" s="15"/>
    </row>
    <row r="946">
      <c r="S946" s="15"/>
      <c r="T946" s="15"/>
      <c r="U946" s="15"/>
      <c r="V946" s="15"/>
    </row>
    <row r="947">
      <c r="S947" s="15"/>
      <c r="T947" s="15"/>
      <c r="U947" s="15"/>
      <c r="V947" s="15"/>
    </row>
    <row r="948">
      <c r="S948" s="15"/>
      <c r="T948" s="15"/>
      <c r="U948" s="15"/>
      <c r="V948" s="15"/>
    </row>
    <row r="949">
      <c r="S949" s="15"/>
      <c r="T949" s="15"/>
      <c r="U949" s="15"/>
      <c r="V949" s="15"/>
    </row>
    <row r="950">
      <c r="S950" s="15"/>
      <c r="T950" s="15"/>
      <c r="U950" s="15"/>
      <c r="V950" s="15"/>
    </row>
    <row r="951">
      <c r="S951" s="15"/>
      <c r="T951" s="15"/>
      <c r="U951" s="15"/>
      <c r="V951" s="15"/>
    </row>
    <row r="952">
      <c r="S952" s="15"/>
      <c r="T952" s="15"/>
      <c r="U952" s="15"/>
      <c r="V952" s="15"/>
    </row>
    <row r="953">
      <c r="S953" s="15"/>
      <c r="T953" s="15"/>
      <c r="U953" s="15"/>
      <c r="V953" s="15"/>
    </row>
    <row r="954">
      <c r="S954" s="15"/>
      <c r="T954" s="15"/>
      <c r="U954" s="15"/>
      <c r="V954" s="15"/>
    </row>
    <row r="955">
      <c r="S955" s="15"/>
      <c r="T955" s="15"/>
      <c r="U955" s="15"/>
      <c r="V955" s="15"/>
    </row>
    <row r="956">
      <c r="S956" s="15"/>
      <c r="T956" s="15"/>
      <c r="U956" s="15"/>
      <c r="V956" s="15"/>
    </row>
    <row r="957">
      <c r="S957" s="15"/>
      <c r="T957" s="15"/>
      <c r="U957" s="15"/>
      <c r="V957" s="15"/>
    </row>
    <row r="958">
      <c r="S958" s="15"/>
      <c r="T958" s="15"/>
      <c r="U958" s="15"/>
      <c r="V958" s="15"/>
    </row>
    <row r="959">
      <c r="S959" s="15"/>
      <c r="T959" s="15"/>
      <c r="U959" s="15"/>
      <c r="V959" s="15"/>
    </row>
    <row r="960">
      <c r="S960" s="15"/>
      <c r="T960" s="15"/>
      <c r="U960" s="15"/>
      <c r="V960" s="15"/>
    </row>
    <row r="961">
      <c r="S961" s="15"/>
      <c r="T961" s="15"/>
      <c r="U961" s="15"/>
      <c r="V961" s="15"/>
    </row>
    <row r="962">
      <c r="S962" s="15"/>
      <c r="T962" s="15"/>
      <c r="U962" s="15"/>
      <c r="V962" s="15"/>
    </row>
    <row r="963">
      <c r="S963" s="15"/>
      <c r="T963" s="15"/>
      <c r="U963" s="15"/>
      <c r="V963" s="15"/>
    </row>
    <row r="964">
      <c r="S964" s="15"/>
      <c r="T964" s="15"/>
      <c r="U964" s="15"/>
      <c r="V964" s="15"/>
    </row>
    <row r="965">
      <c r="S965" s="15"/>
      <c r="T965" s="15"/>
      <c r="U965" s="15"/>
      <c r="V965" s="15"/>
    </row>
    <row r="966">
      <c r="S966" s="15"/>
      <c r="T966" s="15"/>
      <c r="U966" s="15"/>
      <c r="V966" s="15"/>
    </row>
    <row r="967">
      <c r="S967" s="15"/>
      <c r="T967" s="15"/>
      <c r="U967" s="15"/>
      <c r="V967" s="15"/>
    </row>
    <row r="968">
      <c r="S968" s="15"/>
      <c r="T968" s="15"/>
      <c r="U968" s="15"/>
      <c r="V968" s="15"/>
    </row>
    <row r="969">
      <c r="S969" s="15"/>
      <c r="T969" s="15"/>
      <c r="U969" s="15"/>
      <c r="V969" s="15"/>
    </row>
    <row r="970">
      <c r="S970" s="15"/>
      <c r="T970" s="15"/>
      <c r="U970" s="15"/>
      <c r="V970" s="15"/>
    </row>
    <row r="971">
      <c r="S971" s="15"/>
      <c r="T971" s="15"/>
      <c r="U971" s="15"/>
      <c r="V971" s="15"/>
    </row>
    <row r="972">
      <c r="S972" s="15"/>
      <c r="T972" s="15"/>
      <c r="U972" s="15"/>
      <c r="V972" s="15"/>
    </row>
    <row r="973">
      <c r="S973" s="15"/>
      <c r="T973" s="15"/>
      <c r="U973" s="15"/>
      <c r="V973" s="15"/>
    </row>
    <row r="974">
      <c r="S974" s="15"/>
      <c r="T974" s="15"/>
      <c r="U974" s="15"/>
      <c r="V974" s="15"/>
    </row>
    <row r="975">
      <c r="S975" s="15"/>
      <c r="T975" s="15"/>
      <c r="U975" s="15"/>
      <c r="V975" s="15"/>
    </row>
    <row r="976">
      <c r="S976" s="15"/>
      <c r="T976" s="15"/>
      <c r="U976" s="15"/>
      <c r="V976" s="15"/>
    </row>
    <row r="977">
      <c r="S977" s="15"/>
      <c r="T977" s="15"/>
      <c r="U977" s="15"/>
      <c r="V977" s="15"/>
    </row>
    <row r="978">
      <c r="S978" s="15"/>
      <c r="T978" s="15"/>
      <c r="U978" s="15"/>
      <c r="V978" s="15"/>
    </row>
    <row r="979">
      <c r="S979" s="15"/>
      <c r="T979" s="15"/>
      <c r="U979" s="15"/>
      <c r="V979" s="15"/>
    </row>
    <row r="980">
      <c r="S980" s="15"/>
      <c r="T980" s="15"/>
      <c r="U980" s="15"/>
      <c r="V980" s="15"/>
    </row>
    <row r="981">
      <c r="S981" s="15"/>
      <c r="T981" s="15"/>
      <c r="U981" s="15"/>
      <c r="V981" s="15"/>
    </row>
    <row r="982">
      <c r="S982" s="15"/>
      <c r="T982" s="15"/>
      <c r="U982" s="15"/>
      <c r="V982" s="15"/>
    </row>
    <row r="983">
      <c r="S983" s="15"/>
      <c r="T983" s="15"/>
      <c r="U983" s="15"/>
      <c r="V983" s="15"/>
    </row>
    <row r="984">
      <c r="S984" s="15"/>
      <c r="T984" s="15"/>
      <c r="U984" s="15"/>
      <c r="V984" s="15"/>
    </row>
    <row r="985">
      <c r="S985" s="15"/>
      <c r="T985" s="15"/>
      <c r="U985" s="15"/>
      <c r="V985" s="15"/>
    </row>
    <row r="986">
      <c r="S986" s="15"/>
      <c r="T986" s="15"/>
      <c r="U986" s="15"/>
      <c r="V986" s="15"/>
    </row>
    <row r="987">
      <c r="S987" s="15"/>
      <c r="T987" s="15"/>
      <c r="U987" s="15"/>
      <c r="V987" s="15"/>
    </row>
    <row r="988">
      <c r="S988" s="15"/>
      <c r="T988" s="15"/>
      <c r="U988" s="15"/>
      <c r="V988" s="15"/>
    </row>
    <row r="989">
      <c r="S989" s="15"/>
      <c r="T989" s="15"/>
      <c r="U989" s="15"/>
      <c r="V989" s="15"/>
    </row>
    <row r="990">
      <c r="S990" s="15"/>
      <c r="T990" s="15"/>
      <c r="U990" s="15"/>
      <c r="V990" s="15"/>
    </row>
    <row r="991">
      <c r="S991" s="15"/>
      <c r="T991" s="15"/>
      <c r="U991" s="15"/>
      <c r="V991" s="15"/>
    </row>
    <row r="992">
      <c r="S992" s="15"/>
      <c r="T992" s="15"/>
      <c r="U992" s="15"/>
      <c r="V992" s="15"/>
    </row>
    <row r="993">
      <c r="S993" s="15"/>
      <c r="T993" s="15"/>
      <c r="U993" s="15"/>
      <c r="V993" s="15"/>
    </row>
    <row r="994">
      <c r="S994" s="15"/>
      <c r="T994" s="15"/>
      <c r="U994" s="15"/>
      <c r="V994" s="15"/>
    </row>
    <row r="995">
      <c r="S995" s="15"/>
      <c r="T995" s="15"/>
      <c r="U995" s="15"/>
      <c r="V995" s="15"/>
    </row>
    <row r="996">
      <c r="S996" s="15"/>
      <c r="T996" s="15"/>
      <c r="U996" s="15"/>
      <c r="V996" s="15"/>
    </row>
    <row r="997">
      <c r="S997" s="15"/>
      <c r="T997" s="15"/>
      <c r="U997" s="15"/>
      <c r="V997" s="15"/>
    </row>
    <row r="998">
      <c r="S998" s="15"/>
      <c r="T998" s="15"/>
      <c r="U998" s="15"/>
      <c r="V998" s="15"/>
    </row>
    <row r="999">
      <c r="S999" s="15"/>
      <c r="T999" s="15"/>
      <c r="U999" s="15"/>
      <c r="V999" s="15"/>
    </row>
    <row r="1000">
      <c r="S1000" s="15"/>
      <c r="T1000" s="15"/>
      <c r="U1000" s="15"/>
      <c r="V1000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3" max="13" width="22.88"/>
    <col customWidth="1" min="17" max="17" width="19.38"/>
  </cols>
  <sheetData>
    <row r="1" ht="19.5" customHeight="1">
      <c r="A1" s="1" t="s">
        <v>14</v>
      </c>
      <c r="B1" s="1" t="s">
        <v>38</v>
      </c>
      <c r="C1" s="4" t="s">
        <v>45</v>
      </c>
      <c r="D1" s="33" t="s">
        <v>51</v>
      </c>
      <c r="E1" s="40" t="s">
        <v>59</v>
      </c>
      <c r="F1" s="40" t="s">
        <v>65</v>
      </c>
      <c r="G1" s="40" t="s">
        <v>67</v>
      </c>
      <c r="H1" s="40" t="s">
        <v>68</v>
      </c>
      <c r="I1" s="40" t="s">
        <v>71</v>
      </c>
      <c r="J1" s="40" t="s">
        <v>73</v>
      </c>
      <c r="K1" s="40" t="s">
        <v>74</v>
      </c>
      <c r="L1" s="1" t="s">
        <v>79</v>
      </c>
      <c r="M1" s="1" t="s">
        <v>85</v>
      </c>
      <c r="N1" s="1" t="s">
        <v>89</v>
      </c>
      <c r="O1" s="1" t="s">
        <v>2315</v>
      </c>
      <c r="P1" s="1" t="s">
        <v>4061</v>
      </c>
      <c r="Q1" s="1" t="s">
        <v>4062</v>
      </c>
      <c r="R1" s="40"/>
      <c r="S1" s="41"/>
      <c r="T1" s="41"/>
      <c r="U1" s="40"/>
    </row>
    <row r="2">
      <c r="A2" s="1" t="s">
        <v>9</v>
      </c>
      <c r="B2" s="1" t="s">
        <v>4035</v>
      </c>
      <c r="C2" s="1" t="s">
        <v>1114</v>
      </c>
      <c r="D2" s="1" t="s">
        <v>1843</v>
      </c>
      <c r="E2" s="1" t="s">
        <v>1687</v>
      </c>
      <c r="F2" s="1" t="s">
        <v>1687</v>
      </c>
      <c r="G2" s="1" t="s">
        <v>1687</v>
      </c>
      <c r="H2" s="1">
        <v>39.7777778</v>
      </c>
      <c r="I2" s="1">
        <v>64.41027778</v>
      </c>
      <c r="J2" s="1" t="s">
        <v>1461</v>
      </c>
      <c r="K2" s="1" t="s">
        <v>1842</v>
      </c>
      <c r="L2" s="36">
        <v>899.5</v>
      </c>
      <c r="M2" s="37">
        <v>1049.0</v>
      </c>
      <c r="N2" s="37">
        <v>750.0</v>
      </c>
      <c r="O2" s="30" t="s">
        <v>4064</v>
      </c>
      <c r="P2" s="1" t="s">
        <v>9</v>
      </c>
      <c r="Q2" s="1" t="s">
        <v>1687</v>
      </c>
      <c r="S2" s="2"/>
    </row>
    <row r="3">
      <c r="A3" s="1" t="s">
        <v>17</v>
      </c>
      <c r="B3" s="1" t="s">
        <v>4035</v>
      </c>
      <c r="C3" s="1" t="s">
        <v>1114</v>
      </c>
      <c r="D3" s="1" t="s">
        <v>1832</v>
      </c>
      <c r="E3" s="1" t="s">
        <v>119</v>
      </c>
      <c r="F3" s="1" t="s">
        <v>121</v>
      </c>
      <c r="G3" s="1" t="s">
        <v>119</v>
      </c>
      <c r="H3" s="1">
        <v>39.9709361</v>
      </c>
      <c r="I3" s="1">
        <v>64.61849722</v>
      </c>
      <c r="J3" s="1" t="s">
        <v>1461</v>
      </c>
      <c r="K3" s="1" t="s">
        <v>1836</v>
      </c>
      <c r="L3" s="36">
        <v>1899.5</v>
      </c>
      <c r="M3" s="37">
        <v>2049.0</v>
      </c>
      <c r="N3" s="37">
        <v>1750.0</v>
      </c>
      <c r="O3" s="30" t="s">
        <v>4067</v>
      </c>
      <c r="P3" s="1" t="s">
        <v>17</v>
      </c>
      <c r="Q3" s="30">
        <v>0.26</v>
      </c>
      <c r="S3" s="2"/>
      <c r="T3" s="9"/>
    </row>
    <row r="4">
      <c r="A4" s="1" t="s">
        <v>23</v>
      </c>
      <c r="B4" s="1" t="s">
        <v>4035</v>
      </c>
      <c r="C4" s="1" t="s">
        <v>1114</v>
      </c>
      <c r="D4" s="1" t="s">
        <v>1832</v>
      </c>
      <c r="E4" s="1" t="s">
        <v>1439</v>
      </c>
      <c r="F4" s="1" t="s">
        <v>1438</v>
      </c>
      <c r="G4" s="1" t="s">
        <v>1439</v>
      </c>
      <c r="H4" s="1">
        <v>39.7777778</v>
      </c>
      <c r="I4" s="1">
        <v>64.41027778</v>
      </c>
      <c r="J4" s="1" t="s">
        <v>1461</v>
      </c>
      <c r="K4" s="1" t="s">
        <v>1842</v>
      </c>
      <c r="L4" s="36">
        <v>899.5</v>
      </c>
      <c r="M4" s="37">
        <v>1049.0</v>
      </c>
      <c r="N4" s="37">
        <v>750.0</v>
      </c>
      <c r="O4" s="30" t="s">
        <v>4070</v>
      </c>
      <c r="P4" s="1" t="s">
        <v>23</v>
      </c>
      <c r="Q4" s="30">
        <v>0.17</v>
      </c>
      <c r="S4" s="2"/>
      <c r="T4" s="9"/>
    </row>
    <row r="5">
      <c r="A5" s="1" t="s">
        <v>29</v>
      </c>
      <c r="B5" s="1" t="s">
        <v>4035</v>
      </c>
      <c r="C5" s="1" t="s">
        <v>1114</v>
      </c>
      <c r="D5" s="1" t="s">
        <v>1843</v>
      </c>
      <c r="E5" s="1" t="s">
        <v>1687</v>
      </c>
      <c r="F5" s="1" t="s">
        <v>1687</v>
      </c>
      <c r="G5" s="1" t="s">
        <v>1687</v>
      </c>
      <c r="H5" s="1">
        <v>39.9555917</v>
      </c>
      <c r="I5" s="1">
        <v>67.03751667</v>
      </c>
      <c r="J5" s="1" t="s">
        <v>1461</v>
      </c>
      <c r="K5" s="1" t="s">
        <v>1852</v>
      </c>
      <c r="L5" s="36">
        <v>1149.5</v>
      </c>
      <c r="M5" s="37">
        <v>1249.0</v>
      </c>
      <c r="N5" s="42">
        <v>1050.0</v>
      </c>
      <c r="O5" s="30" t="s">
        <v>4071</v>
      </c>
      <c r="P5" s="1" t="s">
        <v>29</v>
      </c>
      <c r="Q5" s="1" t="s">
        <v>1687</v>
      </c>
      <c r="S5" s="2"/>
      <c r="T5" s="9"/>
    </row>
    <row r="6">
      <c r="A6" s="1" t="s">
        <v>34</v>
      </c>
      <c r="B6" s="1" t="s">
        <v>4035</v>
      </c>
      <c r="C6" s="1" t="s">
        <v>1114</v>
      </c>
      <c r="D6" s="1" t="s">
        <v>1843</v>
      </c>
      <c r="E6" s="1" t="s">
        <v>1687</v>
      </c>
      <c r="F6" s="1" t="s">
        <v>1687</v>
      </c>
      <c r="G6" s="1" t="s">
        <v>1687</v>
      </c>
      <c r="H6" s="1">
        <v>39.9555917</v>
      </c>
      <c r="I6" s="1">
        <v>67.03751667</v>
      </c>
      <c r="J6" s="1" t="s">
        <v>1461</v>
      </c>
      <c r="K6" s="1" t="s">
        <v>1852</v>
      </c>
      <c r="L6" s="36">
        <v>1149.5</v>
      </c>
      <c r="M6" s="37">
        <v>1249.0</v>
      </c>
      <c r="N6" s="42">
        <v>1050.0</v>
      </c>
      <c r="O6" s="30" t="s">
        <v>4072</v>
      </c>
      <c r="P6" s="1" t="s">
        <v>34</v>
      </c>
      <c r="Q6" s="1" t="s">
        <v>1687</v>
      </c>
      <c r="S6" s="2"/>
      <c r="T6" s="9"/>
    </row>
    <row r="7">
      <c r="A7" s="1" t="s">
        <v>41</v>
      </c>
      <c r="B7" s="1" t="s">
        <v>4035</v>
      </c>
      <c r="C7" s="1" t="s">
        <v>1114</v>
      </c>
      <c r="D7" s="1" t="s">
        <v>1860</v>
      </c>
      <c r="E7" s="1" t="s">
        <v>1439</v>
      </c>
      <c r="F7" s="1" t="s">
        <v>1438</v>
      </c>
      <c r="G7" s="1" t="s">
        <v>1439</v>
      </c>
      <c r="H7" s="1">
        <v>40.0476333</v>
      </c>
      <c r="I7" s="1">
        <v>64.1564417</v>
      </c>
      <c r="J7" s="1" t="s">
        <v>1461</v>
      </c>
      <c r="K7" s="1" t="s">
        <v>1865</v>
      </c>
      <c r="L7" s="36">
        <v>1149.5</v>
      </c>
      <c r="M7" s="37">
        <v>1649.0</v>
      </c>
      <c r="N7" s="37">
        <v>1350.0</v>
      </c>
      <c r="O7" s="30" t="s">
        <v>4074</v>
      </c>
      <c r="P7" s="1" t="s">
        <v>41</v>
      </c>
      <c r="Q7" s="30">
        <v>0.15</v>
      </c>
      <c r="S7" s="2"/>
      <c r="T7" s="9"/>
    </row>
    <row r="8">
      <c r="A8" s="1" t="s">
        <v>47</v>
      </c>
      <c r="B8" s="1" t="s">
        <v>4035</v>
      </c>
      <c r="C8" s="1" t="s">
        <v>1114</v>
      </c>
      <c r="D8" s="1" t="s">
        <v>1843</v>
      </c>
      <c r="E8" s="1" t="s">
        <v>1439</v>
      </c>
      <c r="F8" s="1" t="s">
        <v>1438</v>
      </c>
      <c r="G8" s="1" t="s">
        <v>1439</v>
      </c>
      <c r="H8" s="1">
        <v>39.9555917</v>
      </c>
      <c r="I8" s="1">
        <v>67.03751667</v>
      </c>
      <c r="J8" s="1" t="s">
        <v>1461</v>
      </c>
      <c r="K8" s="1" t="s">
        <v>1852</v>
      </c>
      <c r="L8" s="36">
        <v>1149.5</v>
      </c>
      <c r="M8" s="37">
        <v>1249.0</v>
      </c>
      <c r="N8" s="42">
        <v>1050.0</v>
      </c>
      <c r="O8" s="30" t="s">
        <v>4077</v>
      </c>
      <c r="P8" s="1" t="s">
        <v>47</v>
      </c>
      <c r="Q8" s="30">
        <v>0.17</v>
      </c>
      <c r="S8" s="2"/>
      <c r="T8" s="9"/>
    </row>
    <row r="9">
      <c r="A9" s="1" t="s">
        <v>53</v>
      </c>
      <c r="B9" s="1" t="s">
        <v>4035</v>
      </c>
      <c r="C9" s="1" t="s">
        <v>209</v>
      </c>
      <c r="D9" s="1" t="s">
        <v>1785</v>
      </c>
      <c r="E9" s="1" t="s">
        <v>1439</v>
      </c>
      <c r="F9" s="1" t="s">
        <v>1438</v>
      </c>
      <c r="G9" s="1" t="s">
        <v>1439</v>
      </c>
      <c r="H9" s="1">
        <v>34.2721</v>
      </c>
      <c r="I9" s="1">
        <v>47.4758</v>
      </c>
      <c r="J9" s="1" t="s">
        <v>1104</v>
      </c>
      <c r="K9" s="1" t="s">
        <v>1281</v>
      </c>
      <c r="L9" s="1" t="s">
        <v>4049</v>
      </c>
      <c r="M9" s="1" t="s">
        <v>4050</v>
      </c>
      <c r="N9" s="1" t="s">
        <v>4052</v>
      </c>
      <c r="O9" s="30" t="s">
        <v>4080</v>
      </c>
      <c r="P9" s="1" t="s">
        <v>53</v>
      </c>
      <c r="Q9" s="43">
        <v>0.3</v>
      </c>
      <c r="S9" s="44"/>
      <c r="T9" s="45"/>
    </row>
    <row r="10">
      <c r="A10" s="1" t="s">
        <v>355</v>
      </c>
      <c r="B10" s="1" t="s">
        <v>4035</v>
      </c>
      <c r="C10" s="1" t="s">
        <v>1114</v>
      </c>
      <c r="D10" s="1" t="s">
        <v>1114</v>
      </c>
      <c r="E10" s="1" t="s">
        <v>1687</v>
      </c>
      <c r="F10" s="1" t="s">
        <v>1687</v>
      </c>
      <c r="G10" s="1" t="s">
        <v>1687</v>
      </c>
      <c r="H10" s="1">
        <v>33.73</v>
      </c>
      <c r="I10" s="1">
        <v>47.07</v>
      </c>
      <c r="J10" s="1" t="s">
        <v>1104</v>
      </c>
      <c r="K10" s="1" t="s">
        <v>1790</v>
      </c>
      <c r="L10" s="1">
        <v>7803.0</v>
      </c>
      <c r="M10" s="1">
        <v>8003.0</v>
      </c>
      <c r="N10" s="1">
        <v>7603.0</v>
      </c>
      <c r="O10" s="30" t="s">
        <v>4084</v>
      </c>
      <c r="P10" s="1" t="s">
        <v>355</v>
      </c>
      <c r="Q10" s="1" t="s">
        <v>1687</v>
      </c>
      <c r="S10" s="2"/>
      <c r="T10" s="9"/>
    </row>
    <row r="11">
      <c r="A11" s="1" t="s">
        <v>362</v>
      </c>
      <c r="B11" s="1" t="s">
        <v>4035</v>
      </c>
      <c r="C11" s="1" t="s">
        <v>209</v>
      </c>
      <c r="D11" s="1" t="s">
        <v>4053</v>
      </c>
      <c r="E11" s="1" t="s">
        <v>1687</v>
      </c>
      <c r="F11" s="1" t="s">
        <v>1687</v>
      </c>
      <c r="G11" s="1" t="s">
        <v>1687</v>
      </c>
      <c r="H11" s="1">
        <v>33.73</v>
      </c>
      <c r="I11" s="1">
        <v>47.07</v>
      </c>
      <c r="J11" s="1" t="s">
        <v>1104</v>
      </c>
      <c r="K11" s="1" t="s">
        <v>1790</v>
      </c>
      <c r="L11" s="1">
        <v>8368.0</v>
      </c>
      <c r="M11" s="1">
        <v>8568.0</v>
      </c>
      <c r="N11" s="1">
        <v>8168.0</v>
      </c>
      <c r="O11" s="30" t="s">
        <v>4086</v>
      </c>
      <c r="P11" s="1" t="s">
        <v>362</v>
      </c>
      <c r="Q11" s="1" t="s">
        <v>1687</v>
      </c>
      <c r="S11" s="2"/>
      <c r="T11" s="9"/>
    </row>
    <row r="12">
      <c r="A12" s="1" t="s">
        <v>366</v>
      </c>
      <c r="B12" s="1" t="s">
        <v>4035</v>
      </c>
      <c r="C12" s="1" t="s">
        <v>209</v>
      </c>
      <c r="D12" s="1" t="s">
        <v>1691</v>
      </c>
      <c r="E12" s="1" t="s">
        <v>1687</v>
      </c>
      <c r="F12" s="1" t="s">
        <v>1687</v>
      </c>
      <c r="G12" s="1" t="s">
        <v>1687</v>
      </c>
      <c r="H12" s="1">
        <v>34.2721</v>
      </c>
      <c r="I12" s="1">
        <v>47.4758</v>
      </c>
      <c r="J12" s="1" t="s">
        <v>1104</v>
      </c>
      <c r="K12" s="1" t="s">
        <v>1281</v>
      </c>
      <c r="L12" s="1">
        <v>10000.0</v>
      </c>
      <c r="M12" s="1">
        <v>10200.0</v>
      </c>
      <c r="N12" s="1">
        <v>9800.0</v>
      </c>
      <c r="O12" s="30" t="s">
        <v>4088</v>
      </c>
      <c r="P12" s="1" t="s">
        <v>366</v>
      </c>
      <c r="Q12" s="1" t="s">
        <v>1687</v>
      </c>
      <c r="S12" s="2"/>
      <c r="T12" s="9"/>
    </row>
    <row r="13">
      <c r="A13" s="1" t="s">
        <v>368</v>
      </c>
      <c r="B13" s="1" t="s">
        <v>4035</v>
      </c>
      <c r="C13" s="1" t="s">
        <v>209</v>
      </c>
      <c r="D13" s="1" t="s">
        <v>4054</v>
      </c>
      <c r="E13" s="1" t="s">
        <v>1687</v>
      </c>
      <c r="F13" s="1" t="s">
        <v>1687</v>
      </c>
      <c r="G13" s="1" t="s">
        <v>1687</v>
      </c>
      <c r="H13" s="1">
        <v>33.55761209</v>
      </c>
      <c r="I13" s="1">
        <v>48.37722906</v>
      </c>
      <c r="J13" s="1" t="s">
        <v>1104</v>
      </c>
      <c r="K13" s="1" t="s">
        <v>4055</v>
      </c>
      <c r="L13" s="1">
        <v>4450.0</v>
      </c>
      <c r="M13" s="1">
        <v>5450.0</v>
      </c>
      <c r="N13" s="1">
        <v>3450.0</v>
      </c>
      <c r="O13" s="30" t="s">
        <v>4089</v>
      </c>
      <c r="P13" s="1" t="s">
        <v>368</v>
      </c>
      <c r="Q13" s="1" t="s">
        <v>1687</v>
      </c>
      <c r="S13" s="2"/>
      <c r="T13" s="9"/>
    </row>
    <row r="14">
      <c r="A14" s="1" t="s">
        <v>374</v>
      </c>
      <c r="B14" s="1" t="s">
        <v>4035</v>
      </c>
      <c r="C14" s="1" t="s">
        <v>209</v>
      </c>
      <c r="D14" s="1" t="s">
        <v>1691</v>
      </c>
      <c r="E14" s="1" t="s">
        <v>1687</v>
      </c>
      <c r="F14" s="1" t="s">
        <v>1687</v>
      </c>
      <c r="G14" s="1" t="s">
        <v>1687</v>
      </c>
      <c r="H14" s="1">
        <v>34.2721</v>
      </c>
      <c r="I14" s="1">
        <v>47.4758</v>
      </c>
      <c r="J14" s="1" t="s">
        <v>1104</v>
      </c>
      <c r="K14" s="1" t="s">
        <v>1281</v>
      </c>
      <c r="L14" s="1">
        <v>10000.0</v>
      </c>
      <c r="M14" s="1">
        <v>10200.0</v>
      </c>
      <c r="N14" s="1">
        <v>9800.0</v>
      </c>
      <c r="O14" s="30" t="s">
        <v>4092</v>
      </c>
      <c r="P14" s="1" t="s">
        <v>374</v>
      </c>
      <c r="Q14" s="1" t="s">
        <v>1687</v>
      </c>
      <c r="S14" s="2"/>
      <c r="T14" s="9"/>
    </row>
    <row r="15">
      <c r="A15" s="1" t="s">
        <v>380</v>
      </c>
      <c r="B15" s="1" t="s">
        <v>4035</v>
      </c>
      <c r="C15" s="1" t="s">
        <v>195</v>
      </c>
      <c r="D15" s="1" t="s">
        <v>4057</v>
      </c>
      <c r="E15" s="1" t="s">
        <v>1687</v>
      </c>
      <c r="F15" s="1" t="s">
        <v>1687</v>
      </c>
      <c r="G15" s="1" t="s">
        <v>1687</v>
      </c>
      <c r="H15" s="1">
        <v>33.55761209</v>
      </c>
      <c r="I15" s="1">
        <v>48.25363287</v>
      </c>
      <c r="J15" s="1" t="s">
        <v>1104</v>
      </c>
      <c r="K15" s="1" t="s">
        <v>4058</v>
      </c>
      <c r="L15" s="1">
        <v>3950.0</v>
      </c>
      <c r="M15" s="1">
        <v>5450.0</v>
      </c>
      <c r="N15" s="1">
        <v>2450.0</v>
      </c>
      <c r="O15" s="30" t="s">
        <v>4093</v>
      </c>
      <c r="P15" s="1" t="s">
        <v>380</v>
      </c>
      <c r="Q15" s="1" t="s">
        <v>1687</v>
      </c>
      <c r="S15" s="2"/>
      <c r="T15" s="9"/>
    </row>
    <row r="16">
      <c r="A16" s="1" t="s">
        <v>387</v>
      </c>
      <c r="B16" s="1" t="s">
        <v>4035</v>
      </c>
      <c r="C16" s="1" t="s">
        <v>195</v>
      </c>
      <c r="D16" s="1" t="s">
        <v>4059</v>
      </c>
      <c r="E16" s="1" t="s">
        <v>1687</v>
      </c>
      <c r="F16" s="1" t="s">
        <v>1687</v>
      </c>
      <c r="G16" s="1" t="s">
        <v>1687</v>
      </c>
      <c r="H16" s="1">
        <v>33.73</v>
      </c>
      <c r="I16" s="1">
        <v>47.07</v>
      </c>
      <c r="J16" s="1" t="s">
        <v>1104</v>
      </c>
      <c r="K16" s="1" t="s">
        <v>1790</v>
      </c>
      <c r="L16" s="1">
        <v>7521.0</v>
      </c>
      <c r="M16" s="1">
        <v>7721.0</v>
      </c>
      <c r="N16" s="1">
        <v>7321.0</v>
      </c>
      <c r="O16" s="30" t="s">
        <v>4095</v>
      </c>
      <c r="P16" s="1" t="s">
        <v>387</v>
      </c>
      <c r="Q16" s="1" t="s">
        <v>1687</v>
      </c>
      <c r="S16" s="2"/>
      <c r="T16" s="9"/>
    </row>
    <row r="17">
      <c r="A17" s="1" t="s">
        <v>390</v>
      </c>
      <c r="B17" s="1" t="s">
        <v>4035</v>
      </c>
      <c r="C17" s="1" t="s">
        <v>209</v>
      </c>
      <c r="D17" s="1" t="s">
        <v>4060</v>
      </c>
      <c r="E17" s="1" t="s">
        <v>1687</v>
      </c>
      <c r="F17" s="1" t="s">
        <v>1687</v>
      </c>
      <c r="G17" s="1" t="s">
        <v>1687</v>
      </c>
      <c r="H17" s="1">
        <v>33.73</v>
      </c>
      <c r="I17" s="1">
        <v>47.07</v>
      </c>
      <c r="J17" s="1" t="s">
        <v>1104</v>
      </c>
      <c r="K17" s="1" t="s">
        <v>1790</v>
      </c>
      <c r="L17" s="1">
        <v>8226.0</v>
      </c>
      <c r="M17" s="1">
        <v>8426.0</v>
      </c>
      <c r="N17" s="1">
        <v>8026.0</v>
      </c>
      <c r="O17" s="30" t="s">
        <v>4099</v>
      </c>
      <c r="P17" s="1" t="s">
        <v>390</v>
      </c>
      <c r="Q17" s="1" t="s">
        <v>1687</v>
      </c>
      <c r="S17" s="2"/>
      <c r="T17" s="9"/>
    </row>
    <row r="18">
      <c r="A18" s="1" t="s">
        <v>398</v>
      </c>
      <c r="B18" s="1" t="s">
        <v>4035</v>
      </c>
      <c r="C18" s="1" t="s">
        <v>1114</v>
      </c>
      <c r="D18" s="1" t="s">
        <v>1114</v>
      </c>
      <c r="E18" s="1" t="s">
        <v>1687</v>
      </c>
      <c r="F18" s="1" t="s">
        <v>1687</v>
      </c>
      <c r="G18" s="1" t="s">
        <v>1687</v>
      </c>
      <c r="H18" s="1">
        <v>33.73</v>
      </c>
      <c r="I18" s="1">
        <v>47.07</v>
      </c>
      <c r="J18" s="1" t="s">
        <v>1104</v>
      </c>
      <c r="K18" s="1" t="s">
        <v>1790</v>
      </c>
      <c r="L18" s="1">
        <v>8297.0</v>
      </c>
      <c r="M18" s="1">
        <v>8497.0</v>
      </c>
      <c r="N18" s="1">
        <v>8097.0</v>
      </c>
      <c r="O18" s="30" t="s">
        <v>4100</v>
      </c>
      <c r="P18" s="1" t="s">
        <v>398</v>
      </c>
      <c r="Q18" s="1" t="s">
        <v>1687</v>
      </c>
      <c r="S18" s="2"/>
      <c r="T18" s="9"/>
    </row>
    <row r="19">
      <c r="A19" s="1" t="s">
        <v>403</v>
      </c>
      <c r="B19" s="1" t="s">
        <v>4035</v>
      </c>
      <c r="C19" s="1" t="s">
        <v>1114</v>
      </c>
      <c r="D19" s="1" t="s">
        <v>1114</v>
      </c>
      <c r="E19" s="1" t="s">
        <v>1687</v>
      </c>
      <c r="F19" s="1" t="s">
        <v>1687</v>
      </c>
      <c r="G19" s="1" t="s">
        <v>1687</v>
      </c>
      <c r="H19" s="1">
        <v>33.73</v>
      </c>
      <c r="I19" s="1">
        <v>47.07</v>
      </c>
      <c r="J19" s="1" t="s">
        <v>1104</v>
      </c>
      <c r="K19" s="1" t="s">
        <v>1790</v>
      </c>
      <c r="L19" s="1">
        <v>8509.0</v>
      </c>
      <c r="M19" s="1">
        <v>8709.0</v>
      </c>
      <c r="N19" s="1">
        <v>8309.0</v>
      </c>
      <c r="O19" s="30" t="s">
        <v>4103</v>
      </c>
      <c r="P19" s="1" t="s">
        <v>403</v>
      </c>
      <c r="Q19" s="1" t="s">
        <v>1687</v>
      </c>
      <c r="S19" s="2"/>
      <c r="T19" s="9"/>
    </row>
    <row r="20">
      <c r="A20" s="1" t="s">
        <v>411</v>
      </c>
      <c r="B20" s="1" t="s">
        <v>4035</v>
      </c>
      <c r="C20" s="1" t="s">
        <v>1114</v>
      </c>
      <c r="D20" s="1" t="s">
        <v>1114</v>
      </c>
      <c r="E20" s="1" t="s">
        <v>1687</v>
      </c>
      <c r="F20" s="1" t="s">
        <v>1687</v>
      </c>
      <c r="G20" s="1" t="s">
        <v>1687</v>
      </c>
      <c r="H20" s="1">
        <v>33.73</v>
      </c>
      <c r="I20" s="1">
        <v>47.07</v>
      </c>
      <c r="J20" s="1" t="s">
        <v>1104</v>
      </c>
      <c r="K20" s="1" t="s">
        <v>1790</v>
      </c>
      <c r="L20" s="1">
        <v>8650.0</v>
      </c>
      <c r="M20" s="1">
        <v>8850.0</v>
      </c>
      <c r="N20" s="1">
        <v>8450.0</v>
      </c>
      <c r="O20" s="30" t="s">
        <v>4106</v>
      </c>
      <c r="P20" s="1" t="s">
        <v>411</v>
      </c>
      <c r="Q20" s="1" t="s">
        <v>1687</v>
      </c>
      <c r="S20" s="2"/>
      <c r="T20" s="9"/>
    </row>
    <row r="21">
      <c r="A21" s="1" t="s">
        <v>419</v>
      </c>
      <c r="B21" s="1" t="s">
        <v>4035</v>
      </c>
      <c r="C21" s="1" t="s">
        <v>1114</v>
      </c>
      <c r="D21" s="1" t="s">
        <v>1114</v>
      </c>
      <c r="E21" s="1" t="s">
        <v>1687</v>
      </c>
      <c r="F21" s="1" t="s">
        <v>1687</v>
      </c>
      <c r="G21" s="1" t="s">
        <v>1687</v>
      </c>
      <c r="H21" s="1">
        <v>33.73</v>
      </c>
      <c r="I21" s="1">
        <v>47.07</v>
      </c>
      <c r="J21" s="1" t="s">
        <v>1104</v>
      </c>
      <c r="K21" s="1" t="s">
        <v>1790</v>
      </c>
      <c r="L21" s="1">
        <v>8579.0</v>
      </c>
      <c r="M21" s="1">
        <v>8779.0</v>
      </c>
      <c r="N21" s="1">
        <v>8379.0</v>
      </c>
      <c r="O21" s="30" t="s">
        <v>4110</v>
      </c>
      <c r="P21" s="1" t="s">
        <v>419</v>
      </c>
      <c r="Q21" s="1" t="s">
        <v>1687</v>
      </c>
      <c r="S21" s="2"/>
      <c r="T21" s="9"/>
    </row>
    <row r="22">
      <c r="A22" s="1" t="s">
        <v>426</v>
      </c>
      <c r="B22" s="1" t="s">
        <v>4035</v>
      </c>
      <c r="C22" s="1" t="s">
        <v>1114</v>
      </c>
      <c r="D22" s="1" t="s">
        <v>1114</v>
      </c>
      <c r="E22" s="1" t="s">
        <v>1687</v>
      </c>
      <c r="F22" s="1" t="s">
        <v>1687</v>
      </c>
      <c r="G22" s="1" t="s">
        <v>1687</v>
      </c>
      <c r="H22" s="1">
        <v>33.73</v>
      </c>
      <c r="I22" s="1">
        <v>47.07</v>
      </c>
      <c r="J22" s="1" t="s">
        <v>1104</v>
      </c>
      <c r="K22" s="1" t="s">
        <v>1790</v>
      </c>
      <c r="L22" s="1">
        <v>8650.0</v>
      </c>
      <c r="M22" s="1">
        <v>8850.0</v>
      </c>
      <c r="N22" s="1">
        <v>8450.0</v>
      </c>
      <c r="O22" s="30" t="s">
        <v>4111</v>
      </c>
      <c r="P22" s="1" t="s">
        <v>426</v>
      </c>
      <c r="Q22" s="1" t="s">
        <v>1687</v>
      </c>
      <c r="S22" s="2"/>
      <c r="T22" s="9"/>
    </row>
    <row r="23">
      <c r="A23" s="1" t="s">
        <v>433</v>
      </c>
      <c r="B23" s="1" t="s">
        <v>4035</v>
      </c>
      <c r="C23" s="1" t="s">
        <v>209</v>
      </c>
      <c r="D23" s="1" t="s">
        <v>4069</v>
      </c>
      <c r="E23" s="1" t="s">
        <v>1687</v>
      </c>
      <c r="F23" s="1" t="s">
        <v>1687</v>
      </c>
      <c r="G23" s="1" t="s">
        <v>1687</v>
      </c>
      <c r="H23" s="1">
        <v>33.73</v>
      </c>
      <c r="I23" s="1">
        <v>47.07</v>
      </c>
      <c r="J23" s="1" t="s">
        <v>1104</v>
      </c>
      <c r="K23" s="1" t="s">
        <v>1790</v>
      </c>
      <c r="L23" s="1">
        <v>8368.0</v>
      </c>
      <c r="M23" s="1">
        <v>8568.0</v>
      </c>
      <c r="N23" s="1">
        <v>8168.0</v>
      </c>
      <c r="O23" s="30" t="s">
        <v>4112</v>
      </c>
      <c r="P23" s="1" t="s">
        <v>433</v>
      </c>
      <c r="Q23" s="1" t="s">
        <v>1687</v>
      </c>
      <c r="S23" s="2"/>
      <c r="T23" s="9"/>
    </row>
    <row r="24">
      <c r="A24" s="1" t="s">
        <v>438</v>
      </c>
      <c r="B24" s="1" t="s">
        <v>4035</v>
      </c>
      <c r="C24" s="1" t="s">
        <v>1114</v>
      </c>
      <c r="D24" s="1" t="s">
        <v>1114</v>
      </c>
      <c r="E24" s="1" t="s">
        <v>1687</v>
      </c>
      <c r="F24" s="1" t="s">
        <v>1687</v>
      </c>
      <c r="G24" s="1" t="s">
        <v>1687</v>
      </c>
      <c r="H24" s="1">
        <v>33.73</v>
      </c>
      <c r="I24" s="1">
        <v>47.07</v>
      </c>
      <c r="J24" s="1" t="s">
        <v>1104</v>
      </c>
      <c r="K24" s="1" t="s">
        <v>1790</v>
      </c>
      <c r="L24" s="1">
        <v>8297.0</v>
      </c>
      <c r="M24" s="1">
        <v>8497.0</v>
      </c>
      <c r="N24" s="1">
        <v>8097.0</v>
      </c>
      <c r="O24" s="30" t="s">
        <v>4114</v>
      </c>
      <c r="P24" s="1" t="s">
        <v>438</v>
      </c>
      <c r="Q24" s="1" t="s">
        <v>1687</v>
      </c>
      <c r="S24" s="2"/>
      <c r="T24" s="9"/>
    </row>
    <row r="25">
      <c r="A25" s="1" t="s">
        <v>445</v>
      </c>
      <c r="B25" s="1" t="s">
        <v>4035</v>
      </c>
      <c r="C25" s="1" t="s">
        <v>1114</v>
      </c>
      <c r="D25" s="1" t="s">
        <v>1114</v>
      </c>
      <c r="E25" s="1" t="s">
        <v>1439</v>
      </c>
      <c r="F25" s="1" t="s">
        <v>1438</v>
      </c>
      <c r="G25" s="1" t="s">
        <v>1439</v>
      </c>
      <c r="H25" s="1">
        <v>33.73</v>
      </c>
      <c r="I25" s="1">
        <v>47.07</v>
      </c>
      <c r="J25" s="1" t="s">
        <v>1104</v>
      </c>
      <c r="K25" s="1" t="s">
        <v>1790</v>
      </c>
      <c r="L25" s="1">
        <v>7732.0</v>
      </c>
      <c r="M25" s="1">
        <v>7932.0</v>
      </c>
      <c r="N25" s="1">
        <v>7532.0</v>
      </c>
      <c r="O25" s="30" t="s">
        <v>4116</v>
      </c>
      <c r="P25" s="1" t="s">
        <v>445</v>
      </c>
      <c r="Q25" s="30">
        <v>0.07</v>
      </c>
      <c r="S25" s="2"/>
      <c r="T25" s="9"/>
    </row>
    <row r="26">
      <c r="A26" s="1" t="s">
        <v>452</v>
      </c>
      <c r="B26" s="1" t="s">
        <v>4035</v>
      </c>
      <c r="C26" s="1" t="s">
        <v>1240</v>
      </c>
      <c r="D26" s="1" t="s">
        <v>4073</v>
      </c>
      <c r="E26" s="1" t="s">
        <v>1439</v>
      </c>
      <c r="F26" s="1" t="s">
        <v>1438</v>
      </c>
      <c r="G26" s="1" t="s">
        <v>1439</v>
      </c>
      <c r="H26" s="1">
        <v>36.82526677</v>
      </c>
      <c r="I26" s="1">
        <v>50.27634569</v>
      </c>
      <c r="J26" s="1" t="s">
        <v>1104</v>
      </c>
      <c r="K26" s="1" t="s">
        <v>4075</v>
      </c>
      <c r="L26" s="1">
        <v>11400.0</v>
      </c>
      <c r="M26" s="1">
        <v>11600.0</v>
      </c>
      <c r="N26" s="1">
        <v>11200.0</v>
      </c>
      <c r="O26" s="30" t="s">
        <v>4119</v>
      </c>
      <c r="P26" s="1" t="s">
        <v>452</v>
      </c>
      <c r="Q26" s="30">
        <v>0.0</v>
      </c>
      <c r="S26" s="41"/>
      <c r="T26" s="45"/>
    </row>
    <row r="27">
      <c r="A27" s="1" t="s">
        <v>463</v>
      </c>
      <c r="B27" s="1" t="s">
        <v>4035</v>
      </c>
      <c r="C27" s="1" t="s">
        <v>1240</v>
      </c>
      <c r="D27" s="1" t="s">
        <v>4076</v>
      </c>
      <c r="E27" s="1" t="s">
        <v>1687</v>
      </c>
      <c r="F27" s="1" t="s">
        <v>1687</v>
      </c>
      <c r="G27" s="1" t="s">
        <v>1687</v>
      </c>
      <c r="H27" s="1">
        <v>36.82526677</v>
      </c>
      <c r="I27" s="1">
        <v>50.27634569</v>
      </c>
      <c r="J27" s="1" t="s">
        <v>1104</v>
      </c>
      <c r="K27" s="1" t="s">
        <v>4075</v>
      </c>
      <c r="L27" s="1">
        <v>11400.0</v>
      </c>
      <c r="M27" s="1">
        <v>11600.0</v>
      </c>
      <c r="N27" s="1">
        <v>11200.0</v>
      </c>
      <c r="O27" s="30" t="s">
        <v>4120</v>
      </c>
      <c r="P27" s="1" t="s">
        <v>463</v>
      </c>
      <c r="Q27" s="1" t="s">
        <v>1687</v>
      </c>
      <c r="S27" s="2"/>
      <c r="T27" s="9"/>
    </row>
    <row r="28">
      <c r="A28" s="1" t="s">
        <v>467</v>
      </c>
      <c r="B28" s="1" t="s">
        <v>4035</v>
      </c>
      <c r="C28" s="1" t="s">
        <v>1114</v>
      </c>
      <c r="D28" s="1" t="s">
        <v>1114</v>
      </c>
      <c r="E28" s="1" t="s">
        <v>1687</v>
      </c>
      <c r="F28" s="1" t="s">
        <v>1687</v>
      </c>
      <c r="G28" s="1" t="s">
        <v>1687</v>
      </c>
      <c r="H28" s="1">
        <v>33.73</v>
      </c>
      <c r="I28" s="1">
        <v>47.07</v>
      </c>
      <c r="J28" s="1" t="s">
        <v>1104</v>
      </c>
      <c r="K28" s="1" t="s">
        <v>1790</v>
      </c>
      <c r="L28" s="1">
        <v>8368.0</v>
      </c>
      <c r="M28" s="1">
        <v>8568.0</v>
      </c>
      <c r="N28" s="1">
        <v>8168.0</v>
      </c>
      <c r="O28" s="30" t="s">
        <v>4121</v>
      </c>
      <c r="P28" s="1" t="s">
        <v>467</v>
      </c>
      <c r="Q28" s="30">
        <v>0.02</v>
      </c>
      <c r="S28" s="2"/>
      <c r="T28" s="9"/>
    </row>
    <row r="29">
      <c r="A29" s="1" t="s">
        <v>473</v>
      </c>
      <c r="B29" s="1" t="s">
        <v>4035</v>
      </c>
      <c r="C29" s="1" t="s">
        <v>209</v>
      </c>
      <c r="D29" s="1" t="s">
        <v>4081</v>
      </c>
      <c r="E29" s="1" t="s">
        <v>119</v>
      </c>
      <c r="F29" s="1" t="s">
        <v>121</v>
      </c>
      <c r="G29" s="1" t="s">
        <v>119</v>
      </c>
      <c r="H29" s="1">
        <v>33.73</v>
      </c>
      <c r="I29" s="1">
        <v>47.07</v>
      </c>
      <c r="J29" s="1" t="s">
        <v>1104</v>
      </c>
      <c r="K29" s="1" t="s">
        <v>1790</v>
      </c>
      <c r="L29" s="1" t="s">
        <v>4082</v>
      </c>
      <c r="M29" s="1" t="s">
        <v>4082</v>
      </c>
      <c r="N29" s="1" t="s">
        <v>4082</v>
      </c>
      <c r="O29" s="30" t="s">
        <v>4123</v>
      </c>
      <c r="P29" s="1" t="s">
        <v>473</v>
      </c>
      <c r="Q29" s="30">
        <v>0.24</v>
      </c>
      <c r="S29" s="2"/>
      <c r="T29" s="9"/>
    </row>
    <row r="30">
      <c r="A30" s="1" t="s">
        <v>480</v>
      </c>
      <c r="B30" s="1" t="s">
        <v>4035</v>
      </c>
      <c r="C30" s="1" t="s">
        <v>209</v>
      </c>
      <c r="D30" s="1" t="s">
        <v>4083</v>
      </c>
      <c r="E30" s="1" t="s">
        <v>1687</v>
      </c>
      <c r="F30" s="1" t="s">
        <v>1687</v>
      </c>
      <c r="G30" s="1" t="s">
        <v>1687</v>
      </c>
      <c r="H30" s="1">
        <v>33.55761209</v>
      </c>
      <c r="I30" s="1">
        <v>48.37722906</v>
      </c>
      <c r="J30" s="1" t="s">
        <v>1104</v>
      </c>
      <c r="K30" s="1" t="s">
        <v>4055</v>
      </c>
      <c r="L30" s="1">
        <v>4450.0</v>
      </c>
      <c r="M30" s="1">
        <v>5450.0</v>
      </c>
      <c r="N30" s="1">
        <v>3450.0</v>
      </c>
      <c r="O30" s="30" t="s">
        <v>4124</v>
      </c>
      <c r="P30" s="1" t="s">
        <v>480</v>
      </c>
      <c r="Q30" s="1" t="s">
        <v>1687</v>
      </c>
      <c r="S30" s="2"/>
      <c r="T30" s="9"/>
    </row>
    <row r="31">
      <c r="A31" s="1" t="s">
        <v>483</v>
      </c>
      <c r="B31" s="1" t="s">
        <v>4035</v>
      </c>
      <c r="C31" s="1" t="s">
        <v>209</v>
      </c>
      <c r="D31" s="1" t="s">
        <v>4085</v>
      </c>
      <c r="E31" s="1" t="s">
        <v>1687</v>
      </c>
      <c r="F31" s="1" t="s">
        <v>1687</v>
      </c>
      <c r="G31" s="1" t="s">
        <v>1687</v>
      </c>
      <c r="H31" s="1">
        <v>33.73</v>
      </c>
      <c r="I31" s="1">
        <v>47.07</v>
      </c>
      <c r="J31" s="1" t="s">
        <v>1104</v>
      </c>
      <c r="K31" s="1" t="s">
        <v>1790</v>
      </c>
      <c r="L31" s="1">
        <v>8368.0</v>
      </c>
      <c r="M31" s="1">
        <v>8568.0</v>
      </c>
      <c r="N31" s="1">
        <v>8168.0</v>
      </c>
      <c r="O31" s="30" t="s">
        <v>4125</v>
      </c>
      <c r="P31" s="1" t="s">
        <v>483</v>
      </c>
      <c r="Q31" s="1" t="s">
        <v>1687</v>
      </c>
      <c r="S31" s="2"/>
      <c r="T31" s="9"/>
    </row>
    <row r="32">
      <c r="A32" s="1" t="s">
        <v>498</v>
      </c>
      <c r="B32" s="1" t="s">
        <v>4035</v>
      </c>
      <c r="C32" s="1" t="s">
        <v>209</v>
      </c>
      <c r="D32" s="1" t="s">
        <v>4087</v>
      </c>
      <c r="E32" s="1" t="s">
        <v>1687</v>
      </c>
      <c r="F32" s="1" t="s">
        <v>1687</v>
      </c>
      <c r="G32" s="1" t="s">
        <v>1687</v>
      </c>
      <c r="H32" s="1">
        <v>34.2721</v>
      </c>
      <c r="I32" s="1">
        <v>47.4758</v>
      </c>
      <c r="J32" s="1" t="s">
        <v>1104</v>
      </c>
      <c r="K32" s="1" t="s">
        <v>1281</v>
      </c>
      <c r="L32" s="1">
        <v>10000.0</v>
      </c>
      <c r="M32" s="1">
        <v>10200.0</v>
      </c>
      <c r="N32" s="1">
        <v>9800.0</v>
      </c>
      <c r="O32" s="30" t="s">
        <v>4126</v>
      </c>
      <c r="P32" s="1" t="s">
        <v>498</v>
      </c>
      <c r="Q32" s="1" t="s">
        <v>1687</v>
      </c>
      <c r="S32" s="2"/>
      <c r="T32" s="9"/>
    </row>
    <row r="33">
      <c r="A33" s="1" t="s">
        <v>505</v>
      </c>
      <c r="B33" s="1" t="s">
        <v>4035</v>
      </c>
      <c r="C33" s="1" t="s">
        <v>209</v>
      </c>
      <c r="D33" s="1" t="s">
        <v>4087</v>
      </c>
      <c r="E33" s="1" t="s">
        <v>1687</v>
      </c>
      <c r="F33" s="1" t="s">
        <v>1687</v>
      </c>
      <c r="G33" s="1" t="s">
        <v>1687</v>
      </c>
      <c r="H33" s="1">
        <v>34.2721</v>
      </c>
      <c r="I33" s="1">
        <v>47.4758</v>
      </c>
      <c r="J33" s="1" t="s">
        <v>1104</v>
      </c>
      <c r="K33" s="1" t="s">
        <v>1281</v>
      </c>
      <c r="L33" s="1">
        <v>10000.0</v>
      </c>
      <c r="M33" s="1">
        <v>10200.0</v>
      </c>
      <c r="N33" s="1">
        <v>9800.0</v>
      </c>
      <c r="O33" s="30" t="s">
        <v>4128</v>
      </c>
      <c r="P33" s="1" t="s">
        <v>505</v>
      </c>
      <c r="Q33" s="1" t="s">
        <v>1687</v>
      </c>
      <c r="S33" s="2"/>
      <c r="T33" s="9"/>
    </row>
    <row r="34">
      <c r="A34" s="1" t="s">
        <v>507</v>
      </c>
      <c r="B34" s="1" t="s">
        <v>4035</v>
      </c>
      <c r="C34" s="1" t="s">
        <v>209</v>
      </c>
      <c r="D34" s="1" t="s">
        <v>4087</v>
      </c>
      <c r="E34" s="1" t="s">
        <v>1687</v>
      </c>
      <c r="F34" s="1" t="s">
        <v>1687</v>
      </c>
      <c r="G34" s="1" t="s">
        <v>1687</v>
      </c>
      <c r="H34" s="1">
        <v>34.2721</v>
      </c>
      <c r="I34" s="1">
        <v>47.4758</v>
      </c>
      <c r="J34" s="1" t="s">
        <v>1104</v>
      </c>
      <c r="K34" s="1" t="s">
        <v>1281</v>
      </c>
      <c r="L34" s="1">
        <v>10000.0</v>
      </c>
      <c r="M34" s="1">
        <v>10200.0</v>
      </c>
      <c r="N34" s="1">
        <v>9800.0</v>
      </c>
      <c r="O34" s="30" t="s">
        <v>4129</v>
      </c>
      <c r="P34" s="1" t="s">
        <v>507</v>
      </c>
      <c r="Q34" s="1" t="s">
        <v>1687</v>
      </c>
      <c r="S34" s="2"/>
      <c r="T34" s="9"/>
    </row>
    <row r="35">
      <c r="A35" s="1" t="s">
        <v>513</v>
      </c>
      <c r="B35" s="1" t="s">
        <v>4035</v>
      </c>
      <c r="C35" s="1" t="s">
        <v>209</v>
      </c>
      <c r="D35" s="1" t="s">
        <v>4087</v>
      </c>
      <c r="E35" s="1" t="s">
        <v>1687</v>
      </c>
      <c r="F35" s="1" t="s">
        <v>1687</v>
      </c>
      <c r="G35" s="1" t="s">
        <v>1687</v>
      </c>
      <c r="H35" s="1">
        <v>34.2721</v>
      </c>
      <c r="I35" s="1">
        <v>47.4758</v>
      </c>
      <c r="J35" s="1" t="s">
        <v>1104</v>
      </c>
      <c r="K35" s="1" t="s">
        <v>1281</v>
      </c>
      <c r="L35" s="1">
        <v>10000.0</v>
      </c>
      <c r="M35" s="1">
        <v>10200.0</v>
      </c>
      <c r="N35" s="1">
        <v>9800.0</v>
      </c>
      <c r="O35" s="30" t="s">
        <v>4131</v>
      </c>
      <c r="P35" s="1" t="s">
        <v>513</v>
      </c>
      <c r="Q35" s="1" t="s">
        <v>1687</v>
      </c>
      <c r="S35" s="2"/>
      <c r="T35" s="9"/>
    </row>
    <row r="36">
      <c r="A36" s="1" t="s">
        <v>516</v>
      </c>
      <c r="B36" s="1" t="s">
        <v>4035</v>
      </c>
      <c r="C36" s="1" t="s">
        <v>209</v>
      </c>
      <c r="D36" s="1" t="s">
        <v>4087</v>
      </c>
      <c r="E36" s="1" t="s">
        <v>1687</v>
      </c>
      <c r="F36" s="1" t="s">
        <v>1687</v>
      </c>
      <c r="G36" s="1" t="s">
        <v>1687</v>
      </c>
      <c r="H36" s="1">
        <v>34.2721</v>
      </c>
      <c r="I36" s="1">
        <v>47.4758</v>
      </c>
      <c r="J36" s="1" t="s">
        <v>1104</v>
      </c>
      <c r="K36" s="1" t="s">
        <v>1281</v>
      </c>
      <c r="L36" s="1">
        <v>10000.0</v>
      </c>
      <c r="M36" s="1">
        <v>10200.0</v>
      </c>
      <c r="N36" s="1">
        <v>9800.0</v>
      </c>
      <c r="O36" s="30" t="s">
        <v>4133</v>
      </c>
      <c r="P36" s="1" t="s">
        <v>516</v>
      </c>
      <c r="Q36" s="1" t="s">
        <v>1687</v>
      </c>
      <c r="S36" s="2"/>
      <c r="T36" s="9"/>
    </row>
    <row r="37">
      <c r="A37" s="1" t="s">
        <v>523</v>
      </c>
      <c r="B37" s="1" t="s">
        <v>4035</v>
      </c>
      <c r="C37" s="1" t="s">
        <v>1114</v>
      </c>
      <c r="D37" s="1" t="s">
        <v>1114</v>
      </c>
      <c r="E37" s="1" t="s">
        <v>1687</v>
      </c>
      <c r="F37" s="1" t="s">
        <v>1687</v>
      </c>
      <c r="G37" s="1" t="s">
        <v>1687</v>
      </c>
      <c r="H37" s="1">
        <v>29.34119189</v>
      </c>
      <c r="I37" s="1">
        <v>53.13216651</v>
      </c>
      <c r="J37" s="1" t="s">
        <v>1104</v>
      </c>
      <c r="K37" s="1" t="s">
        <v>4094</v>
      </c>
      <c r="L37" s="1">
        <v>4450.0</v>
      </c>
      <c r="M37" s="1">
        <v>5450.0</v>
      </c>
      <c r="N37" s="1">
        <v>3450.0</v>
      </c>
      <c r="O37" s="30" t="s">
        <v>4137</v>
      </c>
      <c r="P37" s="1" t="s">
        <v>523</v>
      </c>
      <c r="Q37" s="1" t="s">
        <v>1687</v>
      </c>
      <c r="S37" s="2"/>
      <c r="T37" s="9"/>
    </row>
    <row r="38">
      <c r="A38" s="1" t="s">
        <v>527</v>
      </c>
      <c r="B38" s="1" t="s">
        <v>4035</v>
      </c>
      <c r="C38" s="1" t="s">
        <v>195</v>
      </c>
      <c r="D38" s="1" t="s">
        <v>4059</v>
      </c>
      <c r="E38" s="1" t="s">
        <v>1675</v>
      </c>
      <c r="F38" s="1" t="s">
        <v>1390</v>
      </c>
      <c r="G38" s="1" t="s">
        <v>1675</v>
      </c>
      <c r="H38" s="1">
        <v>26.6031</v>
      </c>
      <c r="I38" s="1">
        <v>37.9295</v>
      </c>
      <c r="J38" s="1" t="s">
        <v>4096</v>
      </c>
      <c r="K38" s="1" t="s">
        <v>4097</v>
      </c>
      <c r="L38" s="1" t="e">
        <v>#N/A</v>
      </c>
      <c r="M38" s="1" t="e">
        <v>#N/A</v>
      </c>
      <c r="N38" s="49" t="e">
        <v>#N/A</v>
      </c>
      <c r="O38" s="1" t="s">
        <v>4139</v>
      </c>
      <c r="P38" s="1" t="s">
        <v>527</v>
      </c>
      <c r="Q38" s="30">
        <v>0.5</v>
      </c>
      <c r="S38" s="2"/>
      <c r="T38" s="9"/>
    </row>
    <row r="39">
      <c r="A39" s="1" t="s">
        <v>529</v>
      </c>
      <c r="B39" s="1" t="s">
        <v>4035</v>
      </c>
      <c r="C39" s="1" t="s">
        <v>1114</v>
      </c>
      <c r="D39" s="1" t="s">
        <v>1704</v>
      </c>
      <c r="E39" s="1" t="s">
        <v>119</v>
      </c>
      <c r="F39" s="1" t="s">
        <v>121</v>
      </c>
      <c r="G39" s="1" t="s">
        <v>119</v>
      </c>
      <c r="H39" s="1">
        <v>50.95963315</v>
      </c>
      <c r="I39" s="1">
        <v>35.62339593</v>
      </c>
      <c r="J39" s="1" t="s">
        <v>564</v>
      </c>
      <c r="K39" s="1" t="s">
        <v>1709</v>
      </c>
      <c r="L39" s="1">
        <v>4250.0</v>
      </c>
      <c r="M39" s="1">
        <v>4350.0</v>
      </c>
      <c r="N39" s="49">
        <v>4150.0</v>
      </c>
      <c r="O39" s="30" t="s">
        <v>4140</v>
      </c>
      <c r="P39" s="1" t="s">
        <v>529</v>
      </c>
      <c r="Q39" s="30">
        <v>8.79</v>
      </c>
      <c r="S39" s="2"/>
      <c r="T39" s="9"/>
    </row>
    <row r="40">
      <c r="A40" s="1" t="s">
        <v>533</v>
      </c>
      <c r="B40" s="1" t="s">
        <v>4035</v>
      </c>
      <c r="C40" s="1" t="s">
        <v>1114</v>
      </c>
      <c r="D40" s="1" t="s">
        <v>4104</v>
      </c>
      <c r="E40" s="1" t="s">
        <v>119</v>
      </c>
      <c r="F40" s="1" t="s">
        <v>121</v>
      </c>
      <c r="G40" s="1" t="s">
        <v>119</v>
      </c>
      <c r="H40" s="1">
        <v>55.5969598</v>
      </c>
      <c r="I40" s="1">
        <v>37.0263641</v>
      </c>
      <c r="J40" s="1" t="s">
        <v>564</v>
      </c>
      <c r="K40" s="1" t="s">
        <v>4105</v>
      </c>
      <c r="L40" s="48">
        <v>5650.0</v>
      </c>
      <c r="M40" s="1">
        <v>5850.0</v>
      </c>
      <c r="N40" s="1">
        <v>5450.0</v>
      </c>
      <c r="O40" s="30" t="s">
        <v>4141</v>
      </c>
      <c r="P40" s="1" t="s">
        <v>533</v>
      </c>
      <c r="Q40" s="30">
        <v>1.72</v>
      </c>
      <c r="S40" s="2"/>
      <c r="T40" s="9"/>
    </row>
    <row r="41">
      <c r="A41" s="1" t="s">
        <v>539</v>
      </c>
      <c r="B41" s="1" t="s">
        <v>4035</v>
      </c>
      <c r="C41" s="1" t="s">
        <v>1114</v>
      </c>
      <c r="D41" s="1" t="s">
        <v>1721</v>
      </c>
      <c r="E41" s="1" t="s">
        <v>119</v>
      </c>
      <c r="F41" s="1" t="s">
        <v>121</v>
      </c>
      <c r="G41" s="1" t="s">
        <v>119</v>
      </c>
      <c r="H41" s="1">
        <v>45.71790307</v>
      </c>
      <c r="I41" s="1">
        <v>42.91327448</v>
      </c>
      <c r="J41" s="1" t="s">
        <v>564</v>
      </c>
      <c r="K41" s="1" t="s">
        <v>1730</v>
      </c>
      <c r="L41" s="1">
        <v>4550.0</v>
      </c>
      <c r="M41" s="1">
        <v>4750.0</v>
      </c>
      <c r="N41" s="49">
        <v>4350.0</v>
      </c>
      <c r="O41" s="30" t="s">
        <v>4142</v>
      </c>
      <c r="P41" s="1" t="s">
        <v>539</v>
      </c>
      <c r="Q41" s="30">
        <v>5.69</v>
      </c>
      <c r="S41" s="2"/>
      <c r="T41" s="9"/>
    </row>
    <row r="42">
      <c r="A42" s="1" t="s">
        <v>543</v>
      </c>
      <c r="B42" s="1" t="s">
        <v>4035</v>
      </c>
      <c r="C42" s="1" t="s">
        <v>1114</v>
      </c>
      <c r="D42" s="1" t="s">
        <v>1721</v>
      </c>
      <c r="E42" s="1" t="s">
        <v>119</v>
      </c>
      <c r="F42" s="1" t="s">
        <v>121</v>
      </c>
      <c r="G42" s="1" t="s">
        <v>119</v>
      </c>
      <c r="H42" s="1">
        <v>45.71790307</v>
      </c>
      <c r="I42" s="1">
        <v>42.91327448</v>
      </c>
      <c r="J42" s="1" t="s">
        <v>564</v>
      </c>
      <c r="K42" s="1" t="s">
        <v>1740</v>
      </c>
      <c r="L42" s="1">
        <v>4550.0</v>
      </c>
      <c r="M42" s="1">
        <v>4750.0</v>
      </c>
      <c r="N42" s="49">
        <v>4350.0</v>
      </c>
      <c r="O42" s="30" t="s">
        <v>4144</v>
      </c>
      <c r="P42" s="1" t="s">
        <v>543</v>
      </c>
      <c r="Q42" s="30">
        <v>2.47</v>
      </c>
      <c r="S42" s="2"/>
      <c r="T42" s="2"/>
    </row>
    <row r="43">
      <c r="A43" s="1" t="s">
        <v>545</v>
      </c>
      <c r="B43" s="1" t="s">
        <v>4035</v>
      </c>
      <c r="C43" s="1" t="s">
        <v>1114</v>
      </c>
      <c r="D43" s="1" t="s">
        <v>1745</v>
      </c>
      <c r="E43" s="1" t="s">
        <v>119</v>
      </c>
      <c r="F43" s="1" t="s">
        <v>121</v>
      </c>
      <c r="G43" s="1" t="s">
        <v>119</v>
      </c>
      <c r="H43" s="1">
        <v>45.4149</v>
      </c>
      <c r="I43" s="1">
        <v>43.6968</v>
      </c>
      <c r="J43" s="1" t="s">
        <v>564</v>
      </c>
      <c r="K43" s="1" t="s">
        <v>1751</v>
      </c>
      <c r="L43" s="1">
        <v>4250.0</v>
      </c>
      <c r="M43" s="1">
        <v>4350.0</v>
      </c>
      <c r="N43" s="49">
        <v>4150.0</v>
      </c>
      <c r="O43" s="30" t="s">
        <v>4147</v>
      </c>
      <c r="P43" s="1" t="s">
        <v>545</v>
      </c>
      <c r="Q43" s="30">
        <v>28.17</v>
      </c>
      <c r="S43" s="2"/>
      <c r="T43" s="9"/>
    </row>
    <row r="44">
      <c r="A44" s="1" t="s">
        <v>551</v>
      </c>
      <c r="B44" s="1" t="s">
        <v>4035</v>
      </c>
      <c r="C44" s="1" t="s">
        <v>1114</v>
      </c>
      <c r="D44" s="1" t="s">
        <v>4113</v>
      </c>
      <c r="E44" s="1" t="s">
        <v>1675</v>
      </c>
      <c r="F44" s="1" t="s">
        <v>1390</v>
      </c>
      <c r="G44" s="1" t="s">
        <v>1675</v>
      </c>
      <c r="H44" s="1">
        <v>43.92704626</v>
      </c>
      <c r="I44" s="1">
        <v>42.69017898</v>
      </c>
      <c r="J44" s="1" t="s">
        <v>564</v>
      </c>
      <c r="K44" s="1" t="s">
        <v>4115</v>
      </c>
      <c r="L44" s="1">
        <v>4450.0</v>
      </c>
      <c r="M44" s="1">
        <v>4950.0</v>
      </c>
      <c r="N44" s="1">
        <v>3951.0</v>
      </c>
      <c r="O44" s="30" t="s">
        <v>4150</v>
      </c>
      <c r="P44" s="1" t="s">
        <v>551</v>
      </c>
      <c r="Q44" s="30">
        <v>8.43</v>
      </c>
      <c r="S44" s="2"/>
      <c r="T44" s="9"/>
    </row>
    <row r="45">
      <c r="A45" s="1" t="s">
        <v>554</v>
      </c>
      <c r="B45" s="1" t="s">
        <v>4035</v>
      </c>
      <c r="C45" s="1" t="s">
        <v>1114</v>
      </c>
      <c r="D45" s="1" t="s">
        <v>1759</v>
      </c>
      <c r="E45" s="1" t="s">
        <v>119</v>
      </c>
      <c r="F45" s="1" t="s">
        <v>121</v>
      </c>
      <c r="G45" s="1" t="s">
        <v>119</v>
      </c>
      <c r="H45" s="1">
        <v>36.8485</v>
      </c>
      <c r="I45" s="1">
        <v>60.4181</v>
      </c>
      <c r="J45" s="1" t="s">
        <v>1764</v>
      </c>
      <c r="K45" s="1" t="s">
        <v>1765</v>
      </c>
      <c r="L45" s="1">
        <v>4575.0</v>
      </c>
      <c r="M45" s="1">
        <v>4800.0</v>
      </c>
      <c r="N45" s="1">
        <v>4350.0</v>
      </c>
      <c r="O45" s="30" t="s">
        <v>4153</v>
      </c>
      <c r="P45" s="1" t="s">
        <v>554</v>
      </c>
      <c r="Q45" s="30">
        <v>0.69</v>
      </c>
      <c r="S45" s="2"/>
      <c r="T45" s="9"/>
    </row>
    <row r="46">
      <c r="A46" s="1" t="s">
        <v>559</v>
      </c>
      <c r="B46" s="1" t="s">
        <v>4035</v>
      </c>
      <c r="C46" s="1" t="s">
        <v>1114</v>
      </c>
      <c r="D46" s="1" t="s">
        <v>1774</v>
      </c>
      <c r="E46" s="1" t="s">
        <v>119</v>
      </c>
      <c r="F46" s="1" t="s">
        <v>121</v>
      </c>
      <c r="G46" s="1" t="s">
        <v>119</v>
      </c>
      <c r="H46" s="1">
        <v>50.95963315</v>
      </c>
      <c r="I46" s="1">
        <v>35.62339593</v>
      </c>
      <c r="J46" s="1" t="s">
        <v>564</v>
      </c>
      <c r="K46" s="1" t="s">
        <v>1709</v>
      </c>
      <c r="L46" s="1">
        <v>4250.0</v>
      </c>
      <c r="M46" s="1">
        <v>4350.0</v>
      </c>
      <c r="N46" s="49">
        <v>4150.0</v>
      </c>
      <c r="O46" s="30" t="s">
        <v>4154</v>
      </c>
      <c r="P46" s="1" t="s">
        <v>559</v>
      </c>
      <c r="Q46" s="30">
        <v>30.01</v>
      </c>
      <c r="S46" s="2"/>
      <c r="T46" s="2"/>
    </row>
    <row r="47">
      <c r="A47" s="1" t="s">
        <v>562</v>
      </c>
      <c r="B47" s="1" t="s">
        <v>4035</v>
      </c>
      <c r="C47" s="1" t="s">
        <v>195</v>
      </c>
      <c r="D47" s="1" t="s">
        <v>1789</v>
      </c>
      <c r="E47" s="1" t="s">
        <v>119</v>
      </c>
      <c r="F47" s="1" t="s">
        <v>121</v>
      </c>
      <c r="G47" s="1" t="s">
        <v>119</v>
      </c>
      <c r="H47" s="1">
        <v>33.73</v>
      </c>
      <c r="I47" s="1">
        <v>47.07</v>
      </c>
      <c r="J47" s="1" t="s">
        <v>1104</v>
      </c>
      <c r="K47" s="1" t="s">
        <v>1790</v>
      </c>
      <c r="L47" s="1">
        <v>7732.0</v>
      </c>
      <c r="M47" s="1">
        <v>7932.0</v>
      </c>
      <c r="N47" s="1">
        <v>7532.0</v>
      </c>
      <c r="O47" s="30" t="s">
        <v>4155</v>
      </c>
      <c r="P47" s="1" t="s">
        <v>562</v>
      </c>
      <c r="Q47" s="43">
        <v>2.4</v>
      </c>
      <c r="S47" s="41"/>
      <c r="T47" s="45"/>
    </row>
    <row r="48">
      <c r="A48" s="1" t="s">
        <v>568</v>
      </c>
      <c r="B48" s="1" t="s">
        <v>4035</v>
      </c>
      <c r="C48" s="1" t="s">
        <v>209</v>
      </c>
      <c r="D48" s="1" t="s">
        <v>4081</v>
      </c>
      <c r="E48" s="1" t="s">
        <v>119</v>
      </c>
      <c r="F48" s="1" t="s">
        <v>121</v>
      </c>
      <c r="G48" s="1" t="s">
        <v>119</v>
      </c>
      <c r="H48" s="1">
        <v>33.56447825</v>
      </c>
      <c r="I48" s="1">
        <v>48.30581793</v>
      </c>
      <c r="J48" s="1" t="s">
        <v>1104</v>
      </c>
      <c r="K48" s="1" t="s">
        <v>4122</v>
      </c>
      <c r="L48" s="1">
        <v>4450.0</v>
      </c>
      <c r="M48" s="1">
        <v>5450.0</v>
      </c>
      <c r="N48" s="1">
        <v>3450.0</v>
      </c>
      <c r="O48" s="30" t="s">
        <v>4157</v>
      </c>
      <c r="P48" s="1" t="s">
        <v>568</v>
      </c>
      <c r="Q48" s="30">
        <v>0.33</v>
      </c>
      <c r="S48" s="2"/>
      <c r="T48" s="2"/>
    </row>
    <row r="49">
      <c r="A49" s="1" t="s">
        <v>571</v>
      </c>
      <c r="B49" s="1" t="s">
        <v>4035</v>
      </c>
      <c r="C49" s="1" t="s">
        <v>209</v>
      </c>
      <c r="D49" s="1" t="s">
        <v>1783</v>
      </c>
      <c r="E49" s="1" t="s">
        <v>1439</v>
      </c>
      <c r="F49" s="1" t="s">
        <v>1438</v>
      </c>
      <c r="G49" s="1" t="s">
        <v>1439</v>
      </c>
      <c r="H49" s="1">
        <v>34.2721</v>
      </c>
      <c r="I49" s="1">
        <v>47.4758</v>
      </c>
      <c r="J49" s="1" t="s">
        <v>1104</v>
      </c>
      <c r="K49" s="1" t="s">
        <v>1281</v>
      </c>
      <c r="L49" s="1">
        <v>10000.0</v>
      </c>
      <c r="M49" s="1">
        <v>10200.0</v>
      </c>
      <c r="N49" s="1">
        <v>9800.0</v>
      </c>
      <c r="O49" s="30" t="s">
        <v>4160</v>
      </c>
      <c r="P49" s="1" t="s">
        <v>571</v>
      </c>
      <c r="Q49" s="30">
        <v>0.16</v>
      </c>
      <c r="S49" s="2"/>
      <c r="T49" s="9"/>
    </row>
    <row r="50">
      <c r="A50" s="1" t="s">
        <v>577</v>
      </c>
      <c r="B50" s="1" t="s">
        <v>4035</v>
      </c>
      <c r="C50" s="1" t="s">
        <v>209</v>
      </c>
      <c r="D50" s="1" t="s">
        <v>1783</v>
      </c>
      <c r="E50" s="1" t="s">
        <v>1439</v>
      </c>
      <c r="F50" s="1" t="s">
        <v>1438</v>
      </c>
      <c r="G50" s="1" t="s">
        <v>1439</v>
      </c>
      <c r="H50" s="1">
        <v>34.2721</v>
      </c>
      <c r="I50" s="1">
        <v>47.4758</v>
      </c>
      <c r="J50" s="1" t="s">
        <v>1104</v>
      </c>
      <c r="K50" s="1" t="s">
        <v>1281</v>
      </c>
      <c r="L50" s="1">
        <v>10000.0</v>
      </c>
      <c r="M50" s="1">
        <v>10200.0</v>
      </c>
      <c r="N50" s="1">
        <v>9800.0</v>
      </c>
      <c r="O50" s="30" t="s">
        <v>4164</v>
      </c>
      <c r="P50" s="1" t="s">
        <v>577</v>
      </c>
      <c r="Q50" s="30">
        <v>0.5</v>
      </c>
      <c r="S50" s="2"/>
      <c r="T50" s="9"/>
    </row>
    <row r="51">
      <c r="A51" s="1" t="s">
        <v>582</v>
      </c>
      <c r="B51" s="1" t="s">
        <v>4035</v>
      </c>
      <c r="C51" s="1" t="s">
        <v>1114</v>
      </c>
      <c r="D51" s="1" t="s">
        <v>1114</v>
      </c>
      <c r="E51" s="1" t="s">
        <v>1439</v>
      </c>
      <c r="F51" s="1" t="s">
        <v>1438</v>
      </c>
      <c r="G51" s="1" t="s">
        <v>1439</v>
      </c>
      <c r="H51" s="1">
        <v>33.73</v>
      </c>
      <c r="I51" s="1">
        <v>47.07</v>
      </c>
      <c r="J51" s="1" t="s">
        <v>1104</v>
      </c>
      <c r="K51" s="1" t="s">
        <v>1790</v>
      </c>
      <c r="L51" s="1">
        <v>7732.0</v>
      </c>
      <c r="M51" s="1">
        <v>7932.0</v>
      </c>
      <c r="N51" s="1">
        <v>7532.0</v>
      </c>
      <c r="O51" s="30" t="s">
        <v>4167</v>
      </c>
      <c r="P51" s="1" t="s">
        <v>582</v>
      </c>
      <c r="Q51" s="30">
        <v>0.52</v>
      </c>
      <c r="S51" s="2"/>
      <c r="T51" s="9"/>
    </row>
    <row r="52">
      <c r="A52" s="1" t="s">
        <v>584</v>
      </c>
      <c r="B52" s="1" t="s">
        <v>4035</v>
      </c>
      <c r="C52" s="1" t="s">
        <v>209</v>
      </c>
      <c r="D52" s="1" t="s">
        <v>4127</v>
      </c>
      <c r="E52" s="1" t="s">
        <v>1439</v>
      </c>
      <c r="F52" s="1" t="s">
        <v>1438</v>
      </c>
      <c r="G52" s="1" t="s">
        <v>1439</v>
      </c>
      <c r="H52" s="1">
        <v>34.2721</v>
      </c>
      <c r="I52" s="1">
        <v>47.4758</v>
      </c>
      <c r="J52" s="1" t="s">
        <v>1104</v>
      </c>
      <c r="K52" s="1" t="s">
        <v>1281</v>
      </c>
      <c r="L52" s="1">
        <v>10000.0</v>
      </c>
      <c r="M52" s="1">
        <v>10200.0</v>
      </c>
      <c r="N52" s="1">
        <v>9800.0</v>
      </c>
      <c r="O52" s="30" t="s">
        <v>4168</v>
      </c>
      <c r="P52" s="1" t="s">
        <v>584</v>
      </c>
      <c r="Q52" s="30">
        <v>0.6</v>
      </c>
      <c r="S52" s="2"/>
      <c r="T52" s="2"/>
    </row>
    <row r="53">
      <c r="A53" s="1" t="s">
        <v>588</v>
      </c>
      <c r="B53" s="1" t="s">
        <v>4035</v>
      </c>
      <c r="C53" s="1" t="s">
        <v>209</v>
      </c>
      <c r="D53" s="1" t="s">
        <v>4127</v>
      </c>
      <c r="E53" s="1" t="s">
        <v>1687</v>
      </c>
      <c r="F53" s="1" t="s">
        <v>1687</v>
      </c>
      <c r="G53" s="1" t="s">
        <v>1687</v>
      </c>
      <c r="H53" s="1">
        <v>34.2721</v>
      </c>
      <c r="I53" s="1">
        <v>47.4758</v>
      </c>
      <c r="J53" s="1" t="s">
        <v>1104</v>
      </c>
      <c r="K53" s="1" t="s">
        <v>1281</v>
      </c>
      <c r="L53" s="1">
        <v>10000.0</v>
      </c>
      <c r="M53" s="1">
        <v>10200.0</v>
      </c>
      <c r="N53" s="1">
        <v>9800.0</v>
      </c>
      <c r="O53" s="30" t="s">
        <v>4169</v>
      </c>
      <c r="P53" s="1" t="s">
        <v>588</v>
      </c>
      <c r="Q53" s="1" t="s">
        <v>1687</v>
      </c>
      <c r="S53" s="2"/>
      <c r="T53" s="9"/>
    </row>
    <row r="54">
      <c r="A54" s="1" t="s">
        <v>594</v>
      </c>
      <c r="B54" s="1" t="s">
        <v>4035</v>
      </c>
      <c r="C54" s="1" t="s">
        <v>209</v>
      </c>
      <c r="D54" s="1" t="s">
        <v>4127</v>
      </c>
      <c r="E54" s="1" t="s">
        <v>119</v>
      </c>
      <c r="F54" s="1" t="s">
        <v>121</v>
      </c>
      <c r="G54" s="1" t="s">
        <v>119</v>
      </c>
      <c r="H54" s="1">
        <v>29.34119189</v>
      </c>
      <c r="I54" s="1">
        <v>53.13216651</v>
      </c>
      <c r="J54" s="1" t="s">
        <v>1104</v>
      </c>
      <c r="K54" s="1" t="s">
        <v>4094</v>
      </c>
      <c r="L54" s="1">
        <v>4450.0</v>
      </c>
      <c r="M54" s="1">
        <v>5450.0</v>
      </c>
      <c r="N54" s="1">
        <v>3450.0</v>
      </c>
      <c r="O54" s="30" t="s">
        <v>4170</v>
      </c>
      <c r="P54" s="1" t="s">
        <v>594</v>
      </c>
      <c r="Q54" s="30">
        <v>0.42</v>
      </c>
      <c r="S54" s="2"/>
      <c r="T54" s="2"/>
    </row>
    <row r="55">
      <c r="A55" s="1" t="s">
        <v>596</v>
      </c>
      <c r="B55" s="1" t="s">
        <v>4035</v>
      </c>
      <c r="C55" s="1" t="s">
        <v>209</v>
      </c>
      <c r="D55" s="1" t="s">
        <v>1783</v>
      </c>
      <c r="E55" s="1" t="s">
        <v>1687</v>
      </c>
      <c r="F55" s="1" t="s">
        <v>1687</v>
      </c>
      <c r="G55" s="1" t="s">
        <v>1687</v>
      </c>
      <c r="H55" s="1">
        <v>33.56447825</v>
      </c>
      <c r="I55" s="1">
        <v>48.30581793</v>
      </c>
      <c r="J55" s="1" t="s">
        <v>1104</v>
      </c>
      <c r="K55" s="1" t="s">
        <v>4122</v>
      </c>
      <c r="L55" s="1">
        <v>4450.0</v>
      </c>
      <c r="M55" s="1">
        <v>5450.0</v>
      </c>
      <c r="N55" s="1">
        <v>3450.0</v>
      </c>
      <c r="O55" s="30" t="s">
        <v>4173</v>
      </c>
      <c r="P55" s="1" t="s">
        <v>596</v>
      </c>
      <c r="Q55" s="30">
        <v>0.08</v>
      </c>
      <c r="S55" s="2"/>
      <c r="T55" s="2"/>
    </row>
    <row r="56">
      <c r="A56" s="1" t="s">
        <v>598</v>
      </c>
      <c r="B56" s="1" t="s">
        <v>4035</v>
      </c>
      <c r="C56" s="1" t="s">
        <v>209</v>
      </c>
      <c r="D56" s="1" t="s">
        <v>4134</v>
      </c>
      <c r="E56" s="1" t="s">
        <v>1439</v>
      </c>
      <c r="F56" s="1" t="s">
        <v>1438</v>
      </c>
      <c r="G56" s="1" t="s">
        <v>1439</v>
      </c>
      <c r="H56" s="1">
        <v>33.56447825</v>
      </c>
      <c r="I56" s="1">
        <v>48.30581793</v>
      </c>
      <c r="J56" s="1" t="s">
        <v>1104</v>
      </c>
      <c r="K56" s="1" t="s">
        <v>4122</v>
      </c>
      <c r="L56" s="1">
        <v>4450.0</v>
      </c>
      <c r="M56" s="1">
        <v>5450.0</v>
      </c>
      <c r="N56" s="1">
        <v>3450.0</v>
      </c>
      <c r="O56" s="30" t="s">
        <v>4175</v>
      </c>
      <c r="P56" s="1" t="s">
        <v>598</v>
      </c>
      <c r="Q56" s="30">
        <v>0.41</v>
      </c>
      <c r="S56" s="2"/>
      <c r="T56" s="9"/>
    </row>
    <row r="57">
      <c r="A57" s="1" t="s">
        <v>604</v>
      </c>
      <c r="B57" s="1" t="s">
        <v>4035</v>
      </c>
      <c r="C57" s="1" t="s">
        <v>195</v>
      </c>
      <c r="D57" s="1" t="s">
        <v>1789</v>
      </c>
      <c r="E57" s="1" t="s">
        <v>1439</v>
      </c>
      <c r="F57" s="1" t="s">
        <v>1438</v>
      </c>
      <c r="G57" s="1" t="s">
        <v>1439</v>
      </c>
      <c r="H57" s="1">
        <v>33.73</v>
      </c>
      <c r="I57" s="1">
        <v>47.07</v>
      </c>
      <c r="J57" s="1" t="s">
        <v>1104</v>
      </c>
      <c r="K57" s="1" t="s">
        <v>1790</v>
      </c>
      <c r="L57" s="1">
        <v>8085.0</v>
      </c>
      <c r="M57" s="1">
        <v>8285.0</v>
      </c>
      <c r="N57" s="1">
        <v>7885.0</v>
      </c>
      <c r="O57" s="30" t="s">
        <v>4180</v>
      </c>
      <c r="P57" s="1" t="s">
        <v>604</v>
      </c>
      <c r="Q57" s="30">
        <v>6.4</v>
      </c>
      <c r="S57" s="2"/>
      <c r="T57" s="9"/>
    </row>
    <row r="58">
      <c r="A58" s="1" t="s">
        <v>609</v>
      </c>
      <c r="B58" s="1" t="s">
        <v>4035</v>
      </c>
      <c r="C58" s="1" t="s">
        <v>1114</v>
      </c>
      <c r="D58" s="1" t="s">
        <v>1114</v>
      </c>
      <c r="E58" s="1" t="s">
        <v>1439</v>
      </c>
      <c r="F58" s="1" t="s">
        <v>1438</v>
      </c>
      <c r="G58" s="1" t="s">
        <v>1439</v>
      </c>
      <c r="H58" s="1">
        <v>33.73</v>
      </c>
      <c r="I58" s="1">
        <v>47.07</v>
      </c>
      <c r="J58" s="1" t="s">
        <v>1104</v>
      </c>
      <c r="K58" s="1" t="s">
        <v>1790</v>
      </c>
      <c r="L58" s="1">
        <v>7732.0</v>
      </c>
      <c r="M58" s="1">
        <v>7932.0</v>
      </c>
      <c r="N58" s="1">
        <v>7532.0</v>
      </c>
      <c r="O58" s="30" t="s">
        <v>4182</v>
      </c>
      <c r="P58" s="1" t="s">
        <v>609</v>
      </c>
      <c r="Q58" s="30">
        <v>0.78</v>
      </c>
      <c r="S58" s="2"/>
      <c r="T58" s="9"/>
    </row>
    <row r="59">
      <c r="A59" s="1" t="s">
        <v>613</v>
      </c>
      <c r="B59" s="1" t="s">
        <v>4035</v>
      </c>
      <c r="C59" s="1" t="s">
        <v>195</v>
      </c>
      <c r="D59" s="1" t="s">
        <v>1789</v>
      </c>
      <c r="E59" s="1" t="s">
        <v>119</v>
      </c>
      <c r="F59" s="1" t="s">
        <v>121</v>
      </c>
      <c r="G59" s="1" t="s">
        <v>119</v>
      </c>
      <c r="H59" s="1">
        <v>33.73</v>
      </c>
      <c r="I59" s="1">
        <v>47.07</v>
      </c>
      <c r="J59" s="1" t="s">
        <v>1104</v>
      </c>
      <c r="K59" s="1" t="s">
        <v>1790</v>
      </c>
      <c r="L59" s="1">
        <v>7732.0</v>
      </c>
      <c r="M59" s="1">
        <v>7932.0</v>
      </c>
      <c r="N59" s="1">
        <v>7532.0</v>
      </c>
      <c r="O59" s="30" t="s">
        <v>4184</v>
      </c>
      <c r="P59" s="1" t="s">
        <v>613</v>
      </c>
      <c r="Q59" s="43">
        <v>0.9</v>
      </c>
      <c r="S59" s="41"/>
      <c r="T59" s="45"/>
    </row>
    <row r="60">
      <c r="A60" s="1" t="s">
        <v>624</v>
      </c>
      <c r="B60" s="1" t="s">
        <v>4035</v>
      </c>
      <c r="C60" s="1" t="s">
        <v>1114</v>
      </c>
      <c r="D60" s="1" t="s">
        <v>1114</v>
      </c>
      <c r="E60" s="1" t="s">
        <v>119</v>
      </c>
      <c r="F60" s="1" t="s">
        <v>121</v>
      </c>
      <c r="G60" s="1" t="s">
        <v>119</v>
      </c>
      <c r="H60" s="1">
        <v>33.73</v>
      </c>
      <c r="I60" s="1">
        <v>47.07</v>
      </c>
      <c r="J60" s="1" t="s">
        <v>1104</v>
      </c>
      <c r="K60" s="1" t="s">
        <v>1790</v>
      </c>
      <c r="L60" s="1">
        <v>7732.0</v>
      </c>
      <c r="M60" s="1">
        <v>7932.0</v>
      </c>
      <c r="N60" s="1">
        <v>7532.0</v>
      </c>
      <c r="O60" s="30" t="s">
        <v>4185</v>
      </c>
      <c r="P60" s="1" t="s">
        <v>624</v>
      </c>
      <c r="Q60" s="30">
        <v>0.12</v>
      </c>
      <c r="S60" s="2"/>
      <c r="T60" s="9"/>
    </row>
    <row r="61">
      <c r="A61" s="1" t="s">
        <v>627</v>
      </c>
      <c r="B61" s="1" t="s">
        <v>4035</v>
      </c>
      <c r="C61" s="1" t="s">
        <v>209</v>
      </c>
      <c r="D61" s="1" t="s">
        <v>4143</v>
      </c>
      <c r="E61" s="1" t="s">
        <v>1439</v>
      </c>
      <c r="F61" s="1" t="s">
        <v>1438</v>
      </c>
      <c r="G61" s="1" t="s">
        <v>1439</v>
      </c>
      <c r="H61" s="1">
        <v>33.73</v>
      </c>
      <c r="I61" s="1">
        <v>47.07</v>
      </c>
      <c r="J61" s="1" t="s">
        <v>1104</v>
      </c>
      <c r="K61" s="1" t="s">
        <v>1790</v>
      </c>
      <c r="L61" s="1">
        <v>8579.0</v>
      </c>
      <c r="M61" s="1">
        <v>8779.0</v>
      </c>
      <c r="N61" s="1">
        <v>8379.0</v>
      </c>
      <c r="O61" s="30" t="s">
        <v>4187</v>
      </c>
      <c r="P61" s="1" t="s">
        <v>627</v>
      </c>
      <c r="Q61" s="30">
        <v>1.14</v>
      </c>
      <c r="S61" s="2"/>
      <c r="T61" s="9"/>
    </row>
    <row r="62">
      <c r="A62" s="1" t="s">
        <v>630</v>
      </c>
      <c r="B62" s="1" t="s">
        <v>4035</v>
      </c>
      <c r="C62" s="1" t="s">
        <v>209</v>
      </c>
      <c r="D62" s="1" t="s">
        <v>4146</v>
      </c>
      <c r="E62" s="1" t="s">
        <v>119</v>
      </c>
      <c r="F62" s="1" t="s">
        <v>121</v>
      </c>
      <c r="G62" s="1" t="s">
        <v>119</v>
      </c>
      <c r="H62" s="1">
        <v>33.55761209</v>
      </c>
      <c r="I62" s="1">
        <v>48.37722906</v>
      </c>
      <c r="J62" s="1" t="s">
        <v>1104</v>
      </c>
      <c r="K62" s="1" t="s">
        <v>4055</v>
      </c>
      <c r="L62" s="1">
        <v>4450.0</v>
      </c>
      <c r="M62" s="1">
        <v>5450.0</v>
      </c>
      <c r="N62" s="1">
        <v>3450.0</v>
      </c>
      <c r="O62" s="30" t="s">
        <v>4190</v>
      </c>
      <c r="P62" s="1" t="s">
        <v>630</v>
      </c>
      <c r="Q62" s="30">
        <v>0.0</v>
      </c>
      <c r="S62" s="41"/>
      <c r="T62" s="50"/>
    </row>
    <row r="63">
      <c r="A63" s="1" t="s">
        <v>632</v>
      </c>
      <c r="B63" s="1" t="s">
        <v>4035</v>
      </c>
      <c r="C63" s="1" t="s">
        <v>209</v>
      </c>
      <c r="D63" s="1" t="s">
        <v>4146</v>
      </c>
      <c r="E63" s="1" t="s">
        <v>119</v>
      </c>
      <c r="F63" s="1" t="s">
        <v>121</v>
      </c>
      <c r="G63" s="1" t="s">
        <v>119</v>
      </c>
      <c r="H63" s="1">
        <v>33.55761209</v>
      </c>
      <c r="I63" s="1">
        <v>48.37722906</v>
      </c>
      <c r="J63" s="1" t="s">
        <v>1104</v>
      </c>
      <c r="K63" s="1" t="s">
        <v>4055</v>
      </c>
      <c r="L63" s="1">
        <v>4450.0</v>
      </c>
      <c r="M63" s="1">
        <v>5450.0</v>
      </c>
      <c r="N63" s="1">
        <v>3450.0</v>
      </c>
      <c r="O63" s="30" t="s">
        <v>4192</v>
      </c>
      <c r="P63" s="1" t="s">
        <v>632</v>
      </c>
      <c r="Q63" s="30">
        <v>0.0</v>
      </c>
      <c r="S63" s="41"/>
      <c r="T63" s="50"/>
    </row>
    <row r="64">
      <c r="A64" s="1" t="s">
        <v>639</v>
      </c>
      <c r="B64" s="1" t="s">
        <v>4035</v>
      </c>
      <c r="C64" s="1" t="s">
        <v>209</v>
      </c>
      <c r="D64" s="1" t="s">
        <v>4127</v>
      </c>
      <c r="E64" s="1" t="s">
        <v>119</v>
      </c>
      <c r="F64" s="1" t="s">
        <v>121</v>
      </c>
      <c r="G64" s="1" t="s">
        <v>119</v>
      </c>
      <c r="H64" s="1">
        <v>33.55761209</v>
      </c>
      <c r="I64" s="1">
        <v>48.37722906</v>
      </c>
      <c r="J64" s="1" t="s">
        <v>1104</v>
      </c>
      <c r="K64" s="1" t="s">
        <v>4055</v>
      </c>
      <c r="L64" s="1">
        <v>4450.0</v>
      </c>
      <c r="M64" s="1">
        <v>5450.0</v>
      </c>
      <c r="N64" s="1">
        <v>3450.0</v>
      </c>
      <c r="O64" s="30" t="s">
        <v>4193</v>
      </c>
      <c r="P64" s="1" t="s">
        <v>639</v>
      </c>
      <c r="Q64" s="30">
        <v>0.53</v>
      </c>
      <c r="S64" s="2"/>
      <c r="T64" s="9"/>
    </row>
    <row r="65">
      <c r="A65" s="1" t="s">
        <v>642</v>
      </c>
      <c r="B65" s="1" t="s">
        <v>4035</v>
      </c>
      <c r="C65" s="1" t="s">
        <v>1114</v>
      </c>
      <c r="D65" s="1" t="s">
        <v>1114</v>
      </c>
      <c r="E65" s="1" t="s">
        <v>1687</v>
      </c>
      <c r="F65" s="1" t="s">
        <v>1687</v>
      </c>
      <c r="G65" s="1" t="s">
        <v>1687</v>
      </c>
      <c r="H65" s="1">
        <v>33.73</v>
      </c>
      <c r="I65" s="1">
        <v>47.07</v>
      </c>
      <c r="J65" s="1" t="s">
        <v>1104</v>
      </c>
      <c r="K65" s="1" t="s">
        <v>1790</v>
      </c>
      <c r="L65" s="1">
        <v>8368.0</v>
      </c>
      <c r="M65" s="1">
        <v>8568.0</v>
      </c>
      <c r="N65" s="1">
        <v>8168.0</v>
      </c>
      <c r="O65" s="30" t="s">
        <v>4196</v>
      </c>
      <c r="P65" s="1" t="s">
        <v>642</v>
      </c>
      <c r="Q65" s="1" t="s">
        <v>1687</v>
      </c>
      <c r="S65" s="2"/>
      <c r="T65" s="9"/>
    </row>
    <row r="66">
      <c r="A66" s="1" t="s">
        <v>646</v>
      </c>
      <c r="B66" s="1" t="s">
        <v>4035</v>
      </c>
      <c r="C66" s="1" t="s">
        <v>195</v>
      </c>
      <c r="D66" s="1" t="s">
        <v>1789</v>
      </c>
      <c r="E66" s="1" t="s">
        <v>1439</v>
      </c>
      <c r="F66" s="1" t="s">
        <v>1438</v>
      </c>
      <c r="G66" s="1" t="s">
        <v>1439</v>
      </c>
      <c r="H66" s="1">
        <v>33.73</v>
      </c>
      <c r="I66" s="1">
        <v>47.07</v>
      </c>
      <c r="J66" s="1" t="s">
        <v>1104</v>
      </c>
      <c r="K66" s="1" t="s">
        <v>1790</v>
      </c>
      <c r="L66" s="1">
        <v>7521.0</v>
      </c>
      <c r="M66" s="1">
        <v>7721.0</v>
      </c>
      <c r="N66" s="1">
        <v>7321.0</v>
      </c>
      <c r="O66" s="30" t="s">
        <v>4197</v>
      </c>
      <c r="P66" s="1" t="s">
        <v>646</v>
      </c>
      <c r="Q66" s="30">
        <v>0.51</v>
      </c>
      <c r="S66" s="2"/>
      <c r="T66" s="9"/>
    </row>
    <row r="67">
      <c r="A67" s="1" t="s">
        <v>648</v>
      </c>
      <c r="B67" s="1" t="s">
        <v>4035</v>
      </c>
      <c r="C67" s="1" t="s">
        <v>195</v>
      </c>
      <c r="D67" s="1" t="s">
        <v>4156</v>
      </c>
      <c r="E67" s="1" t="s">
        <v>1439</v>
      </c>
      <c r="F67" s="1" t="s">
        <v>1438</v>
      </c>
      <c r="G67" s="1" t="s">
        <v>1439</v>
      </c>
      <c r="H67" s="1">
        <v>33.73</v>
      </c>
      <c r="I67" s="1">
        <v>47.07</v>
      </c>
      <c r="J67" s="1" t="s">
        <v>1104</v>
      </c>
      <c r="K67" s="1" t="s">
        <v>1790</v>
      </c>
      <c r="L67" s="1">
        <v>8156.0</v>
      </c>
      <c r="M67" s="1">
        <v>8356.0</v>
      </c>
      <c r="N67" s="1">
        <v>7956.0</v>
      </c>
      <c r="O67" s="30" t="s">
        <v>4200</v>
      </c>
      <c r="P67" s="1" t="s">
        <v>648</v>
      </c>
      <c r="Q67" s="30">
        <v>0.22</v>
      </c>
      <c r="S67" s="2"/>
      <c r="T67" s="2"/>
    </row>
    <row r="68">
      <c r="A68" s="1" t="s">
        <v>653</v>
      </c>
      <c r="B68" s="1" t="s">
        <v>4035</v>
      </c>
      <c r="C68" s="1" t="s">
        <v>209</v>
      </c>
      <c r="D68" s="1" t="s">
        <v>1783</v>
      </c>
      <c r="E68" s="1" t="s">
        <v>1687</v>
      </c>
      <c r="F68" s="1" t="s">
        <v>1687</v>
      </c>
      <c r="G68" s="1" t="s">
        <v>1687</v>
      </c>
      <c r="H68" s="1">
        <v>33.73</v>
      </c>
      <c r="I68" s="1">
        <v>47.07</v>
      </c>
      <c r="J68" s="1" t="s">
        <v>1104</v>
      </c>
      <c r="K68" s="1" t="s">
        <v>1790</v>
      </c>
      <c r="L68" s="1">
        <v>8156.0</v>
      </c>
      <c r="M68" s="1">
        <v>8356.0</v>
      </c>
      <c r="N68" s="1">
        <v>7956.0</v>
      </c>
      <c r="O68" s="30" t="s">
        <v>4203</v>
      </c>
      <c r="P68" s="1" t="s">
        <v>653</v>
      </c>
      <c r="Q68" s="1" t="s">
        <v>1687</v>
      </c>
      <c r="S68" s="2"/>
      <c r="T68" s="9"/>
    </row>
    <row r="69">
      <c r="A69" s="1" t="s">
        <v>657</v>
      </c>
      <c r="B69" s="1" t="s">
        <v>4035</v>
      </c>
      <c r="C69" s="1" t="s">
        <v>209</v>
      </c>
      <c r="D69" s="1" t="s">
        <v>4162</v>
      </c>
      <c r="E69" s="1" t="s">
        <v>119</v>
      </c>
      <c r="F69" s="1" t="s">
        <v>121</v>
      </c>
      <c r="G69" s="1" t="s">
        <v>119</v>
      </c>
      <c r="H69" s="1">
        <v>33.73</v>
      </c>
      <c r="I69" s="1">
        <v>47.07</v>
      </c>
      <c r="J69" s="1" t="s">
        <v>1104</v>
      </c>
      <c r="K69" s="1" t="s">
        <v>1790</v>
      </c>
      <c r="L69" s="1">
        <v>7732.0</v>
      </c>
      <c r="M69" s="1">
        <v>7932.0</v>
      </c>
      <c r="N69" s="1">
        <v>7532.0</v>
      </c>
      <c r="O69" s="30" t="s">
        <v>4204</v>
      </c>
      <c r="P69" s="1" t="s">
        <v>657</v>
      </c>
      <c r="Q69" s="30">
        <v>0.21</v>
      </c>
      <c r="S69" s="2"/>
      <c r="T69" s="9"/>
    </row>
    <row r="70">
      <c r="A70" s="1" t="s">
        <v>660</v>
      </c>
      <c r="B70" s="1" t="s">
        <v>4035</v>
      </c>
      <c r="C70" s="1" t="s">
        <v>1114</v>
      </c>
      <c r="D70" s="1" t="s">
        <v>1114</v>
      </c>
      <c r="E70" s="1" t="s">
        <v>1687</v>
      </c>
      <c r="F70" s="1" t="s">
        <v>1687</v>
      </c>
      <c r="G70" s="1" t="s">
        <v>1687</v>
      </c>
      <c r="H70" s="1">
        <v>33.73</v>
      </c>
      <c r="I70" s="1">
        <v>47.07</v>
      </c>
      <c r="J70" s="1" t="s">
        <v>1104</v>
      </c>
      <c r="K70" s="1" t="s">
        <v>1790</v>
      </c>
      <c r="L70" s="1">
        <v>7803.0</v>
      </c>
      <c r="M70" s="1">
        <v>8003.0</v>
      </c>
      <c r="N70" s="1">
        <v>7603.0</v>
      </c>
      <c r="O70" s="30" t="s">
        <v>4207</v>
      </c>
      <c r="P70" s="1" t="s">
        <v>660</v>
      </c>
      <c r="Q70" s="1" t="s">
        <v>1687</v>
      </c>
      <c r="S70" s="2"/>
      <c r="T70" s="2"/>
    </row>
    <row r="71">
      <c r="A71" s="1" t="s">
        <v>663</v>
      </c>
      <c r="B71" s="1" t="s">
        <v>4035</v>
      </c>
      <c r="C71" s="1" t="s">
        <v>209</v>
      </c>
      <c r="D71" s="1" t="s">
        <v>4127</v>
      </c>
      <c r="E71" s="1" t="s">
        <v>119</v>
      </c>
      <c r="F71" s="1" t="s">
        <v>121</v>
      </c>
      <c r="G71" s="1" t="s">
        <v>119</v>
      </c>
      <c r="H71" s="1">
        <v>33.73</v>
      </c>
      <c r="I71" s="1">
        <v>47.07</v>
      </c>
      <c r="J71" s="1" t="s">
        <v>1104</v>
      </c>
      <c r="K71" s="1" t="s">
        <v>1790</v>
      </c>
      <c r="L71" s="1">
        <v>7732.0</v>
      </c>
      <c r="M71" s="1">
        <v>7932.0</v>
      </c>
      <c r="N71" s="1">
        <v>7532.0</v>
      </c>
      <c r="O71" s="30" t="s">
        <v>4208</v>
      </c>
      <c r="P71" s="1" t="s">
        <v>663</v>
      </c>
      <c r="Q71" s="30">
        <v>0.14</v>
      </c>
      <c r="S71" s="2"/>
      <c r="T71" s="2"/>
    </row>
    <row r="72">
      <c r="A72" s="1" t="s">
        <v>668</v>
      </c>
      <c r="B72" s="1" t="s">
        <v>4035</v>
      </c>
      <c r="C72" s="1" t="s">
        <v>209</v>
      </c>
      <c r="D72" s="1" t="s">
        <v>1783</v>
      </c>
      <c r="E72" s="1" t="s">
        <v>119</v>
      </c>
      <c r="F72" s="1" t="s">
        <v>121</v>
      </c>
      <c r="G72" s="1" t="s">
        <v>119</v>
      </c>
      <c r="H72" s="1">
        <v>33.73</v>
      </c>
      <c r="I72" s="1">
        <v>47.07</v>
      </c>
      <c r="J72" s="1" t="s">
        <v>1104</v>
      </c>
      <c r="K72" s="1" t="s">
        <v>1790</v>
      </c>
      <c r="L72" s="1">
        <v>7732.0</v>
      </c>
      <c r="M72" s="1">
        <v>7932.0</v>
      </c>
      <c r="N72" s="1">
        <v>7532.0</v>
      </c>
      <c r="O72" s="30" t="s">
        <v>4209</v>
      </c>
      <c r="P72" s="1" t="s">
        <v>668</v>
      </c>
      <c r="Q72" s="30">
        <v>0.15</v>
      </c>
      <c r="S72" s="2"/>
      <c r="T72" s="2"/>
    </row>
    <row r="73">
      <c r="A73" s="1" t="s">
        <v>673</v>
      </c>
      <c r="B73" s="1" t="s">
        <v>4035</v>
      </c>
      <c r="C73" s="1" t="s">
        <v>195</v>
      </c>
      <c r="D73" s="1" t="s">
        <v>1789</v>
      </c>
      <c r="E73" s="1" t="s">
        <v>1439</v>
      </c>
      <c r="F73" s="1" t="s">
        <v>1438</v>
      </c>
      <c r="G73" s="1" t="s">
        <v>1439</v>
      </c>
      <c r="H73" s="1">
        <v>33.73</v>
      </c>
      <c r="I73" s="1">
        <v>47.07</v>
      </c>
      <c r="J73" s="1" t="s">
        <v>1104</v>
      </c>
      <c r="K73" s="1" t="s">
        <v>1790</v>
      </c>
      <c r="L73" s="1">
        <v>7803.0</v>
      </c>
      <c r="M73" s="1">
        <v>8003.0</v>
      </c>
      <c r="N73" s="1">
        <v>7603.0</v>
      </c>
      <c r="O73" s="30" t="s">
        <v>4212</v>
      </c>
      <c r="P73" s="1" t="s">
        <v>673</v>
      </c>
      <c r="Q73" s="30">
        <v>1.72</v>
      </c>
      <c r="S73" s="2"/>
      <c r="T73" s="2"/>
    </row>
    <row r="74">
      <c r="A74" s="1" t="s">
        <v>675</v>
      </c>
      <c r="B74" s="1" t="s">
        <v>4035</v>
      </c>
      <c r="C74" s="1" t="s">
        <v>195</v>
      </c>
      <c r="D74" s="1" t="s">
        <v>1789</v>
      </c>
      <c r="E74" s="1" t="s">
        <v>1687</v>
      </c>
      <c r="F74" s="1" t="s">
        <v>1687</v>
      </c>
      <c r="G74" s="1" t="s">
        <v>1687</v>
      </c>
      <c r="H74" s="1">
        <v>33.73</v>
      </c>
      <c r="I74" s="1">
        <v>47.07</v>
      </c>
      <c r="J74" s="1" t="s">
        <v>1104</v>
      </c>
      <c r="K74" s="1" t="s">
        <v>1790</v>
      </c>
      <c r="L74" s="1">
        <v>7450.0</v>
      </c>
      <c r="M74" s="1">
        <v>7650.0</v>
      </c>
      <c r="N74" s="1">
        <v>7250.0</v>
      </c>
      <c r="O74" s="30" t="s">
        <v>4213</v>
      </c>
      <c r="P74" s="1" t="s">
        <v>675</v>
      </c>
      <c r="Q74" s="1" t="s">
        <v>1687</v>
      </c>
      <c r="S74" s="2"/>
      <c r="T74" s="2"/>
    </row>
    <row r="75">
      <c r="A75" s="1" t="s">
        <v>678</v>
      </c>
      <c r="B75" s="1" t="s">
        <v>4035</v>
      </c>
      <c r="C75" s="1" t="s">
        <v>209</v>
      </c>
      <c r="D75" s="1" t="s">
        <v>1783</v>
      </c>
      <c r="E75" s="1" t="s">
        <v>119</v>
      </c>
      <c r="F75" s="1" t="s">
        <v>121</v>
      </c>
      <c r="G75" s="1" t="s">
        <v>119</v>
      </c>
      <c r="H75" s="1">
        <v>33.73</v>
      </c>
      <c r="I75" s="1">
        <v>47.07</v>
      </c>
      <c r="J75" s="1" t="s">
        <v>1104</v>
      </c>
      <c r="K75" s="1" t="s">
        <v>1790</v>
      </c>
      <c r="L75" s="1">
        <v>7732.0</v>
      </c>
      <c r="M75" s="1">
        <v>7932.0</v>
      </c>
      <c r="N75" s="1">
        <v>7532.0</v>
      </c>
      <c r="O75" s="30" t="s">
        <v>4214</v>
      </c>
      <c r="P75" s="1" t="s">
        <v>678</v>
      </c>
      <c r="Q75" s="30">
        <v>0.04</v>
      </c>
      <c r="S75" s="2"/>
      <c r="T75" s="2"/>
    </row>
    <row r="76">
      <c r="A76" s="1" t="s">
        <v>682</v>
      </c>
      <c r="B76" s="1" t="s">
        <v>4035</v>
      </c>
      <c r="C76" s="1" t="s">
        <v>209</v>
      </c>
      <c r="D76" s="1" t="s">
        <v>4178</v>
      </c>
      <c r="E76" s="1" t="s">
        <v>119</v>
      </c>
      <c r="F76" s="1" t="s">
        <v>121</v>
      </c>
      <c r="G76" s="1" t="s">
        <v>119</v>
      </c>
      <c r="H76" s="1">
        <v>33.73</v>
      </c>
      <c r="I76" s="1">
        <v>47.07</v>
      </c>
      <c r="J76" s="1" t="s">
        <v>1104</v>
      </c>
      <c r="K76" s="1" t="s">
        <v>1790</v>
      </c>
      <c r="L76" s="1">
        <v>8438.0</v>
      </c>
      <c r="M76" s="1">
        <v>8638.0</v>
      </c>
      <c r="N76" s="1">
        <v>8238.0</v>
      </c>
      <c r="O76" s="30" t="s">
        <v>4215</v>
      </c>
      <c r="P76" s="1" t="s">
        <v>682</v>
      </c>
      <c r="Q76" s="30">
        <v>0.18</v>
      </c>
      <c r="S76" s="2"/>
      <c r="T76" s="9"/>
    </row>
    <row r="77">
      <c r="A77" s="1" t="s">
        <v>687</v>
      </c>
      <c r="B77" s="1" t="s">
        <v>4035</v>
      </c>
      <c r="C77" s="1" t="s">
        <v>209</v>
      </c>
      <c r="D77" s="1" t="s">
        <v>4181</v>
      </c>
      <c r="E77" s="1" t="s">
        <v>119</v>
      </c>
      <c r="F77" s="1" t="s">
        <v>121</v>
      </c>
      <c r="G77" s="1" t="s">
        <v>119</v>
      </c>
      <c r="H77" s="1">
        <v>33.73</v>
      </c>
      <c r="I77" s="1">
        <v>47.07</v>
      </c>
      <c r="J77" s="1" t="s">
        <v>1104</v>
      </c>
      <c r="K77" s="1" t="s">
        <v>1790</v>
      </c>
      <c r="L77" s="1">
        <v>8156.0</v>
      </c>
      <c r="M77" s="1">
        <v>8356.0</v>
      </c>
      <c r="N77" s="1">
        <v>7956.0</v>
      </c>
      <c r="O77" s="30" t="s">
        <v>4216</v>
      </c>
      <c r="P77" s="1" t="s">
        <v>687</v>
      </c>
      <c r="Q77" s="30">
        <v>0.35</v>
      </c>
      <c r="S77" s="2"/>
      <c r="T77" s="9"/>
    </row>
    <row r="78">
      <c r="A78" s="1" t="s">
        <v>690</v>
      </c>
      <c r="B78" s="1" t="s">
        <v>4035</v>
      </c>
      <c r="C78" s="1" t="s">
        <v>195</v>
      </c>
      <c r="D78" s="1" t="s">
        <v>1789</v>
      </c>
      <c r="E78" s="1" t="s">
        <v>119</v>
      </c>
      <c r="F78" s="1" t="s">
        <v>121</v>
      </c>
      <c r="G78" s="1" t="s">
        <v>119</v>
      </c>
      <c r="H78" s="1">
        <v>33.73</v>
      </c>
      <c r="I78" s="1">
        <v>47.07</v>
      </c>
      <c r="J78" s="1" t="s">
        <v>1104</v>
      </c>
      <c r="K78" s="1" t="s">
        <v>1790</v>
      </c>
      <c r="L78" s="1" t="s">
        <v>4082</v>
      </c>
      <c r="M78" s="1" t="s">
        <v>4082</v>
      </c>
      <c r="N78" s="1" t="s">
        <v>4082</v>
      </c>
      <c r="O78" s="30" t="s">
        <v>4217</v>
      </c>
      <c r="P78" s="1" t="s">
        <v>690</v>
      </c>
      <c r="Q78" s="30">
        <v>0.18</v>
      </c>
      <c r="S78" s="2"/>
      <c r="T78" s="9"/>
    </row>
    <row r="79">
      <c r="A79" s="1" t="s">
        <v>693</v>
      </c>
      <c r="B79" s="1" t="s">
        <v>4035</v>
      </c>
      <c r="C79" s="1" t="s">
        <v>209</v>
      </c>
      <c r="D79" s="1" t="s">
        <v>1783</v>
      </c>
      <c r="E79" s="1" t="s">
        <v>1687</v>
      </c>
      <c r="F79" s="1" t="s">
        <v>1687</v>
      </c>
      <c r="G79" s="1" t="s">
        <v>1687</v>
      </c>
      <c r="H79" s="1">
        <v>33.73</v>
      </c>
      <c r="I79" s="1">
        <v>47.07</v>
      </c>
      <c r="J79" s="1" t="s">
        <v>1104</v>
      </c>
      <c r="K79" s="1" t="s">
        <v>1790</v>
      </c>
      <c r="L79" s="1">
        <v>8297.0</v>
      </c>
      <c r="M79" s="1">
        <v>8497.0</v>
      </c>
      <c r="N79" s="1">
        <v>8097.0</v>
      </c>
      <c r="O79" s="30" t="s">
        <v>4220</v>
      </c>
      <c r="P79" s="1" t="s">
        <v>693</v>
      </c>
      <c r="Q79" s="1" t="s">
        <v>1687</v>
      </c>
      <c r="S79" s="2"/>
      <c r="T79" s="2"/>
    </row>
    <row r="80">
      <c r="A80" s="1" t="s">
        <v>697</v>
      </c>
      <c r="B80" s="1" t="s">
        <v>4035</v>
      </c>
      <c r="C80" s="1" t="s">
        <v>209</v>
      </c>
      <c r="D80" s="1" t="s">
        <v>4181</v>
      </c>
      <c r="E80" s="1" t="s">
        <v>1687</v>
      </c>
      <c r="F80" s="1" t="s">
        <v>1687</v>
      </c>
      <c r="G80" s="1" t="s">
        <v>1687</v>
      </c>
      <c r="H80" s="1">
        <v>33.73</v>
      </c>
      <c r="I80" s="1">
        <v>47.07</v>
      </c>
      <c r="J80" s="1" t="s">
        <v>1104</v>
      </c>
      <c r="K80" s="1" t="s">
        <v>1790</v>
      </c>
      <c r="L80" s="1">
        <v>8297.0</v>
      </c>
      <c r="M80" s="1">
        <v>8497.0</v>
      </c>
      <c r="N80" s="1">
        <v>8097.0</v>
      </c>
      <c r="O80" s="30" t="s">
        <v>4221</v>
      </c>
      <c r="P80" s="1" t="s">
        <v>697</v>
      </c>
      <c r="Q80" s="1" t="s">
        <v>1687</v>
      </c>
      <c r="S80" s="2"/>
      <c r="T80" s="2"/>
    </row>
    <row r="81">
      <c r="A81" s="1" t="s">
        <v>702</v>
      </c>
      <c r="B81" s="1" t="s">
        <v>4035</v>
      </c>
      <c r="C81" s="1" t="s">
        <v>209</v>
      </c>
      <c r="D81" s="1" t="s">
        <v>4143</v>
      </c>
      <c r="E81" s="1" t="s">
        <v>119</v>
      </c>
      <c r="F81" s="1" t="s">
        <v>121</v>
      </c>
      <c r="G81" s="1" t="s">
        <v>119</v>
      </c>
      <c r="H81" s="1">
        <v>33.73</v>
      </c>
      <c r="I81" s="1">
        <v>47.07</v>
      </c>
      <c r="J81" s="1" t="s">
        <v>1104</v>
      </c>
      <c r="K81" s="1" t="s">
        <v>1790</v>
      </c>
      <c r="L81" s="1">
        <v>8368.0</v>
      </c>
      <c r="M81" s="1">
        <v>8568.0</v>
      </c>
      <c r="N81" s="1">
        <v>8168.0</v>
      </c>
      <c r="O81" s="30" t="s">
        <v>4223</v>
      </c>
      <c r="P81" s="1" t="s">
        <v>702</v>
      </c>
      <c r="Q81" s="30">
        <v>0.17</v>
      </c>
      <c r="S81" s="2"/>
      <c r="T81" s="9"/>
    </row>
    <row r="82">
      <c r="A82" s="1" t="s">
        <v>705</v>
      </c>
      <c r="B82" s="1" t="s">
        <v>4035</v>
      </c>
      <c r="C82" s="1" t="s">
        <v>195</v>
      </c>
      <c r="D82" s="1" t="s">
        <v>1789</v>
      </c>
      <c r="E82" s="1" t="s">
        <v>1439</v>
      </c>
      <c r="F82" s="1" t="s">
        <v>1438</v>
      </c>
      <c r="G82" s="1" t="s">
        <v>1439</v>
      </c>
      <c r="H82" s="1">
        <v>33.73</v>
      </c>
      <c r="I82" s="1">
        <v>47.07</v>
      </c>
      <c r="J82" s="1" t="s">
        <v>1104</v>
      </c>
      <c r="K82" s="1" t="s">
        <v>1790</v>
      </c>
      <c r="L82" s="1">
        <v>8509.0</v>
      </c>
      <c r="M82" s="1">
        <v>8709.0</v>
      </c>
      <c r="N82" s="1">
        <v>8309.0</v>
      </c>
      <c r="O82" s="30" t="s">
        <v>4227</v>
      </c>
      <c r="P82" s="1" t="s">
        <v>705</v>
      </c>
      <c r="Q82" s="30">
        <v>1.1</v>
      </c>
      <c r="S82" s="2"/>
      <c r="T82" s="9"/>
    </row>
    <row r="83">
      <c r="A83" s="1" t="s">
        <v>710</v>
      </c>
      <c r="B83" s="1" t="s">
        <v>4035</v>
      </c>
      <c r="C83" s="1" t="s">
        <v>1114</v>
      </c>
      <c r="D83" s="1" t="s">
        <v>1114</v>
      </c>
      <c r="E83" s="1" t="s">
        <v>1687</v>
      </c>
      <c r="F83" s="1" t="s">
        <v>1687</v>
      </c>
      <c r="G83" s="1" t="s">
        <v>1687</v>
      </c>
      <c r="H83" s="1">
        <v>33.73</v>
      </c>
      <c r="I83" s="1">
        <v>47.07</v>
      </c>
      <c r="J83" s="1" t="s">
        <v>1104</v>
      </c>
      <c r="K83" s="1" t="s">
        <v>1790</v>
      </c>
      <c r="L83" s="1">
        <v>8509.0</v>
      </c>
      <c r="M83" s="1">
        <v>8709.0</v>
      </c>
      <c r="N83" s="1">
        <v>8309.0</v>
      </c>
      <c r="O83" s="30" t="s">
        <v>4231</v>
      </c>
      <c r="P83" s="1" t="s">
        <v>710</v>
      </c>
      <c r="Q83" s="1" t="s">
        <v>1687</v>
      </c>
      <c r="S83" s="2"/>
      <c r="T83" s="9"/>
    </row>
    <row r="84">
      <c r="A84" s="1" t="s">
        <v>714</v>
      </c>
      <c r="B84" s="1" t="s">
        <v>4035</v>
      </c>
      <c r="C84" s="1" t="s">
        <v>209</v>
      </c>
      <c r="D84" s="1" t="s">
        <v>4127</v>
      </c>
      <c r="E84" s="1" t="s">
        <v>1687</v>
      </c>
      <c r="F84" s="1" t="s">
        <v>1687</v>
      </c>
      <c r="G84" s="1" t="s">
        <v>1687</v>
      </c>
      <c r="H84" s="1">
        <v>33.73</v>
      </c>
      <c r="I84" s="1">
        <v>47.07</v>
      </c>
      <c r="J84" s="1" t="s">
        <v>1104</v>
      </c>
      <c r="K84" s="1" t="s">
        <v>1790</v>
      </c>
      <c r="L84" s="1">
        <v>8509.0</v>
      </c>
      <c r="M84" s="1">
        <v>8709.0</v>
      </c>
      <c r="N84" s="1">
        <v>8309.0</v>
      </c>
      <c r="O84" s="30" t="s">
        <v>4233</v>
      </c>
      <c r="P84" s="1" t="s">
        <v>714</v>
      </c>
      <c r="Q84" s="1" t="s">
        <v>1687</v>
      </c>
      <c r="S84" s="2"/>
      <c r="T84" s="9"/>
    </row>
    <row r="85">
      <c r="A85" s="1" t="s">
        <v>717</v>
      </c>
      <c r="B85" s="1" t="s">
        <v>4035</v>
      </c>
      <c r="C85" s="1" t="s">
        <v>209</v>
      </c>
      <c r="D85" s="1" t="s">
        <v>1783</v>
      </c>
      <c r="E85" s="1" t="s">
        <v>1687</v>
      </c>
      <c r="F85" s="1" t="s">
        <v>1687</v>
      </c>
      <c r="G85" s="1" t="s">
        <v>1687</v>
      </c>
      <c r="H85" s="1">
        <v>33.73</v>
      </c>
      <c r="I85" s="1">
        <v>47.07</v>
      </c>
      <c r="J85" s="1" t="s">
        <v>1104</v>
      </c>
      <c r="K85" s="1" t="s">
        <v>1790</v>
      </c>
      <c r="L85" s="1">
        <v>8509.0</v>
      </c>
      <c r="M85" s="1">
        <v>8709.0</v>
      </c>
      <c r="N85" s="1">
        <v>8309.0</v>
      </c>
      <c r="O85" s="30" t="s">
        <v>4237</v>
      </c>
      <c r="P85" s="1" t="s">
        <v>717</v>
      </c>
      <c r="Q85" s="1" t="s">
        <v>1687</v>
      </c>
      <c r="S85" s="2"/>
      <c r="T85" s="2"/>
    </row>
    <row r="86">
      <c r="A86" s="1" t="s">
        <v>721</v>
      </c>
      <c r="B86" s="1" t="s">
        <v>4035</v>
      </c>
      <c r="C86" s="1" t="s">
        <v>209</v>
      </c>
      <c r="D86" s="1" t="s">
        <v>4181</v>
      </c>
      <c r="E86" s="1" t="s">
        <v>119</v>
      </c>
      <c r="F86" s="1" t="s">
        <v>121</v>
      </c>
      <c r="G86" s="1" t="s">
        <v>119</v>
      </c>
      <c r="H86" s="1">
        <v>33.73</v>
      </c>
      <c r="I86" s="1">
        <v>47.07</v>
      </c>
      <c r="J86" s="1" t="s">
        <v>1104</v>
      </c>
      <c r="K86" s="1" t="s">
        <v>1790</v>
      </c>
      <c r="L86" s="1">
        <v>7450.0</v>
      </c>
      <c r="M86" s="1">
        <v>7650.0</v>
      </c>
      <c r="N86" s="1">
        <v>7250.0</v>
      </c>
      <c r="O86" s="30" t="s">
        <v>4241</v>
      </c>
      <c r="P86" s="1" t="s">
        <v>721</v>
      </c>
      <c r="Q86" s="30">
        <v>0.14</v>
      </c>
      <c r="S86" s="2"/>
      <c r="T86" s="9"/>
    </row>
    <row r="87">
      <c r="A87" s="1" t="s">
        <v>726</v>
      </c>
      <c r="B87" s="1" t="s">
        <v>4035</v>
      </c>
      <c r="C87" s="1" t="s">
        <v>209</v>
      </c>
      <c r="D87" s="1" t="s">
        <v>4178</v>
      </c>
      <c r="E87" s="1" t="s">
        <v>1687</v>
      </c>
      <c r="F87" s="1" t="s">
        <v>1687</v>
      </c>
      <c r="G87" s="1" t="s">
        <v>1687</v>
      </c>
      <c r="H87" s="1">
        <v>33.73</v>
      </c>
      <c r="I87" s="1">
        <v>47.07</v>
      </c>
      <c r="J87" s="1" t="s">
        <v>1104</v>
      </c>
      <c r="K87" s="1" t="s">
        <v>1790</v>
      </c>
      <c r="L87" s="1">
        <v>8579.0</v>
      </c>
      <c r="M87" s="1">
        <v>8779.0</v>
      </c>
      <c r="N87" s="1">
        <v>8379.0</v>
      </c>
      <c r="O87" s="30" t="s">
        <v>4244</v>
      </c>
      <c r="P87" s="1" t="s">
        <v>726</v>
      </c>
      <c r="Q87" s="30">
        <v>0.09</v>
      </c>
      <c r="S87" s="2"/>
      <c r="T87" s="9"/>
    </row>
    <row r="88">
      <c r="A88" s="1" t="s">
        <v>729</v>
      </c>
      <c r="B88" s="1" t="s">
        <v>4035</v>
      </c>
      <c r="C88" s="1" t="s">
        <v>209</v>
      </c>
      <c r="D88" s="1" t="s">
        <v>4205</v>
      </c>
      <c r="E88" s="1" t="s">
        <v>1687</v>
      </c>
      <c r="F88" s="1" t="s">
        <v>1687</v>
      </c>
      <c r="G88" s="1" t="s">
        <v>1687</v>
      </c>
      <c r="H88" s="1">
        <v>33.73</v>
      </c>
      <c r="I88" s="1">
        <v>47.07</v>
      </c>
      <c r="J88" s="1" t="s">
        <v>1104</v>
      </c>
      <c r="K88" s="1" t="s">
        <v>1790</v>
      </c>
      <c r="L88" s="1">
        <v>8579.0</v>
      </c>
      <c r="M88" s="1">
        <v>8779.0</v>
      </c>
      <c r="N88" s="1">
        <v>8379.0</v>
      </c>
      <c r="O88" s="30" t="s">
        <v>4246</v>
      </c>
      <c r="P88" s="1" t="s">
        <v>729</v>
      </c>
      <c r="Q88" s="1" t="s">
        <v>1687</v>
      </c>
      <c r="S88" s="2"/>
      <c r="T88" s="9"/>
    </row>
    <row r="89">
      <c r="A89" s="1" t="s">
        <v>732</v>
      </c>
      <c r="B89" s="1" t="s">
        <v>4035</v>
      </c>
      <c r="C89" s="1" t="s">
        <v>209</v>
      </c>
      <c r="D89" s="1" t="s">
        <v>4127</v>
      </c>
      <c r="E89" s="1" t="s">
        <v>119</v>
      </c>
      <c r="F89" s="1" t="s">
        <v>121</v>
      </c>
      <c r="G89" s="1" t="s">
        <v>119</v>
      </c>
      <c r="H89" s="1">
        <v>33.73</v>
      </c>
      <c r="I89" s="1">
        <v>47.07</v>
      </c>
      <c r="J89" s="1" t="s">
        <v>1104</v>
      </c>
      <c r="K89" s="1" t="s">
        <v>1790</v>
      </c>
      <c r="L89" s="1">
        <v>8579.0</v>
      </c>
      <c r="M89" s="1">
        <v>8779.0</v>
      </c>
      <c r="N89" s="1">
        <v>8379.0</v>
      </c>
      <c r="O89" s="30" t="s">
        <v>4250</v>
      </c>
      <c r="P89" s="1" t="s">
        <v>732</v>
      </c>
      <c r="Q89" s="30">
        <v>0.07</v>
      </c>
      <c r="S89" s="2"/>
      <c r="T89" s="9"/>
    </row>
    <row r="90">
      <c r="A90" s="1" t="s">
        <v>737</v>
      </c>
      <c r="B90" s="1" t="s">
        <v>4035</v>
      </c>
      <c r="C90" s="1" t="s">
        <v>209</v>
      </c>
      <c r="D90" s="1" t="s">
        <v>4127</v>
      </c>
      <c r="E90" s="1" t="s">
        <v>1687</v>
      </c>
      <c r="F90" s="1" t="s">
        <v>1687</v>
      </c>
      <c r="G90" s="1" t="s">
        <v>1687</v>
      </c>
      <c r="H90" s="1">
        <v>33.73</v>
      </c>
      <c r="I90" s="1">
        <v>47.07</v>
      </c>
      <c r="J90" s="1" t="s">
        <v>1104</v>
      </c>
      <c r="K90" s="1" t="s">
        <v>1790</v>
      </c>
      <c r="L90" s="1">
        <v>8579.0</v>
      </c>
      <c r="M90" s="1">
        <v>8779.0</v>
      </c>
      <c r="N90" s="1">
        <v>8379.0</v>
      </c>
      <c r="O90" s="30" t="s">
        <v>4254</v>
      </c>
      <c r="P90" s="1" t="s">
        <v>737</v>
      </c>
      <c r="Q90" s="1" t="s">
        <v>1687</v>
      </c>
      <c r="S90" s="2"/>
      <c r="T90" s="9"/>
    </row>
    <row r="91">
      <c r="A91" s="1" t="s">
        <v>739</v>
      </c>
      <c r="B91" s="1" t="s">
        <v>4035</v>
      </c>
      <c r="C91" s="1" t="s">
        <v>209</v>
      </c>
      <c r="D91" s="1" t="s">
        <v>4181</v>
      </c>
      <c r="E91" s="1" t="s">
        <v>1687</v>
      </c>
      <c r="F91" s="1" t="s">
        <v>1687</v>
      </c>
      <c r="G91" s="1" t="s">
        <v>1687</v>
      </c>
      <c r="H91" s="1">
        <v>33.73</v>
      </c>
      <c r="I91" s="1">
        <v>47.07</v>
      </c>
      <c r="J91" s="1" t="s">
        <v>1104</v>
      </c>
      <c r="K91" s="1" t="s">
        <v>1790</v>
      </c>
      <c r="L91" s="1">
        <v>8509.0</v>
      </c>
      <c r="M91" s="1">
        <v>8709.0</v>
      </c>
      <c r="N91" s="1">
        <v>8309.0</v>
      </c>
      <c r="O91" s="30" t="s">
        <v>4255</v>
      </c>
      <c r="P91" s="1" t="s">
        <v>739</v>
      </c>
      <c r="Q91" s="1" t="s">
        <v>1687</v>
      </c>
      <c r="S91" s="2"/>
      <c r="T91" s="9"/>
    </row>
    <row r="92">
      <c r="A92" s="1" t="s">
        <v>745</v>
      </c>
      <c r="B92" s="1" t="s">
        <v>4035</v>
      </c>
      <c r="C92" s="1" t="s">
        <v>209</v>
      </c>
      <c r="D92" s="1" t="s">
        <v>4181</v>
      </c>
      <c r="E92" s="1" t="s">
        <v>1687</v>
      </c>
      <c r="F92" s="1" t="s">
        <v>1687</v>
      </c>
      <c r="G92" s="1" t="s">
        <v>1687</v>
      </c>
      <c r="H92" s="1">
        <v>33.73</v>
      </c>
      <c r="I92" s="1">
        <v>47.07</v>
      </c>
      <c r="J92" s="1" t="s">
        <v>1104</v>
      </c>
      <c r="K92" s="1" t="s">
        <v>1790</v>
      </c>
      <c r="L92" s="1">
        <v>8509.0</v>
      </c>
      <c r="M92" s="1">
        <v>8709.0</v>
      </c>
      <c r="N92" s="1">
        <v>8309.0</v>
      </c>
      <c r="O92" s="30" t="s">
        <v>4258</v>
      </c>
      <c r="P92" s="1" t="s">
        <v>745</v>
      </c>
      <c r="Q92" s="1" t="s">
        <v>1687</v>
      </c>
      <c r="S92" s="2"/>
      <c r="T92" s="9"/>
    </row>
    <row r="93">
      <c r="A93" s="1" t="s">
        <v>747</v>
      </c>
      <c r="B93" s="1" t="s">
        <v>4035</v>
      </c>
      <c r="C93" s="1" t="s">
        <v>209</v>
      </c>
      <c r="D93" s="1" t="s">
        <v>4127</v>
      </c>
      <c r="E93" s="1" t="s">
        <v>119</v>
      </c>
      <c r="F93" s="1" t="s">
        <v>121</v>
      </c>
      <c r="G93" s="1" t="s">
        <v>119</v>
      </c>
      <c r="H93" s="1">
        <v>33.73</v>
      </c>
      <c r="I93" s="1">
        <v>47.07</v>
      </c>
      <c r="J93" s="1" t="s">
        <v>1104</v>
      </c>
      <c r="K93" s="1" t="s">
        <v>1790</v>
      </c>
      <c r="L93" s="1">
        <v>8509.0</v>
      </c>
      <c r="M93" s="1">
        <v>8709.0</v>
      </c>
      <c r="N93" s="1">
        <v>8309.0</v>
      </c>
      <c r="O93" s="30" t="s">
        <v>4259</v>
      </c>
      <c r="P93" s="1" t="s">
        <v>747</v>
      </c>
      <c r="Q93" s="43">
        <v>0.2</v>
      </c>
      <c r="S93" s="41"/>
      <c r="T93" s="50"/>
    </row>
    <row r="94">
      <c r="A94" s="1" t="s">
        <v>750</v>
      </c>
      <c r="B94" s="1" t="s">
        <v>4035</v>
      </c>
      <c r="C94" s="1" t="s">
        <v>195</v>
      </c>
      <c r="D94" s="1" t="s">
        <v>1816</v>
      </c>
      <c r="E94" s="1" t="s">
        <v>119</v>
      </c>
      <c r="F94" s="1" t="s">
        <v>121</v>
      </c>
      <c r="G94" s="1" t="s">
        <v>119</v>
      </c>
      <c r="H94" s="1">
        <v>33.73</v>
      </c>
      <c r="I94" s="1">
        <v>47.07</v>
      </c>
      <c r="J94" s="1" t="s">
        <v>1104</v>
      </c>
      <c r="K94" s="1" t="s">
        <v>1790</v>
      </c>
      <c r="L94" s="1">
        <v>7450.0</v>
      </c>
      <c r="M94" s="1">
        <v>7650.0</v>
      </c>
      <c r="N94" s="1">
        <v>7250.0</v>
      </c>
      <c r="O94" s="30" t="s">
        <v>4262</v>
      </c>
      <c r="P94" s="1" t="s">
        <v>750</v>
      </c>
      <c r="Q94" s="43">
        <v>0.3</v>
      </c>
      <c r="S94" s="41"/>
      <c r="T94" s="45"/>
    </row>
    <row r="95">
      <c r="A95" s="1" t="s">
        <v>755</v>
      </c>
      <c r="B95" s="1" t="s">
        <v>4035</v>
      </c>
      <c r="C95" s="1" t="s">
        <v>195</v>
      </c>
      <c r="D95" s="1" t="s">
        <v>4219</v>
      </c>
      <c r="E95" s="1" t="s">
        <v>119</v>
      </c>
      <c r="F95" s="1" t="s">
        <v>121</v>
      </c>
      <c r="G95" s="1" t="s">
        <v>119</v>
      </c>
      <c r="H95" s="1">
        <v>33.73</v>
      </c>
      <c r="I95" s="1">
        <v>47.07</v>
      </c>
      <c r="J95" s="1" t="s">
        <v>1104</v>
      </c>
      <c r="K95" s="1" t="s">
        <v>1790</v>
      </c>
      <c r="L95" s="1">
        <v>7450.0</v>
      </c>
      <c r="M95" s="1">
        <v>7650.0</v>
      </c>
      <c r="N95" s="1">
        <v>7250.0</v>
      </c>
      <c r="O95" s="30" t="s">
        <v>4266</v>
      </c>
      <c r="P95" s="1" t="s">
        <v>755</v>
      </c>
      <c r="Q95" s="43">
        <v>0.4</v>
      </c>
      <c r="S95" s="41"/>
      <c r="T95" s="45"/>
    </row>
    <row r="96">
      <c r="A96" s="1" t="s">
        <v>759</v>
      </c>
      <c r="B96" s="1" t="s">
        <v>4035</v>
      </c>
      <c r="C96" s="1" t="s">
        <v>195</v>
      </c>
      <c r="D96" s="1" t="s">
        <v>4059</v>
      </c>
      <c r="E96" s="1" t="s">
        <v>119</v>
      </c>
      <c r="F96" s="1" t="s">
        <v>121</v>
      </c>
      <c r="G96" s="1" t="s">
        <v>119</v>
      </c>
      <c r="H96" s="1">
        <v>26.6031</v>
      </c>
      <c r="I96" s="1">
        <v>37.9295</v>
      </c>
      <c r="J96" s="1" t="s">
        <v>4096</v>
      </c>
      <c r="K96" s="1" t="s">
        <v>4097</v>
      </c>
      <c r="L96" s="1" t="e">
        <v>#N/A</v>
      </c>
      <c r="M96" s="1" t="e">
        <v>#N/A</v>
      </c>
      <c r="N96" s="49" t="e">
        <v>#N/A</v>
      </c>
      <c r="O96" s="1" t="s">
        <v>4268</v>
      </c>
      <c r="P96" s="1" t="s">
        <v>759</v>
      </c>
      <c r="Q96" s="51">
        <v>1.973323588525489</v>
      </c>
      <c r="S96" s="41"/>
      <c r="T96" s="45"/>
    </row>
    <row r="97">
      <c r="A97" s="1" t="s">
        <v>897</v>
      </c>
      <c r="B97" s="1" t="s">
        <v>4035</v>
      </c>
      <c r="C97" s="1" t="s">
        <v>1240</v>
      </c>
      <c r="D97" s="1" t="s">
        <v>4224</v>
      </c>
      <c r="E97" s="1" t="s">
        <v>1439</v>
      </c>
      <c r="F97" s="1" t="s">
        <v>1438</v>
      </c>
      <c r="G97" s="1" t="s">
        <v>1439</v>
      </c>
      <c r="H97" s="1">
        <v>33.61361169</v>
      </c>
      <c r="I97" s="1">
        <v>48.39644736</v>
      </c>
      <c r="J97" s="1" t="s">
        <v>1104</v>
      </c>
      <c r="K97" s="1" t="s">
        <v>4226</v>
      </c>
      <c r="L97" s="1" t="e">
        <v>#N/A</v>
      </c>
      <c r="M97" s="1" t="e">
        <v>#N/A</v>
      </c>
      <c r="N97" s="49" t="e">
        <v>#N/A</v>
      </c>
      <c r="O97" s="30" t="s">
        <v>4271</v>
      </c>
      <c r="P97" s="1" t="s">
        <v>897</v>
      </c>
      <c r="Q97" s="30">
        <v>0.22</v>
      </c>
      <c r="S97" s="2"/>
      <c r="T97" s="2"/>
    </row>
    <row r="98">
      <c r="A98" s="1" t="s">
        <v>906</v>
      </c>
      <c r="B98" s="1" t="s">
        <v>4035</v>
      </c>
      <c r="C98" s="1" t="s">
        <v>1114</v>
      </c>
      <c r="D98" s="1" t="s">
        <v>4228</v>
      </c>
      <c r="E98" s="1" t="s">
        <v>1687</v>
      </c>
      <c r="F98" s="1" t="s">
        <v>1687</v>
      </c>
      <c r="G98" s="1" t="s">
        <v>1687</v>
      </c>
      <c r="H98" s="1">
        <v>42.73396243</v>
      </c>
      <c r="I98" s="1">
        <v>44.63367638</v>
      </c>
      <c r="J98" s="1" t="s">
        <v>564</v>
      </c>
      <c r="K98" s="1" t="s">
        <v>1829</v>
      </c>
      <c r="L98" s="1" t="e">
        <v>#N/A</v>
      </c>
      <c r="M98" s="1" t="e">
        <v>#N/A</v>
      </c>
      <c r="N98" s="49" t="e">
        <v>#N/A</v>
      </c>
      <c r="O98" s="30" t="s">
        <v>4274</v>
      </c>
      <c r="P98" s="1" t="s">
        <v>906</v>
      </c>
      <c r="Q98" s="1" t="s">
        <v>1687</v>
      </c>
      <c r="S98" s="2"/>
      <c r="T98" s="2"/>
    </row>
    <row r="99">
      <c r="A99" s="1" t="s">
        <v>909</v>
      </c>
      <c r="B99" s="1" t="s">
        <v>4035</v>
      </c>
      <c r="C99" s="1" t="s">
        <v>1240</v>
      </c>
      <c r="D99" s="1" t="s">
        <v>4232</v>
      </c>
      <c r="E99" s="1" t="s">
        <v>1675</v>
      </c>
      <c r="F99" s="1" t="s">
        <v>1390</v>
      </c>
      <c r="G99" s="1" t="s">
        <v>1675</v>
      </c>
      <c r="H99" s="1">
        <v>33.61361169</v>
      </c>
      <c r="I99" s="1">
        <v>48.39644736</v>
      </c>
      <c r="J99" s="1" t="s">
        <v>1104</v>
      </c>
      <c r="K99" s="1" t="s">
        <v>4226</v>
      </c>
      <c r="L99" s="1" t="e">
        <v>#N/A</v>
      </c>
      <c r="M99" s="1" t="e">
        <v>#N/A</v>
      </c>
      <c r="N99" s="49" t="e">
        <v>#N/A</v>
      </c>
      <c r="O99" s="30" t="s">
        <v>4275</v>
      </c>
      <c r="P99" s="1" t="s">
        <v>909</v>
      </c>
      <c r="Q99" s="30">
        <v>0.02</v>
      </c>
      <c r="S99" s="2"/>
      <c r="T99" s="2"/>
    </row>
    <row r="100">
      <c r="A100" s="1" t="s">
        <v>913</v>
      </c>
      <c r="B100" s="1" t="s">
        <v>4035</v>
      </c>
      <c r="C100" s="1" t="s">
        <v>1240</v>
      </c>
      <c r="D100" s="1" t="s">
        <v>4234</v>
      </c>
      <c r="E100" s="1" t="s">
        <v>119</v>
      </c>
      <c r="F100" s="1" t="s">
        <v>121</v>
      </c>
      <c r="G100" s="1" t="s">
        <v>119</v>
      </c>
      <c r="H100" s="1">
        <v>35.78086945</v>
      </c>
      <c r="I100" s="1">
        <v>49.9398287</v>
      </c>
      <c r="J100" s="1" t="s">
        <v>1104</v>
      </c>
      <c r="K100" s="1" t="s">
        <v>4235</v>
      </c>
      <c r="L100" s="1" t="e">
        <v>#N/A</v>
      </c>
      <c r="M100" s="1" t="e">
        <v>#N/A</v>
      </c>
      <c r="N100" s="49" t="e">
        <v>#N/A</v>
      </c>
      <c r="O100" s="30" t="s">
        <v>4277</v>
      </c>
      <c r="P100" s="1" t="s">
        <v>913</v>
      </c>
      <c r="Q100" s="30">
        <v>0.03</v>
      </c>
      <c r="S100" s="2"/>
      <c r="T100" s="9"/>
    </row>
    <row r="101">
      <c r="A101" s="1" t="s">
        <v>916</v>
      </c>
      <c r="B101" s="1" t="s">
        <v>4035</v>
      </c>
      <c r="C101" s="1" t="s">
        <v>1114</v>
      </c>
      <c r="D101" s="1" t="s">
        <v>4238</v>
      </c>
      <c r="E101" s="1" t="s">
        <v>4239</v>
      </c>
      <c r="F101" s="1" t="s">
        <v>4239</v>
      </c>
      <c r="G101" s="1" t="s">
        <v>4239</v>
      </c>
      <c r="H101" s="1">
        <v>35.77122253</v>
      </c>
      <c r="I101" s="1">
        <v>49.93832386</v>
      </c>
      <c r="J101" s="1" t="s">
        <v>1104</v>
      </c>
      <c r="K101" s="1" t="s">
        <v>4240</v>
      </c>
      <c r="L101" s="1" t="e">
        <v>#N/A</v>
      </c>
      <c r="M101" s="1" t="e">
        <v>#N/A</v>
      </c>
      <c r="N101" s="49" t="e">
        <v>#N/A</v>
      </c>
      <c r="O101" s="30" t="s">
        <v>4279</v>
      </c>
      <c r="P101" s="1" t="s">
        <v>916</v>
      </c>
      <c r="Q101" s="30">
        <v>0.02</v>
      </c>
      <c r="S101" s="2"/>
      <c r="T101" s="9"/>
    </row>
    <row r="102">
      <c r="A102" s="1" t="s">
        <v>921</v>
      </c>
      <c r="B102" s="1" t="s">
        <v>4035</v>
      </c>
      <c r="C102" s="1" t="s">
        <v>1114</v>
      </c>
      <c r="D102" s="1" t="s">
        <v>4228</v>
      </c>
      <c r="E102" s="1" t="s">
        <v>1439</v>
      </c>
      <c r="F102" s="1" t="s">
        <v>1438</v>
      </c>
      <c r="G102" s="1" t="s">
        <v>1439</v>
      </c>
      <c r="H102" s="1">
        <v>36.504158</v>
      </c>
      <c r="I102" s="1">
        <v>55.000786</v>
      </c>
      <c r="J102" s="1" t="s">
        <v>1104</v>
      </c>
      <c r="K102" s="1" t="s">
        <v>1516</v>
      </c>
      <c r="L102" s="1" t="e">
        <v>#N/A</v>
      </c>
      <c r="M102" s="1" t="e">
        <v>#N/A</v>
      </c>
      <c r="N102" s="49" t="e">
        <v>#N/A</v>
      </c>
      <c r="O102" s="30">
        <v>52.0</v>
      </c>
      <c r="P102" s="1" t="s">
        <v>921</v>
      </c>
      <c r="Q102" s="30">
        <v>0.23</v>
      </c>
      <c r="S102" s="2"/>
      <c r="T102" s="2"/>
    </row>
    <row r="103">
      <c r="A103" s="1" t="s">
        <v>927</v>
      </c>
      <c r="B103" s="1" t="s">
        <v>4035</v>
      </c>
      <c r="C103" s="1" t="s">
        <v>209</v>
      </c>
      <c r="D103" s="1" t="s">
        <v>4245</v>
      </c>
      <c r="E103" s="1" t="s">
        <v>1439</v>
      </c>
      <c r="F103" s="1" t="s">
        <v>1438</v>
      </c>
      <c r="G103" s="1" t="s">
        <v>1439</v>
      </c>
      <c r="H103" s="1">
        <v>34.2721</v>
      </c>
      <c r="I103" s="1">
        <v>47.4758</v>
      </c>
      <c r="J103" s="1" t="s">
        <v>1104</v>
      </c>
      <c r="K103" s="1" t="s">
        <v>1281</v>
      </c>
      <c r="L103" s="1" t="e">
        <v>#N/A</v>
      </c>
      <c r="M103" s="1" t="e">
        <v>#N/A</v>
      </c>
      <c r="N103" s="49" t="e">
        <v>#N/A</v>
      </c>
      <c r="O103" s="30">
        <v>1025.0</v>
      </c>
      <c r="P103" s="1" t="s">
        <v>927</v>
      </c>
      <c r="Q103" s="30">
        <v>0.09</v>
      </c>
      <c r="S103" s="2"/>
      <c r="T103" s="9"/>
    </row>
    <row r="104">
      <c r="A104" s="1" t="s">
        <v>935</v>
      </c>
      <c r="B104" s="1" t="s">
        <v>4035</v>
      </c>
      <c r="C104" s="1" t="s">
        <v>209</v>
      </c>
      <c r="D104" s="1" t="s">
        <v>4247</v>
      </c>
      <c r="E104" s="1" t="s">
        <v>1687</v>
      </c>
      <c r="F104" s="1" t="s">
        <v>1687</v>
      </c>
      <c r="G104" s="1" t="s">
        <v>1687</v>
      </c>
      <c r="H104" s="1">
        <v>34.2721</v>
      </c>
      <c r="I104" s="1">
        <v>47.4758</v>
      </c>
      <c r="J104" s="1" t="s">
        <v>1104</v>
      </c>
      <c r="K104" s="1" t="s">
        <v>1281</v>
      </c>
      <c r="L104" s="1" t="e">
        <v>#N/A</v>
      </c>
      <c r="M104" s="1" t="e">
        <v>#N/A</v>
      </c>
      <c r="N104" s="49" t="e">
        <v>#N/A</v>
      </c>
      <c r="O104" s="30">
        <v>176.0</v>
      </c>
      <c r="P104" s="1" t="s">
        <v>935</v>
      </c>
      <c r="Q104" s="30">
        <v>0.03</v>
      </c>
      <c r="S104" s="2"/>
      <c r="T104" s="9"/>
    </row>
    <row r="105">
      <c r="A105" s="1" t="s">
        <v>940</v>
      </c>
      <c r="B105" s="1" t="s">
        <v>4035</v>
      </c>
      <c r="C105" s="1" t="s">
        <v>209</v>
      </c>
      <c r="D105" s="1" t="s">
        <v>4251</v>
      </c>
      <c r="E105" s="1" t="s">
        <v>1687</v>
      </c>
      <c r="F105" s="1" t="s">
        <v>1687</v>
      </c>
      <c r="G105" s="1" t="s">
        <v>1687</v>
      </c>
      <c r="H105" s="1">
        <v>34.2721</v>
      </c>
      <c r="I105" s="1">
        <v>47.4758</v>
      </c>
      <c r="J105" s="1" t="s">
        <v>1104</v>
      </c>
      <c r="K105" s="1" t="s">
        <v>1281</v>
      </c>
      <c r="L105" s="1" t="e">
        <v>#N/A</v>
      </c>
      <c r="M105" s="1" t="e">
        <v>#N/A</v>
      </c>
      <c r="N105" s="49" t="e">
        <v>#N/A</v>
      </c>
      <c r="O105" s="30">
        <v>1151.0</v>
      </c>
      <c r="P105" s="1" t="s">
        <v>940</v>
      </c>
      <c r="Q105" s="1" t="s">
        <v>1687</v>
      </c>
      <c r="S105" s="2"/>
      <c r="T105" s="9"/>
    </row>
    <row r="106">
      <c r="A106" s="1" t="s">
        <v>949</v>
      </c>
      <c r="B106" s="1" t="s">
        <v>4035</v>
      </c>
      <c r="C106" s="1" t="s">
        <v>209</v>
      </c>
      <c r="D106" s="1" t="s">
        <v>1653</v>
      </c>
      <c r="E106" s="1" t="s">
        <v>1439</v>
      </c>
      <c r="F106" s="1" t="s">
        <v>1438</v>
      </c>
      <c r="G106" s="1" t="s">
        <v>1439</v>
      </c>
      <c r="H106" s="1">
        <v>34.2721</v>
      </c>
      <c r="I106" s="1">
        <v>47.4758</v>
      </c>
      <c r="J106" s="1" t="s">
        <v>1104</v>
      </c>
      <c r="K106" s="1" t="s">
        <v>1281</v>
      </c>
      <c r="L106" s="1">
        <v>9700.0</v>
      </c>
      <c r="M106" s="1">
        <v>10150.0</v>
      </c>
      <c r="N106" s="49">
        <v>9250.0</v>
      </c>
      <c r="O106" s="30">
        <v>1211.0</v>
      </c>
      <c r="P106" s="1" t="s">
        <v>949</v>
      </c>
      <c r="Q106" s="30">
        <v>0.21</v>
      </c>
      <c r="S106" s="2"/>
      <c r="T106" s="9"/>
    </row>
    <row r="107">
      <c r="A107" s="1" t="s">
        <v>957</v>
      </c>
      <c r="B107" s="1" t="s">
        <v>4035</v>
      </c>
      <c r="C107" s="1" t="s">
        <v>209</v>
      </c>
      <c r="D107" s="1" t="s">
        <v>4251</v>
      </c>
      <c r="E107" s="1" t="s">
        <v>1687</v>
      </c>
      <c r="F107" s="1" t="s">
        <v>1687</v>
      </c>
      <c r="G107" s="1" t="s">
        <v>1687</v>
      </c>
      <c r="H107" s="1">
        <v>34.2721</v>
      </c>
      <c r="I107" s="1">
        <v>47.4758</v>
      </c>
      <c r="J107" s="1" t="s">
        <v>1104</v>
      </c>
      <c r="K107" s="1" t="s">
        <v>1281</v>
      </c>
      <c r="L107" s="1" t="e">
        <v>#N/A</v>
      </c>
      <c r="M107" s="1" t="e">
        <v>#N/A</v>
      </c>
      <c r="N107" s="49" t="e">
        <v>#N/A</v>
      </c>
      <c r="O107" s="30">
        <v>851.0</v>
      </c>
      <c r="P107" s="1" t="s">
        <v>957</v>
      </c>
      <c r="Q107" s="1" t="s">
        <v>1687</v>
      </c>
      <c r="S107" s="2"/>
      <c r="T107" s="9"/>
    </row>
    <row r="108">
      <c r="A108" s="1" t="s">
        <v>960</v>
      </c>
      <c r="B108" s="1" t="s">
        <v>4035</v>
      </c>
      <c r="C108" s="1" t="s">
        <v>1114</v>
      </c>
      <c r="D108" s="1" t="s">
        <v>1955</v>
      </c>
      <c r="E108" s="1" t="s">
        <v>1687</v>
      </c>
      <c r="F108" s="1" t="s">
        <v>1687</v>
      </c>
      <c r="G108" s="1" t="s">
        <v>1687</v>
      </c>
      <c r="H108" s="1">
        <v>33.40900013</v>
      </c>
      <c r="I108" s="1">
        <v>49.25473456</v>
      </c>
      <c r="J108" s="1" t="s">
        <v>1104</v>
      </c>
      <c r="K108" s="1" t="s">
        <v>4260</v>
      </c>
      <c r="L108" s="1" t="e">
        <v>#N/A</v>
      </c>
      <c r="M108" s="1" t="e">
        <v>#N/A</v>
      </c>
      <c r="N108" s="49" t="e">
        <v>#N/A</v>
      </c>
      <c r="O108" s="30" t="s">
        <v>4287</v>
      </c>
      <c r="P108" s="1" t="s">
        <v>960</v>
      </c>
      <c r="Q108" s="1" t="s">
        <v>1687</v>
      </c>
      <c r="S108" s="2"/>
      <c r="T108" s="9"/>
    </row>
    <row r="109">
      <c r="A109" s="1" t="s">
        <v>968</v>
      </c>
      <c r="B109" s="1" t="s">
        <v>4035</v>
      </c>
      <c r="C109" s="1" t="s">
        <v>1114</v>
      </c>
      <c r="D109" s="1" t="s">
        <v>4261</v>
      </c>
      <c r="E109" s="1" t="s">
        <v>1687</v>
      </c>
      <c r="F109" s="1" t="s">
        <v>1687</v>
      </c>
      <c r="G109" s="1" t="s">
        <v>1687</v>
      </c>
      <c r="H109" s="1">
        <v>33.40900013</v>
      </c>
      <c r="I109" s="1">
        <v>49.25473456</v>
      </c>
      <c r="J109" s="1" t="s">
        <v>1104</v>
      </c>
      <c r="K109" s="1" t="s">
        <v>4260</v>
      </c>
      <c r="L109" s="1" t="e">
        <v>#N/A</v>
      </c>
      <c r="M109" s="1" t="e">
        <v>#N/A</v>
      </c>
      <c r="N109" s="49" t="e">
        <v>#N/A</v>
      </c>
      <c r="O109" s="30" t="s">
        <v>4290</v>
      </c>
      <c r="P109" s="1" t="s">
        <v>968</v>
      </c>
      <c r="Q109" s="1" t="s">
        <v>1687</v>
      </c>
      <c r="S109" s="2"/>
      <c r="T109" s="9"/>
    </row>
    <row r="110">
      <c r="A110" s="1" t="s">
        <v>974</v>
      </c>
      <c r="B110" s="1" t="s">
        <v>4035</v>
      </c>
      <c r="C110" s="1" t="s">
        <v>1114</v>
      </c>
      <c r="D110" s="1" t="s">
        <v>4264</v>
      </c>
      <c r="E110" s="1" t="s">
        <v>119</v>
      </c>
      <c r="F110" s="1" t="s">
        <v>121</v>
      </c>
      <c r="G110" s="1" t="s">
        <v>119</v>
      </c>
      <c r="H110" s="1">
        <v>27.29618707</v>
      </c>
      <c r="I110" s="1">
        <v>53.29320787</v>
      </c>
      <c r="J110" s="1" t="s">
        <v>1104</v>
      </c>
      <c r="K110" s="1" t="s">
        <v>4265</v>
      </c>
      <c r="L110" s="1" t="e">
        <v>#N/A</v>
      </c>
      <c r="M110" s="1" t="e">
        <v>#N/A</v>
      </c>
      <c r="N110" s="49" t="e">
        <v>#N/A</v>
      </c>
      <c r="O110" s="30" t="s">
        <v>4293</v>
      </c>
      <c r="P110" s="1" t="s">
        <v>974</v>
      </c>
      <c r="Q110" s="30">
        <v>0.24</v>
      </c>
      <c r="S110" s="2"/>
      <c r="T110" s="9"/>
    </row>
    <row r="111">
      <c r="A111" s="1" t="s">
        <v>983</v>
      </c>
      <c r="B111" s="1" t="s">
        <v>4035</v>
      </c>
      <c r="C111" s="1" t="s">
        <v>1114</v>
      </c>
      <c r="D111" s="1" t="s">
        <v>4264</v>
      </c>
      <c r="E111" s="1" t="s">
        <v>1687</v>
      </c>
      <c r="F111" s="1" t="s">
        <v>1687</v>
      </c>
      <c r="G111" s="1" t="s">
        <v>1687</v>
      </c>
      <c r="H111" s="1">
        <v>33.40900013</v>
      </c>
      <c r="I111" s="1">
        <v>49.25473456</v>
      </c>
      <c r="J111" s="1" t="s">
        <v>1104</v>
      </c>
      <c r="K111" s="1" t="s">
        <v>4260</v>
      </c>
      <c r="L111" s="1" t="e">
        <v>#N/A</v>
      </c>
      <c r="M111" s="1" t="e">
        <v>#N/A</v>
      </c>
      <c r="N111" s="49" t="e">
        <v>#N/A</v>
      </c>
      <c r="O111" s="30" t="s">
        <v>4295</v>
      </c>
      <c r="P111" s="1" t="s">
        <v>983</v>
      </c>
      <c r="Q111" s="1" t="s">
        <v>1687</v>
      </c>
      <c r="S111" s="2"/>
      <c r="T111" s="9"/>
    </row>
    <row r="112">
      <c r="A112" s="1" t="s">
        <v>989</v>
      </c>
      <c r="B112" s="1" t="s">
        <v>4035</v>
      </c>
      <c r="C112" s="1" t="s">
        <v>1114</v>
      </c>
      <c r="D112" s="1" t="s">
        <v>4228</v>
      </c>
      <c r="E112" s="1" t="s">
        <v>1316</v>
      </c>
      <c r="F112" s="1" t="s">
        <v>1315</v>
      </c>
      <c r="G112" s="1" t="s">
        <v>1316</v>
      </c>
      <c r="H112" s="1">
        <v>33.567028</v>
      </c>
      <c r="I112" s="1">
        <v>48.273917</v>
      </c>
      <c r="J112" s="1" t="s">
        <v>1104</v>
      </c>
      <c r="K112" s="1" t="s">
        <v>4272</v>
      </c>
      <c r="L112" s="1" t="e">
        <v>#N/A</v>
      </c>
      <c r="M112" s="1" t="e">
        <v>#N/A</v>
      </c>
      <c r="N112" s="49" t="e">
        <v>#N/A</v>
      </c>
      <c r="O112" s="30" t="s">
        <v>4297</v>
      </c>
      <c r="P112" s="1" t="s">
        <v>989</v>
      </c>
      <c r="Q112" s="30">
        <v>0.01</v>
      </c>
      <c r="S112" s="2"/>
      <c r="T112" s="9"/>
    </row>
    <row r="113">
      <c r="A113" s="1" t="s">
        <v>998</v>
      </c>
      <c r="B113" s="1" t="s">
        <v>4035</v>
      </c>
      <c r="C113" s="1" t="s">
        <v>1114</v>
      </c>
      <c r="D113" s="1" t="s">
        <v>4273</v>
      </c>
      <c r="E113" s="1" t="s">
        <v>1687</v>
      </c>
      <c r="F113" s="1" t="s">
        <v>1687</v>
      </c>
      <c r="G113" s="1" t="s">
        <v>1687</v>
      </c>
      <c r="H113" s="1">
        <v>33.567028</v>
      </c>
      <c r="I113" s="1">
        <v>48.273917</v>
      </c>
      <c r="J113" s="1" t="s">
        <v>1104</v>
      </c>
      <c r="K113" s="1" t="s">
        <v>4272</v>
      </c>
      <c r="L113" s="1" t="e">
        <v>#N/A</v>
      </c>
      <c r="M113" s="1" t="e">
        <v>#N/A</v>
      </c>
      <c r="N113" s="49" t="e">
        <v>#N/A</v>
      </c>
      <c r="O113" s="30" t="s">
        <v>4298</v>
      </c>
      <c r="P113" s="1" t="s">
        <v>998</v>
      </c>
      <c r="Q113" s="30">
        <v>0.0</v>
      </c>
      <c r="S113" s="2"/>
      <c r="T113" s="9"/>
    </row>
    <row r="114">
      <c r="A114" s="1" t="s">
        <v>1002</v>
      </c>
      <c r="B114" s="1" t="s">
        <v>4035</v>
      </c>
      <c r="C114" s="1" t="s">
        <v>1114</v>
      </c>
      <c r="D114" s="1" t="s">
        <v>4264</v>
      </c>
      <c r="E114" s="1" t="s">
        <v>1687</v>
      </c>
      <c r="F114" s="1" t="s">
        <v>1687</v>
      </c>
      <c r="G114" s="1" t="s">
        <v>1687</v>
      </c>
      <c r="H114" s="1">
        <v>29.93570314</v>
      </c>
      <c r="I114" s="1">
        <v>52.88917097</v>
      </c>
      <c r="J114" s="1" t="s">
        <v>1104</v>
      </c>
      <c r="K114" s="1" t="s">
        <v>4276</v>
      </c>
      <c r="L114" s="1" t="e">
        <v>#N/A</v>
      </c>
      <c r="M114" s="1" t="e">
        <v>#N/A</v>
      </c>
      <c r="N114" s="49" t="e">
        <v>#N/A</v>
      </c>
      <c r="O114" s="30" t="s">
        <v>4300</v>
      </c>
      <c r="P114" s="1" t="s">
        <v>1002</v>
      </c>
      <c r="Q114" s="30">
        <v>0.05</v>
      </c>
      <c r="S114" s="2"/>
      <c r="T114" s="9"/>
    </row>
    <row r="115">
      <c r="A115" s="1" t="s">
        <v>1010</v>
      </c>
      <c r="B115" s="1" t="s">
        <v>4035</v>
      </c>
      <c r="C115" s="1" t="s">
        <v>1114</v>
      </c>
      <c r="D115" s="1" t="s">
        <v>4264</v>
      </c>
      <c r="E115" s="1" t="s">
        <v>1687</v>
      </c>
      <c r="F115" s="1" t="s">
        <v>1687</v>
      </c>
      <c r="G115" s="1" t="s">
        <v>1687</v>
      </c>
      <c r="H115" s="1">
        <v>29.93570314</v>
      </c>
      <c r="I115" s="1">
        <v>52.88917097</v>
      </c>
      <c r="J115" s="1" t="s">
        <v>1104</v>
      </c>
      <c r="K115" s="1" t="s">
        <v>4276</v>
      </c>
      <c r="L115" s="1" t="e">
        <v>#N/A</v>
      </c>
      <c r="M115" s="1" t="e">
        <v>#N/A</v>
      </c>
      <c r="N115" s="49" t="e">
        <v>#N/A</v>
      </c>
      <c r="O115" s="30" t="s">
        <v>4302</v>
      </c>
      <c r="P115" s="1" t="s">
        <v>1010</v>
      </c>
      <c r="Q115" s="1" t="s">
        <v>1687</v>
      </c>
      <c r="S115" s="2"/>
      <c r="T115" s="9"/>
    </row>
    <row r="116">
      <c r="A116" s="1" t="s">
        <v>1017</v>
      </c>
      <c r="B116" s="1" t="s">
        <v>4035</v>
      </c>
      <c r="C116" s="1" t="s">
        <v>1114</v>
      </c>
      <c r="D116" s="1" t="s">
        <v>4278</v>
      </c>
      <c r="E116" s="1" t="s">
        <v>1675</v>
      </c>
      <c r="F116" s="1" t="s">
        <v>1390</v>
      </c>
      <c r="G116" s="1" t="s">
        <v>1675</v>
      </c>
      <c r="H116" s="1">
        <v>33.567028</v>
      </c>
      <c r="I116" s="1">
        <v>48.273917</v>
      </c>
      <c r="J116" s="1" t="s">
        <v>1104</v>
      </c>
      <c r="K116" s="1" t="s">
        <v>4272</v>
      </c>
      <c r="L116" s="1" t="e">
        <v>#N/A</v>
      </c>
      <c r="M116" s="1" t="e">
        <v>#N/A</v>
      </c>
      <c r="N116" s="49" t="e">
        <v>#N/A</v>
      </c>
      <c r="O116" s="30" t="s">
        <v>4303</v>
      </c>
      <c r="P116" s="1" t="s">
        <v>1017</v>
      </c>
      <c r="Q116" s="30">
        <v>0.0</v>
      </c>
      <c r="S116" s="2"/>
      <c r="T116" s="9"/>
    </row>
    <row r="117">
      <c r="A117" s="1" t="s">
        <v>1022</v>
      </c>
      <c r="B117" s="1" t="s">
        <v>4035</v>
      </c>
      <c r="C117" s="1" t="s">
        <v>1114</v>
      </c>
      <c r="D117" s="1" t="s">
        <v>4264</v>
      </c>
      <c r="E117" s="1" t="s">
        <v>1439</v>
      </c>
      <c r="F117" s="1" t="s">
        <v>1438</v>
      </c>
      <c r="G117" s="1" t="s">
        <v>1439</v>
      </c>
      <c r="H117" s="1">
        <v>33.40900013</v>
      </c>
      <c r="I117" s="1">
        <v>49.25473456</v>
      </c>
      <c r="J117" s="1" t="s">
        <v>1104</v>
      </c>
      <c r="K117" s="1" t="s">
        <v>4260</v>
      </c>
      <c r="L117" s="1" t="e">
        <v>#N/A</v>
      </c>
      <c r="M117" s="1" t="e">
        <v>#N/A</v>
      </c>
      <c r="N117" s="49" t="e">
        <v>#N/A</v>
      </c>
      <c r="O117" s="30" t="s">
        <v>4306</v>
      </c>
      <c r="P117" s="1" t="s">
        <v>1022</v>
      </c>
      <c r="Q117" s="51">
        <v>0.08</v>
      </c>
      <c r="S117" s="41"/>
      <c r="T117" s="45"/>
    </row>
    <row r="118">
      <c r="A118" s="1" t="s">
        <v>1026</v>
      </c>
      <c r="B118" s="1" t="s">
        <v>4035</v>
      </c>
      <c r="C118" s="1" t="s">
        <v>1114</v>
      </c>
      <c r="D118" s="1" t="s">
        <v>4264</v>
      </c>
      <c r="E118" s="1" t="s">
        <v>1439</v>
      </c>
      <c r="F118" s="1" t="s">
        <v>1438</v>
      </c>
      <c r="G118" s="1" t="s">
        <v>1439</v>
      </c>
      <c r="H118" s="1">
        <v>33.40900013</v>
      </c>
      <c r="I118" s="1">
        <v>49.25473456</v>
      </c>
      <c r="J118" s="1" t="s">
        <v>1104</v>
      </c>
      <c r="K118" s="1" t="s">
        <v>4260</v>
      </c>
      <c r="L118" s="1" t="e">
        <v>#N/A</v>
      </c>
      <c r="M118" s="1" t="e">
        <v>#N/A</v>
      </c>
      <c r="N118" s="49" t="e">
        <v>#N/A</v>
      </c>
      <c r="O118" s="30" t="s">
        <v>4307</v>
      </c>
      <c r="P118" s="1" t="s">
        <v>1026</v>
      </c>
      <c r="Q118" s="30">
        <v>0.11</v>
      </c>
      <c r="S118" s="2"/>
      <c r="T118" s="9"/>
    </row>
    <row r="119">
      <c r="A119" s="1" t="s">
        <v>1033</v>
      </c>
      <c r="B119" s="1" t="s">
        <v>4035</v>
      </c>
      <c r="C119" s="1" t="s">
        <v>1114</v>
      </c>
      <c r="D119" s="1" t="s">
        <v>4264</v>
      </c>
      <c r="E119" s="1" t="s">
        <v>1439</v>
      </c>
      <c r="F119" s="1" t="s">
        <v>1438</v>
      </c>
      <c r="G119" s="1" t="s">
        <v>1439</v>
      </c>
      <c r="H119" s="1">
        <v>36.692264</v>
      </c>
      <c r="I119" s="1">
        <v>53.538259</v>
      </c>
      <c r="J119" s="1" t="s">
        <v>1104</v>
      </c>
      <c r="K119" s="1" t="s">
        <v>4281</v>
      </c>
      <c r="L119" s="1" t="e">
        <v>#N/A</v>
      </c>
      <c r="M119" s="1" t="e">
        <v>#N/A</v>
      </c>
      <c r="N119" s="49" t="e">
        <v>#N/A</v>
      </c>
      <c r="O119" s="30" t="s">
        <v>4308</v>
      </c>
      <c r="P119" s="1" t="s">
        <v>1033</v>
      </c>
      <c r="Q119" s="30">
        <v>0.0</v>
      </c>
      <c r="S119" s="41"/>
      <c r="T119" s="45"/>
    </row>
    <row r="120">
      <c r="A120" s="1" t="s">
        <v>1037</v>
      </c>
      <c r="B120" s="1" t="s">
        <v>4035</v>
      </c>
      <c r="C120" s="1" t="s">
        <v>1114</v>
      </c>
      <c r="D120" s="1" t="s">
        <v>1955</v>
      </c>
      <c r="E120" s="1" t="s">
        <v>1687</v>
      </c>
      <c r="F120" s="1" t="s">
        <v>1687</v>
      </c>
      <c r="G120" s="1" t="s">
        <v>1687</v>
      </c>
      <c r="H120" s="1">
        <v>27.29618707</v>
      </c>
      <c r="I120" s="1">
        <v>53.29320787</v>
      </c>
      <c r="J120" s="1" t="s">
        <v>1104</v>
      </c>
      <c r="K120" s="1" t="s">
        <v>4265</v>
      </c>
      <c r="L120" s="1" t="e">
        <v>#N/A</v>
      </c>
      <c r="M120" s="1" t="e">
        <v>#N/A</v>
      </c>
      <c r="N120" s="49" t="e">
        <v>#N/A</v>
      </c>
      <c r="O120" s="30" t="s">
        <v>4311</v>
      </c>
      <c r="P120" s="1" t="s">
        <v>1037</v>
      </c>
      <c r="Q120" s="1" t="s">
        <v>1687</v>
      </c>
      <c r="S120" s="2"/>
      <c r="T120" s="9"/>
    </row>
    <row r="121">
      <c r="A121" s="1" t="s">
        <v>1045</v>
      </c>
      <c r="B121" s="1" t="s">
        <v>4035</v>
      </c>
      <c r="C121" s="1" t="s">
        <v>209</v>
      </c>
      <c r="D121" s="1" t="s">
        <v>4283</v>
      </c>
      <c r="E121" s="1" t="s">
        <v>1316</v>
      </c>
      <c r="F121" s="1" t="s">
        <v>1315</v>
      </c>
      <c r="G121" s="1" t="s">
        <v>1316</v>
      </c>
      <c r="H121" s="1">
        <v>32.56107143</v>
      </c>
      <c r="I121" s="1">
        <v>47.32417111</v>
      </c>
      <c r="J121" s="1" t="s">
        <v>1104</v>
      </c>
      <c r="K121" s="1" t="s">
        <v>1886</v>
      </c>
      <c r="L121" s="1">
        <v>9250.0</v>
      </c>
      <c r="M121" s="1">
        <v>9500.0</v>
      </c>
      <c r="N121" s="49">
        <v>9000.0</v>
      </c>
      <c r="O121" s="30">
        <v>88580.0</v>
      </c>
      <c r="P121" s="1" t="s">
        <v>1045</v>
      </c>
      <c r="Q121" s="30">
        <v>0.01</v>
      </c>
      <c r="S121" s="2"/>
      <c r="T121" s="2"/>
    </row>
    <row r="122">
      <c r="A122" s="1" t="s">
        <v>1048</v>
      </c>
      <c r="B122" s="1" t="s">
        <v>4035</v>
      </c>
      <c r="C122" s="1" t="s">
        <v>209</v>
      </c>
      <c r="D122" s="1" t="s">
        <v>4284</v>
      </c>
      <c r="E122" s="1" t="s">
        <v>1687</v>
      </c>
      <c r="F122" s="1" t="s">
        <v>1687</v>
      </c>
      <c r="G122" s="1" t="s">
        <v>1687</v>
      </c>
      <c r="H122" s="1">
        <v>32.56107143</v>
      </c>
      <c r="I122" s="1">
        <v>47.32417111</v>
      </c>
      <c r="J122" s="1" t="s">
        <v>1104</v>
      </c>
      <c r="K122" s="1" t="s">
        <v>1886</v>
      </c>
      <c r="L122" s="1">
        <v>9250.0</v>
      </c>
      <c r="M122" s="1">
        <v>9500.0</v>
      </c>
      <c r="N122" s="49">
        <v>9000.0</v>
      </c>
      <c r="O122" s="30" t="s">
        <v>4316</v>
      </c>
      <c r="P122" s="1" t="s">
        <v>1048</v>
      </c>
      <c r="Q122" s="1" t="s">
        <v>1687</v>
      </c>
      <c r="S122" s="2"/>
      <c r="T122" s="9"/>
    </row>
    <row r="123">
      <c r="A123" s="1" t="s">
        <v>1052</v>
      </c>
      <c r="B123" s="1" t="s">
        <v>4035</v>
      </c>
      <c r="C123" s="1" t="s">
        <v>209</v>
      </c>
      <c r="D123" s="1" t="s">
        <v>1881</v>
      </c>
      <c r="E123" s="1" t="s">
        <v>1687</v>
      </c>
      <c r="F123" s="1" t="s">
        <v>1687</v>
      </c>
      <c r="G123" s="1" t="s">
        <v>1687</v>
      </c>
      <c r="H123" s="1">
        <v>32.56107143</v>
      </c>
      <c r="I123" s="1">
        <v>47.32417111</v>
      </c>
      <c r="J123" s="1" t="s">
        <v>1104</v>
      </c>
      <c r="K123" s="1" t="s">
        <v>1886</v>
      </c>
      <c r="L123" s="1">
        <v>9250.0</v>
      </c>
      <c r="M123" s="1">
        <v>9500.0</v>
      </c>
      <c r="N123" s="49">
        <v>9000.0</v>
      </c>
      <c r="O123" s="30" t="s">
        <v>4319</v>
      </c>
      <c r="P123" s="1" t="s">
        <v>4320</v>
      </c>
      <c r="Q123" s="1" t="s">
        <v>1687</v>
      </c>
      <c r="S123" s="2"/>
      <c r="T123" s="9"/>
    </row>
    <row r="124">
      <c r="A124" s="1" t="s">
        <v>1055</v>
      </c>
      <c r="B124" s="1" t="s">
        <v>4035</v>
      </c>
      <c r="C124" s="1" t="s">
        <v>209</v>
      </c>
      <c r="D124" s="1" t="s">
        <v>4289</v>
      </c>
      <c r="E124" s="1" t="s">
        <v>1316</v>
      </c>
      <c r="F124" s="1" t="s">
        <v>1315</v>
      </c>
      <c r="G124" s="1" t="s">
        <v>1316</v>
      </c>
      <c r="H124" s="1">
        <v>34.2721</v>
      </c>
      <c r="I124" s="1">
        <v>47.4758</v>
      </c>
      <c r="J124" s="1" t="s">
        <v>1104</v>
      </c>
      <c r="K124" s="1" t="s">
        <v>1281</v>
      </c>
      <c r="L124" s="1" t="e">
        <v>#N/A</v>
      </c>
      <c r="M124" s="1" t="e">
        <v>#N/A</v>
      </c>
      <c r="N124" s="49" t="e">
        <v>#N/A</v>
      </c>
      <c r="O124" s="30">
        <v>1383.0</v>
      </c>
      <c r="P124" s="1" t="s">
        <v>1055</v>
      </c>
      <c r="Q124" s="30">
        <v>0.01</v>
      </c>
      <c r="S124" s="2"/>
      <c r="T124" s="9"/>
    </row>
    <row r="125">
      <c r="A125" s="1" t="s">
        <v>1060</v>
      </c>
      <c r="B125" s="1" t="s">
        <v>4035</v>
      </c>
      <c r="C125" s="1" t="s">
        <v>209</v>
      </c>
      <c r="D125" s="1" t="s">
        <v>4289</v>
      </c>
      <c r="E125" s="1" t="s">
        <v>1687</v>
      </c>
      <c r="F125" s="1" t="s">
        <v>1687</v>
      </c>
      <c r="G125" s="1" t="s">
        <v>1687</v>
      </c>
      <c r="H125" s="1">
        <v>34.2721</v>
      </c>
      <c r="I125" s="1">
        <v>47.4758</v>
      </c>
      <c r="J125" s="1" t="s">
        <v>1104</v>
      </c>
      <c r="K125" s="1" t="s">
        <v>1281</v>
      </c>
      <c r="L125" s="1" t="e">
        <v>#N/A</v>
      </c>
      <c r="M125" s="1" t="e">
        <v>#N/A</v>
      </c>
      <c r="N125" s="49" t="e">
        <v>#N/A</v>
      </c>
      <c r="O125" s="30">
        <v>1150.0</v>
      </c>
      <c r="P125" s="1" t="s">
        <v>1060</v>
      </c>
      <c r="Q125" s="1" t="s">
        <v>1687</v>
      </c>
      <c r="S125" s="2"/>
      <c r="T125" s="9"/>
    </row>
    <row r="126">
      <c r="A126" s="1" t="s">
        <v>1065</v>
      </c>
      <c r="B126" s="1" t="s">
        <v>4035</v>
      </c>
      <c r="C126" s="1" t="s">
        <v>209</v>
      </c>
      <c r="D126" s="1" t="s">
        <v>4294</v>
      </c>
      <c r="E126" s="1" t="s">
        <v>1687</v>
      </c>
      <c r="F126" s="1" t="s">
        <v>1687</v>
      </c>
      <c r="G126" s="1" t="s">
        <v>1687</v>
      </c>
      <c r="H126" s="1">
        <v>34.2721</v>
      </c>
      <c r="I126" s="1">
        <v>47.4758</v>
      </c>
      <c r="J126" s="1" t="s">
        <v>1104</v>
      </c>
      <c r="K126" s="1" t="s">
        <v>1281</v>
      </c>
      <c r="L126" s="1" t="e">
        <v>#N/A</v>
      </c>
      <c r="M126" s="1" t="e">
        <v>#N/A</v>
      </c>
      <c r="N126" s="49" t="e">
        <v>#N/A</v>
      </c>
      <c r="O126" s="30">
        <v>1151.0</v>
      </c>
      <c r="P126" s="1" t="s">
        <v>1065</v>
      </c>
      <c r="Q126" s="1" t="s">
        <v>1687</v>
      </c>
      <c r="S126" s="2"/>
      <c r="T126" s="9"/>
    </row>
    <row r="127">
      <c r="A127" s="1" t="s">
        <v>1068</v>
      </c>
      <c r="B127" s="1" t="s">
        <v>4035</v>
      </c>
      <c r="C127" s="1" t="s">
        <v>209</v>
      </c>
      <c r="D127" s="1" t="s">
        <v>4296</v>
      </c>
      <c r="E127" s="1" t="s">
        <v>1439</v>
      </c>
      <c r="F127" s="1" t="s">
        <v>1438</v>
      </c>
      <c r="G127" s="1" t="s">
        <v>1439</v>
      </c>
      <c r="H127" s="1">
        <v>34.2721</v>
      </c>
      <c r="I127" s="1">
        <v>47.4758</v>
      </c>
      <c r="J127" s="1" t="s">
        <v>1104</v>
      </c>
      <c r="K127" s="1" t="s">
        <v>1281</v>
      </c>
      <c r="L127" s="1" t="e">
        <v>#N/A</v>
      </c>
      <c r="M127" s="1" t="e">
        <v>#N/A</v>
      </c>
      <c r="N127" s="49" t="e">
        <v>#N/A</v>
      </c>
      <c r="O127" s="30">
        <v>1123.0</v>
      </c>
      <c r="P127" s="1" t="s">
        <v>1068</v>
      </c>
      <c r="Q127" s="30">
        <v>2.15</v>
      </c>
      <c r="S127" s="2"/>
      <c r="T127" s="2"/>
    </row>
    <row r="128">
      <c r="A128" s="1" t="s">
        <v>1073</v>
      </c>
      <c r="B128" s="1" t="s">
        <v>4035</v>
      </c>
      <c r="C128" s="1" t="s">
        <v>209</v>
      </c>
      <c r="D128" s="1" t="s">
        <v>4283</v>
      </c>
      <c r="E128" s="1" t="s">
        <v>1439</v>
      </c>
      <c r="F128" s="1" t="s">
        <v>1438</v>
      </c>
      <c r="G128" s="1" t="s">
        <v>1439</v>
      </c>
      <c r="H128" s="1">
        <v>34.2721</v>
      </c>
      <c r="I128" s="1">
        <v>47.4758</v>
      </c>
      <c r="J128" s="1" t="s">
        <v>1104</v>
      </c>
      <c r="K128" s="1" t="s">
        <v>1281</v>
      </c>
      <c r="L128" s="1" t="e">
        <v>#N/A</v>
      </c>
      <c r="M128" s="1" t="e">
        <v>#N/A</v>
      </c>
      <c r="N128" s="49" t="e">
        <v>#N/A</v>
      </c>
      <c r="O128" s="30">
        <v>335.0</v>
      </c>
      <c r="P128" s="1" t="s">
        <v>1073</v>
      </c>
      <c r="Q128" s="30">
        <v>0.24</v>
      </c>
      <c r="S128" s="2"/>
      <c r="T128" s="2"/>
    </row>
    <row r="129">
      <c r="A129" s="1" t="s">
        <v>1077</v>
      </c>
      <c r="B129" s="1" t="s">
        <v>4035</v>
      </c>
      <c r="C129" s="1" t="s">
        <v>209</v>
      </c>
      <c r="D129" s="1" t="s">
        <v>4289</v>
      </c>
      <c r="E129" s="1" t="s">
        <v>1687</v>
      </c>
      <c r="F129" s="1" t="s">
        <v>1687</v>
      </c>
      <c r="G129" s="1" t="s">
        <v>1687</v>
      </c>
      <c r="H129" s="1">
        <v>34.2721</v>
      </c>
      <c r="I129" s="1">
        <v>47.4758</v>
      </c>
      <c r="J129" s="1" t="s">
        <v>1104</v>
      </c>
      <c r="K129" s="1" t="s">
        <v>1281</v>
      </c>
      <c r="L129" s="1" t="e">
        <v>#N/A</v>
      </c>
      <c r="M129" s="1" t="e">
        <v>#N/A</v>
      </c>
      <c r="N129" s="49" t="e">
        <v>#N/A</v>
      </c>
      <c r="O129" s="30">
        <v>154.0</v>
      </c>
      <c r="P129" s="1" t="s">
        <v>1077</v>
      </c>
      <c r="Q129" s="1" t="s">
        <v>1687</v>
      </c>
      <c r="S129" s="2"/>
      <c r="T129" s="9"/>
    </row>
    <row r="130">
      <c r="A130" s="1" t="s">
        <v>1080</v>
      </c>
      <c r="B130" s="1" t="s">
        <v>4035</v>
      </c>
      <c r="C130" s="1" t="s">
        <v>209</v>
      </c>
      <c r="D130" s="1" t="s">
        <v>4299</v>
      </c>
      <c r="E130" s="1" t="s">
        <v>1687</v>
      </c>
      <c r="F130" s="1" t="s">
        <v>1687</v>
      </c>
      <c r="G130" s="1" t="s">
        <v>1687</v>
      </c>
      <c r="H130" s="1">
        <v>34.2721</v>
      </c>
      <c r="I130" s="1">
        <v>47.4758</v>
      </c>
      <c r="J130" s="1" t="s">
        <v>1104</v>
      </c>
      <c r="K130" s="1" t="s">
        <v>1281</v>
      </c>
      <c r="L130" s="1" t="e">
        <v>#N/A</v>
      </c>
      <c r="M130" s="1" t="e">
        <v>#N/A</v>
      </c>
      <c r="N130" s="49" t="e">
        <v>#N/A</v>
      </c>
      <c r="O130" s="30">
        <v>244.0</v>
      </c>
      <c r="P130" s="1" t="s">
        <v>1080</v>
      </c>
      <c r="Q130" s="1" t="s">
        <v>1687</v>
      </c>
      <c r="S130" s="2"/>
      <c r="T130" s="9"/>
    </row>
    <row r="131">
      <c r="A131" s="1" t="s">
        <v>1083</v>
      </c>
      <c r="B131" s="1" t="s">
        <v>4035</v>
      </c>
      <c r="C131" s="1" t="s">
        <v>209</v>
      </c>
      <c r="D131" s="1" t="s">
        <v>4283</v>
      </c>
      <c r="E131" s="1" t="s">
        <v>1687</v>
      </c>
      <c r="F131" s="1" t="s">
        <v>1687</v>
      </c>
      <c r="G131" s="1" t="s">
        <v>1687</v>
      </c>
      <c r="H131" s="1">
        <v>34.2721</v>
      </c>
      <c r="I131" s="1">
        <v>47.4758</v>
      </c>
      <c r="J131" s="1" t="s">
        <v>1104</v>
      </c>
      <c r="K131" s="1" t="s">
        <v>1281</v>
      </c>
      <c r="L131" s="1" t="e">
        <v>#N/A</v>
      </c>
      <c r="M131" s="1" t="e">
        <v>#N/A</v>
      </c>
      <c r="N131" s="49" t="e">
        <v>#N/A</v>
      </c>
      <c r="O131" s="30">
        <v>1149.0</v>
      </c>
      <c r="P131" s="1" t="s">
        <v>1083</v>
      </c>
      <c r="Q131" s="1" t="s">
        <v>1687</v>
      </c>
      <c r="S131" s="2"/>
      <c r="T131" s="9"/>
    </row>
    <row r="132">
      <c r="A132" s="1" t="s">
        <v>1087</v>
      </c>
      <c r="B132" s="1" t="s">
        <v>4035</v>
      </c>
      <c r="C132" s="1" t="s">
        <v>209</v>
      </c>
      <c r="D132" s="1" t="s">
        <v>4283</v>
      </c>
      <c r="E132" s="1" t="s">
        <v>1687</v>
      </c>
      <c r="F132" s="1" t="s">
        <v>1687</v>
      </c>
      <c r="G132" s="1" t="s">
        <v>1687</v>
      </c>
      <c r="H132" s="1">
        <v>34.2721</v>
      </c>
      <c r="I132" s="1">
        <v>47.4758</v>
      </c>
      <c r="J132" s="1" t="s">
        <v>1104</v>
      </c>
      <c r="K132" s="1" t="s">
        <v>1281</v>
      </c>
      <c r="L132" s="1" t="e">
        <v>#N/A</v>
      </c>
      <c r="M132" s="1" t="e">
        <v>#N/A</v>
      </c>
      <c r="N132" s="49" t="e">
        <v>#N/A</v>
      </c>
      <c r="O132" s="30">
        <v>437.0</v>
      </c>
      <c r="P132" s="1" t="s">
        <v>1087</v>
      </c>
      <c r="Q132" s="1" t="s">
        <v>1687</v>
      </c>
      <c r="S132" s="2"/>
      <c r="T132" s="9"/>
    </row>
    <row r="133">
      <c r="A133" s="1" t="s">
        <v>1097</v>
      </c>
      <c r="B133" s="1" t="s">
        <v>4035</v>
      </c>
      <c r="C133" s="1" t="s">
        <v>209</v>
      </c>
      <c r="D133" s="1" t="s">
        <v>4305</v>
      </c>
      <c r="E133" s="1" t="s">
        <v>1687</v>
      </c>
      <c r="F133" s="1" t="s">
        <v>1687</v>
      </c>
      <c r="G133" s="1" t="s">
        <v>1687</v>
      </c>
      <c r="H133" s="1">
        <v>34.2721</v>
      </c>
      <c r="I133" s="1">
        <v>47.4758</v>
      </c>
      <c r="J133" s="1" t="s">
        <v>1104</v>
      </c>
      <c r="K133" s="1" t="s">
        <v>1281</v>
      </c>
      <c r="L133" s="1" t="e">
        <v>#N/A</v>
      </c>
      <c r="M133" s="1" t="e">
        <v>#N/A</v>
      </c>
      <c r="N133" s="49" t="e">
        <v>#N/A</v>
      </c>
      <c r="O133" s="30">
        <v>749.0</v>
      </c>
      <c r="P133" s="1" t="s">
        <v>1097</v>
      </c>
      <c r="Q133" s="1" t="s">
        <v>1687</v>
      </c>
      <c r="S133" s="2"/>
      <c r="T133" s="9"/>
    </row>
    <row r="134">
      <c r="A134" s="1" t="s">
        <v>1101</v>
      </c>
      <c r="B134" s="1" t="s">
        <v>4035</v>
      </c>
      <c r="C134" s="1" t="s">
        <v>209</v>
      </c>
      <c r="D134" s="1" t="s">
        <v>4283</v>
      </c>
      <c r="E134" s="1" t="s">
        <v>1439</v>
      </c>
      <c r="F134" s="1" t="s">
        <v>1438</v>
      </c>
      <c r="G134" s="1" t="s">
        <v>1439</v>
      </c>
      <c r="H134" s="1">
        <v>34.2721</v>
      </c>
      <c r="I134" s="1">
        <v>47.4758</v>
      </c>
      <c r="J134" s="1" t="s">
        <v>1104</v>
      </c>
      <c r="K134" s="1" t="s">
        <v>1281</v>
      </c>
      <c r="L134" s="1" t="e">
        <v>#N/A</v>
      </c>
      <c r="M134" s="1" t="e">
        <v>#N/A</v>
      </c>
      <c r="N134" s="49" t="e">
        <v>#N/A</v>
      </c>
      <c r="O134" s="30">
        <v>113.0</v>
      </c>
      <c r="P134" s="1" t="s">
        <v>1101</v>
      </c>
      <c r="Q134" s="30">
        <v>0.62</v>
      </c>
      <c r="S134" s="2"/>
      <c r="T134" s="2"/>
    </row>
    <row r="135">
      <c r="A135" s="1" t="s">
        <v>1105</v>
      </c>
      <c r="B135" s="1" t="s">
        <v>4035</v>
      </c>
      <c r="C135" s="1" t="s">
        <v>209</v>
      </c>
      <c r="D135" s="1" t="s">
        <v>4299</v>
      </c>
      <c r="E135" s="1" t="s">
        <v>1687</v>
      </c>
      <c r="F135" s="1" t="s">
        <v>1687</v>
      </c>
      <c r="G135" s="1" t="s">
        <v>1687</v>
      </c>
      <c r="H135" s="1">
        <v>34.2721</v>
      </c>
      <c r="I135" s="1">
        <v>47.4758</v>
      </c>
      <c r="J135" s="1" t="s">
        <v>1104</v>
      </c>
      <c r="K135" s="1" t="s">
        <v>1281</v>
      </c>
      <c r="L135" s="1" t="e">
        <v>#N/A</v>
      </c>
      <c r="M135" s="1" t="e">
        <v>#N/A</v>
      </c>
      <c r="N135" s="49" t="e">
        <v>#N/A</v>
      </c>
      <c r="O135" s="30">
        <v>909.0</v>
      </c>
      <c r="P135" s="1" t="s">
        <v>1105</v>
      </c>
      <c r="Q135" s="1" t="s">
        <v>1687</v>
      </c>
      <c r="S135" s="2"/>
      <c r="T135" s="9"/>
    </row>
    <row r="136">
      <c r="A136" s="1" t="s">
        <v>1108</v>
      </c>
      <c r="B136" s="1" t="s">
        <v>4035</v>
      </c>
      <c r="C136" s="1" t="s">
        <v>209</v>
      </c>
      <c r="D136" s="1" t="s">
        <v>4305</v>
      </c>
      <c r="E136" s="1" t="s">
        <v>1687</v>
      </c>
      <c r="F136" s="1" t="s">
        <v>1687</v>
      </c>
      <c r="G136" s="1" t="s">
        <v>1687</v>
      </c>
      <c r="H136" s="1">
        <v>34.2721</v>
      </c>
      <c r="I136" s="1">
        <v>47.4758</v>
      </c>
      <c r="J136" s="1" t="s">
        <v>1104</v>
      </c>
      <c r="K136" s="1" t="s">
        <v>1281</v>
      </c>
      <c r="L136" s="1" t="e">
        <v>#N/A</v>
      </c>
      <c r="M136" s="1" t="e">
        <v>#N/A</v>
      </c>
      <c r="N136" s="49" t="e">
        <v>#N/A</v>
      </c>
      <c r="O136" s="30">
        <v>989.0</v>
      </c>
      <c r="P136" s="1" t="s">
        <v>1108</v>
      </c>
      <c r="Q136" s="1" t="s">
        <v>1687</v>
      </c>
      <c r="S136" s="2"/>
      <c r="T136" s="9"/>
    </row>
    <row r="137">
      <c r="A137" s="1" t="s">
        <v>1112</v>
      </c>
      <c r="B137" s="1" t="s">
        <v>4035</v>
      </c>
      <c r="C137" s="1" t="s">
        <v>195</v>
      </c>
      <c r="D137" s="1" t="s">
        <v>4312</v>
      </c>
      <c r="E137" s="1" t="s">
        <v>1439</v>
      </c>
      <c r="F137" s="1" t="s">
        <v>1438</v>
      </c>
      <c r="G137" s="1" t="s">
        <v>1439</v>
      </c>
      <c r="H137" s="1">
        <v>36.831593</v>
      </c>
      <c r="I137" s="1">
        <v>44.221083</v>
      </c>
      <c r="J137" s="1" t="s">
        <v>3694</v>
      </c>
      <c r="K137" s="1" t="s">
        <v>4313</v>
      </c>
      <c r="L137" s="1" t="e">
        <v>#N/A</v>
      </c>
      <c r="M137" s="1" t="e">
        <v>#N/A</v>
      </c>
      <c r="N137" s="49" t="e">
        <v>#N/A</v>
      </c>
      <c r="O137" s="30" t="s">
        <v>4336</v>
      </c>
      <c r="P137" s="1" t="s">
        <v>1112</v>
      </c>
      <c r="Q137" s="30">
        <v>0.66</v>
      </c>
      <c r="S137" s="2"/>
      <c r="T137" s="2"/>
    </row>
    <row r="138">
      <c r="A138" s="1" t="s">
        <v>1121</v>
      </c>
      <c r="B138" s="1" t="s">
        <v>4035</v>
      </c>
      <c r="C138" s="1" t="s">
        <v>195</v>
      </c>
      <c r="D138" s="1" t="s">
        <v>4312</v>
      </c>
      <c r="E138" s="1" t="s">
        <v>1439</v>
      </c>
      <c r="F138" s="1" t="s">
        <v>1438</v>
      </c>
      <c r="G138" s="1" t="s">
        <v>1439</v>
      </c>
      <c r="H138" s="1">
        <v>36.831593</v>
      </c>
      <c r="I138" s="1">
        <v>44.221083</v>
      </c>
      <c r="J138" s="1" t="s">
        <v>3694</v>
      </c>
      <c r="K138" s="1" t="s">
        <v>4313</v>
      </c>
      <c r="L138" s="1" t="e">
        <v>#N/A</v>
      </c>
      <c r="M138" s="1" t="e">
        <v>#N/A</v>
      </c>
      <c r="N138" s="49" t="e">
        <v>#N/A</v>
      </c>
      <c r="O138" s="30" t="s">
        <v>4338</v>
      </c>
      <c r="P138" s="1" t="s">
        <v>1121</v>
      </c>
      <c r="Q138" s="30">
        <v>0.48</v>
      </c>
      <c r="S138" s="2"/>
      <c r="T138" s="2"/>
    </row>
    <row r="139">
      <c r="A139" s="1" t="s">
        <v>1129</v>
      </c>
      <c r="B139" s="1" t="s">
        <v>4035</v>
      </c>
      <c r="C139" s="1" t="s">
        <v>1114</v>
      </c>
      <c r="D139" s="1" t="s">
        <v>1955</v>
      </c>
      <c r="E139" s="1" t="s">
        <v>1687</v>
      </c>
      <c r="F139" s="1" t="s">
        <v>1687</v>
      </c>
      <c r="G139" s="1" t="s">
        <v>1687</v>
      </c>
      <c r="H139" s="1">
        <v>32.56107143</v>
      </c>
      <c r="I139" s="1">
        <v>47.32417111</v>
      </c>
      <c r="J139" s="1" t="s">
        <v>1104</v>
      </c>
      <c r="K139" s="1" t="s">
        <v>1886</v>
      </c>
      <c r="L139" s="1" t="e">
        <v>#N/A</v>
      </c>
      <c r="M139" s="1" t="e">
        <v>#N/A</v>
      </c>
      <c r="N139" s="49" t="e">
        <v>#N/A</v>
      </c>
      <c r="O139" s="30" t="s">
        <v>4339</v>
      </c>
      <c r="P139" s="1" t="s">
        <v>1129</v>
      </c>
      <c r="Q139" s="1" t="s">
        <v>1687</v>
      </c>
      <c r="S139" s="2"/>
      <c r="T139" s="9"/>
    </row>
    <row r="140">
      <c r="A140" s="1" t="s">
        <v>1132</v>
      </c>
      <c r="B140" s="1" t="s">
        <v>4035</v>
      </c>
      <c r="C140" s="1" t="s">
        <v>1114</v>
      </c>
      <c r="D140" s="1" t="s">
        <v>4318</v>
      </c>
      <c r="E140" s="1" t="s">
        <v>1687</v>
      </c>
      <c r="F140" s="1" t="s">
        <v>1687</v>
      </c>
      <c r="G140" s="1" t="s">
        <v>1687</v>
      </c>
      <c r="H140" s="1">
        <v>34.2721</v>
      </c>
      <c r="I140" s="1">
        <v>47.4758</v>
      </c>
      <c r="J140" s="1" t="s">
        <v>1104</v>
      </c>
      <c r="K140" s="1" t="s">
        <v>1281</v>
      </c>
      <c r="L140" s="1" t="e">
        <v>#N/A</v>
      </c>
      <c r="M140" s="1" t="e">
        <v>#N/A</v>
      </c>
      <c r="N140" s="49" t="e">
        <v>#N/A</v>
      </c>
      <c r="O140" s="30">
        <v>209.0</v>
      </c>
      <c r="P140" s="1" t="s">
        <v>1132</v>
      </c>
      <c r="Q140" s="1" t="s">
        <v>1687</v>
      </c>
      <c r="S140" s="2"/>
      <c r="T140" s="9"/>
    </row>
    <row r="141">
      <c r="A141" s="1" t="s">
        <v>1140</v>
      </c>
      <c r="B141" s="1" t="s">
        <v>4035</v>
      </c>
      <c r="C141" s="1" t="s">
        <v>1114</v>
      </c>
      <c r="D141" s="1" t="s">
        <v>4321</v>
      </c>
      <c r="E141" s="1" t="s">
        <v>1687</v>
      </c>
      <c r="F141" s="1" t="s">
        <v>1687</v>
      </c>
      <c r="G141" s="1" t="s">
        <v>1687</v>
      </c>
      <c r="H141" s="1">
        <v>34.2721</v>
      </c>
      <c r="I141" s="1">
        <v>47.4758</v>
      </c>
      <c r="J141" s="1" t="s">
        <v>1104</v>
      </c>
      <c r="K141" s="1" t="s">
        <v>1281</v>
      </c>
      <c r="L141" s="1" t="e">
        <v>#N/A</v>
      </c>
      <c r="M141" s="1" t="e">
        <v>#N/A</v>
      </c>
      <c r="N141" s="49" t="e">
        <v>#N/A</v>
      </c>
      <c r="O141" s="30">
        <v>1511.0</v>
      </c>
      <c r="P141" s="1" t="s">
        <v>1140</v>
      </c>
      <c r="Q141" s="1" t="s">
        <v>1687</v>
      </c>
      <c r="S141" s="2"/>
      <c r="T141" s="9"/>
    </row>
    <row r="142">
      <c r="A142" s="1" t="s">
        <v>1143</v>
      </c>
      <c r="B142" s="1" t="s">
        <v>4035</v>
      </c>
      <c r="C142" s="1" t="s">
        <v>1114</v>
      </c>
      <c r="D142" s="1" t="s">
        <v>4323</v>
      </c>
      <c r="E142" s="1" t="s">
        <v>1439</v>
      </c>
      <c r="F142" s="1" t="s">
        <v>1438</v>
      </c>
      <c r="G142" s="1" t="s">
        <v>1439</v>
      </c>
      <c r="H142" s="1">
        <v>34.2721</v>
      </c>
      <c r="I142" s="1">
        <v>47.4758</v>
      </c>
      <c r="J142" s="1" t="s">
        <v>1104</v>
      </c>
      <c r="K142" s="1" t="s">
        <v>1281</v>
      </c>
      <c r="L142" s="1" t="e">
        <v>#N/A</v>
      </c>
      <c r="M142" s="1" t="e">
        <v>#N/A</v>
      </c>
      <c r="N142" s="49" t="e">
        <v>#N/A</v>
      </c>
      <c r="O142" s="30">
        <v>1170.0</v>
      </c>
      <c r="P142" s="1" t="s">
        <v>1143</v>
      </c>
      <c r="Q142" s="30">
        <v>0.13</v>
      </c>
      <c r="S142" s="2"/>
      <c r="T142" s="9"/>
    </row>
    <row r="143">
      <c r="A143" s="1" t="s">
        <v>1150</v>
      </c>
      <c r="B143" s="1" t="s">
        <v>4035</v>
      </c>
      <c r="C143" s="1" t="s">
        <v>1114</v>
      </c>
      <c r="D143" s="1" t="s">
        <v>4324</v>
      </c>
      <c r="E143" s="1" t="s">
        <v>1687</v>
      </c>
      <c r="F143" s="1" t="s">
        <v>1687</v>
      </c>
      <c r="G143" s="1" t="s">
        <v>1687</v>
      </c>
      <c r="H143" s="1">
        <v>34.2721</v>
      </c>
      <c r="I143" s="1">
        <v>47.4758</v>
      </c>
      <c r="J143" s="1" t="s">
        <v>1104</v>
      </c>
      <c r="K143" s="1" t="s">
        <v>1281</v>
      </c>
      <c r="L143" s="1" t="e">
        <v>#N/A</v>
      </c>
      <c r="M143" s="1" t="e">
        <v>#N/A</v>
      </c>
      <c r="N143" s="49" t="e">
        <v>#N/A</v>
      </c>
      <c r="O143" s="30">
        <v>1500.0</v>
      </c>
      <c r="P143" s="1" t="s">
        <v>1150</v>
      </c>
      <c r="Q143" s="1" t="s">
        <v>1687</v>
      </c>
      <c r="S143" s="2"/>
      <c r="T143" s="9"/>
    </row>
    <row r="144">
      <c r="A144" s="1" t="s">
        <v>1157</v>
      </c>
      <c r="B144" s="1" t="s">
        <v>4035</v>
      </c>
      <c r="C144" s="1" t="s">
        <v>1114</v>
      </c>
      <c r="D144" s="1" t="s">
        <v>4324</v>
      </c>
      <c r="E144" s="1" t="s">
        <v>1439</v>
      </c>
      <c r="F144" s="1" t="s">
        <v>1438</v>
      </c>
      <c r="G144" s="1" t="s">
        <v>1439</v>
      </c>
      <c r="H144" s="1">
        <v>34.2721</v>
      </c>
      <c r="I144" s="1">
        <v>47.4758</v>
      </c>
      <c r="J144" s="1" t="s">
        <v>1104</v>
      </c>
      <c r="K144" s="1" t="s">
        <v>1281</v>
      </c>
      <c r="L144" s="1" t="e">
        <v>#N/A</v>
      </c>
      <c r="M144" s="1" t="e">
        <v>#N/A</v>
      </c>
      <c r="N144" s="49" t="e">
        <v>#N/A</v>
      </c>
      <c r="O144" s="30">
        <v>1277.0</v>
      </c>
      <c r="P144" s="1" t="s">
        <v>1157</v>
      </c>
      <c r="Q144" s="30">
        <v>0.77</v>
      </c>
      <c r="S144" s="2"/>
      <c r="T144" s="9"/>
    </row>
    <row r="145">
      <c r="A145" s="1" t="s">
        <v>1163</v>
      </c>
      <c r="B145" s="1" t="s">
        <v>4035</v>
      </c>
      <c r="C145" s="1" t="s">
        <v>1114</v>
      </c>
      <c r="D145" s="1" t="s">
        <v>4324</v>
      </c>
      <c r="E145" s="1" t="s">
        <v>1439</v>
      </c>
      <c r="F145" s="1" t="s">
        <v>1438</v>
      </c>
      <c r="G145" s="1" t="s">
        <v>1439</v>
      </c>
      <c r="H145" s="1">
        <v>34.2721</v>
      </c>
      <c r="I145" s="1">
        <v>47.4758</v>
      </c>
      <c r="J145" s="1" t="s">
        <v>1104</v>
      </c>
      <c r="K145" s="1" t="s">
        <v>1281</v>
      </c>
      <c r="L145" s="1" t="e">
        <v>#N/A</v>
      </c>
      <c r="M145" s="1" t="e">
        <v>#N/A</v>
      </c>
      <c r="N145" s="49" t="e">
        <v>#N/A</v>
      </c>
      <c r="O145" s="30">
        <v>1409.0</v>
      </c>
      <c r="P145" s="1" t="s">
        <v>1163</v>
      </c>
      <c r="Q145" s="30">
        <v>0.49</v>
      </c>
      <c r="S145" s="41"/>
      <c r="T145" s="45"/>
    </row>
    <row r="146">
      <c r="A146" s="1" t="s">
        <v>1169</v>
      </c>
      <c r="B146" s="1" t="s">
        <v>4035</v>
      </c>
      <c r="C146" s="1" t="s">
        <v>1114</v>
      </c>
      <c r="D146" s="1" t="s">
        <v>4325</v>
      </c>
      <c r="E146" s="1" t="s">
        <v>1439</v>
      </c>
      <c r="F146" s="1" t="s">
        <v>1438</v>
      </c>
      <c r="G146" s="1" t="s">
        <v>1439</v>
      </c>
      <c r="H146" s="1">
        <v>34.2721</v>
      </c>
      <c r="I146" s="1">
        <v>47.4758</v>
      </c>
      <c r="J146" s="1" t="s">
        <v>1104</v>
      </c>
      <c r="K146" s="1" t="s">
        <v>1281</v>
      </c>
      <c r="L146" s="1" t="e">
        <v>#N/A</v>
      </c>
      <c r="M146" s="1" t="e">
        <v>#N/A</v>
      </c>
      <c r="N146" s="49" t="e">
        <v>#N/A</v>
      </c>
      <c r="O146" s="30" t="s">
        <v>4342</v>
      </c>
      <c r="P146" s="1" t="s">
        <v>1169</v>
      </c>
      <c r="Q146" s="30">
        <v>0.12</v>
      </c>
      <c r="S146" s="2"/>
      <c r="T146" s="9"/>
    </row>
    <row r="147">
      <c r="A147" s="1" t="s">
        <v>1172</v>
      </c>
      <c r="B147" s="1" t="s">
        <v>4035</v>
      </c>
      <c r="C147" s="1" t="s">
        <v>209</v>
      </c>
      <c r="D147" s="1" t="s">
        <v>4327</v>
      </c>
      <c r="E147" s="1" t="s">
        <v>1687</v>
      </c>
      <c r="F147" s="1" t="s">
        <v>1687</v>
      </c>
      <c r="G147" s="1" t="s">
        <v>1687</v>
      </c>
      <c r="H147" s="1">
        <v>34.2721</v>
      </c>
      <c r="I147" s="1">
        <v>47.4758</v>
      </c>
      <c r="J147" s="1" t="s">
        <v>1104</v>
      </c>
      <c r="K147" s="1" t="s">
        <v>1281</v>
      </c>
      <c r="L147" s="1" t="e">
        <v>#N/A</v>
      </c>
      <c r="M147" s="1" t="e">
        <v>#N/A</v>
      </c>
      <c r="N147" s="49" t="e">
        <v>#N/A</v>
      </c>
      <c r="O147" s="30">
        <v>851.0</v>
      </c>
      <c r="P147" s="1" t="s">
        <v>1172</v>
      </c>
      <c r="Q147" s="1" t="s">
        <v>1687</v>
      </c>
      <c r="S147" s="2"/>
      <c r="T147" s="9"/>
    </row>
    <row r="148">
      <c r="A148" s="1" t="s">
        <v>1179</v>
      </c>
      <c r="B148" s="1" t="s">
        <v>4035</v>
      </c>
      <c r="C148" s="1" t="s">
        <v>209</v>
      </c>
      <c r="D148" s="1" t="s">
        <v>1653</v>
      </c>
      <c r="E148" s="1" t="s">
        <v>1687</v>
      </c>
      <c r="F148" s="1" t="s">
        <v>1687</v>
      </c>
      <c r="G148" s="1" t="s">
        <v>1687</v>
      </c>
      <c r="H148" s="1">
        <v>34.2721</v>
      </c>
      <c r="I148" s="1">
        <v>47.4758</v>
      </c>
      <c r="J148" s="1" t="s">
        <v>1104</v>
      </c>
      <c r="K148" s="1" t="s">
        <v>1281</v>
      </c>
      <c r="L148" s="1" t="e">
        <v>#N/A</v>
      </c>
      <c r="M148" s="1" t="e">
        <v>#N/A</v>
      </c>
      <c r="N148" s="49" t="e">
        <v>#N/A</v>
      </c>
      <c r="O148" s="30">
        <v>603.0</v>
      </c>
      <c r="P148" s="1" t="s">
        <v>1179</v>
      </c>
      <c r="Q148" s="1" t="s">
        <v>1687</v>
      </c>
      <c r="S148" s="2"/>
      <c r="T148" s="9"/>
    </row>
    <row r="149">
      <c r="A149" s="1" t="s">
        <v>1183</v>
      </c>
      <c r="B149" s="1" t="s">
        <v>4035</v>
      </c>
      <c r="C149" s="1" t="s">
        <v>209</v>
      </c>
      <c r="D149" s="1" t="s">
        <v>4251</v>
      </c>
      <c r="E149" s="1" t="s">
        <v>1687</v>
      </c>
      <c r="F149" s="1" t="s">
        <v>1687</v>
      </c>
      <c r="G149" s="1" t="s">
        <v>1687</v>
      </c>
      <c r="H149" s="1">
        <v>34.2721</v>
      </c>
      <c r="I149" s="1">
        <v>47.4758</v>
      </c>
      <c r="J149" s="1" t="s">
        <v>1104</v>
      </c>
      <c r="K149" s="1" t="s">
        <v>1281</v>
      </c>
      <c r="L149" s="1" t="e">
        <v>#N/A</v>
      </c>
      <c r="M149" s="1" t="e">
        <v>#N/A</v>
      </c>
      <c r="N149" s="49" t="e">
        <v>#N/A</v>
      </c>
      <c r="O149" s="30">
        <v>585.0</v>
      </c>
      <c r="P149" s="1" t="s">
        <v>1183</v>
      </c>
      <c r="Q149" s="1" t="s">
        <v>1687</v>
      </c>
      <c r="S149" s="2"/>
      <c r="T149" s="9"/>
    </row>
    <row r="150">
      <c r="A150" s="1" t="s">
        <v>1204</v>
      </c>
      <c r="B150" s="1" t="s">
        <v>4035</v>
      </c>
      <c r="C150" s="1" t="s">
        <v>1240</v>
      </c>
      <c r="D150" s="1" t="s">
        <v>4331</v>
      </c>
      <c r="E150" s="1" t="s">
        <v>1675</v>
      </c>
      <c r="F150" s="1" t="s">
        <v>1390</v>
      </c>
      <c r="G150" s="1" t="s">
        <v>1675</v>
      </c>
      <c r="H150" s="1">
        <v>33.73</v>
      </c>
      <c r="I150" s="1">
        <v>47.07</v>
      </c>
      <c r="J150" s="1" t="s">
        <v>1104</v>
      </c>
      <c r="K150" s="1" t="s">
        <v>1790</v>
      </c>
      <c r="L150" s="1" t="e">
        <v>#N/A</v>
      </c>
      <c r="M150" s="1" t="e">
        <v>#N/A</v>
      </c>
      <c r="N150" s="49" t="e">
        <v>#N/A</v>
      </c>
      <c r="O150" s="30" t="s">
        <v>4346</v>
      </c>
      <c r="P150" s="1" t="s">
        <v>1204</v>
      </c>
      <c r="Q150" s="30">
        <v>0.0</v>
      </c>
      <c r="S150" s="2"/>
      <c r="T150" s="9"/>
    </row>
    <row r="151">
      <c r="A151" s="1" t="s">
        <v>1211</v>
      </c>
      <c r="B151" s="1" t="s">
        <v>4035</v>
      </c>
      <c r="C151" s="1" t="s">
        <v>195</v>
      </c>
      <c r="D151" s="1" t="s">
        <v>4059</v>
      </c>
      <c r="E151" s="1" t="s">
        <v>1675</v>
      </c>
      <c r="F151" s="1" t="s">
        <v>1390</v>
      </c>
      <c r="G151" s="1" t="s">
        <v>1675</v>
      </c>
      <c r="H151" s="1">
        <v>26.6031</v>
      </c>
      <c r="I151" s="1">
        <v>37.9295</v>
      </c>
      <c r="J151" s="1" t="s">
        <v>4096</v>
      </c>
      <c r="K151" s="1" t="s">
        <v>4097</v>
      </c>
      <c r="L151" s="1" t="e">
        <v>#N/A</v>
      </c>
      <c r="M151" s="1" t="e">
        <v>#N/A</v>
      </c>
      <c r="N151" s="49" t="e">
        <v>#N/A</v>
      </c>
      <c r="O151" s="30" t="s">
        <v>4347</v>
      </c>
      <c r="P151" s="1" t="s">
        <v>1211</v>
      </c>
      <c r="Q151" s="30">
        <v>0.58</v>
      </c>
      <c r="S151" s="2"/>
      <c r="T151" s="9"/>
    </row>
    <row r="152">
      <c r="A152" s="1" t="s">
        <v>1214</v>
      </c>
      <c r="B152" s="1" t="s">
        <v>4035</v>
      </c>
      <c r="C152" s="1" t="s">
        <v>195</v>
      </c>
      <c r="D152" s="1" t="s">
        <v>4059</v>
      </c>
      <c r="E152" s="1" t="s">
        <v>1675</v>
      </c>
      <c r="F152" s="1" t="s">
        <v>1390</v>
      </c>
      <c r="G152" s="1" t="s">
        <v>1675</v>
      </c>
      <c r="H152" s="1">
        <v>26.6031</v>
      </c>
      <c r="I152" s="1">
        <v>37.9295</v>
      </c>
      <c r="J152" s="1" t="s">
        <v>4096</v>
      </c>
      <c r="K152" s="1" t="s">
        <v>4097</v>
      </c>
      <c r="L152" s="1" t="e">
        <v>#N/A</v>
      </c>
      <c r="M152" s="1" t="e">
        <v>#N/A</v>
      </c>
      <c r="N152" s="49" t="e">
        <v>#N/A</v>
      </c>
      <c r="O152" s="1" t="s">
        <v>4349</v>
      </c>
      <c r="P152" s="1" t="s">
        <v>1214</v>
      </c>
      <c r="Q152" s="30">
        <v>0.26</v>
      </c>
      <c r="S152" s="2"/>
      <c r="T152" s="9"/>
    </row>
    <row r="153">
      <c r="A153" s="1" t="s">
        <v>1218</v>
      </c>
      <c r="B153" s="1" t="s">
        <v>4035</v>
      </c>
      <c r="C153" s="1" t="s">
        <v>1114</v>
      </c>
      <c r="D153" s="1" t="s">
        <v>1823</v>
      </c>
      <c r="E153" s="1" t="s">
        <v>119</v>
      </c>
      <c r="F153" s="1" t="s">
        <v>121</v>
      </c>
      <c r="G153" s="1" t="s">
        <v>119</v>
      </c>
      <c r="H153" s="1">
        <v>42.73396243</v>
      </c>
      <c r="I153" s="1">
        <v>44.63367638</v>
      </c>
      <c r="J153" s="1" t="s">
        <v>564</v>
      </c>
      <c r="K153" s="1" t="s">
        <v>1829</v>
      </c>
      <c r="L153" s="1" t="e">
        <v>#N/A</v>
      </c>
      <c r="M153" s="1" t="e">
        <v>#N/A</v>
      </c>
      <c r="N153" s="49" t="e">
        <v>#N/A</v>
      </c>
      <c r="O153" s="30" t="s">
        <v>4350</v>
      </c>
      <c r="P153" s="1" t="s">
        <v>1218</v>
      </c>
      <c r="Q153" s="30">
        <v>0.52</v>
      </c>
      <c r="S153" s="2"/>
      <c r="T153" s="9"/>
    </row>
    <row r="154">
      <c r="A154" s="1" t="s">
        <v>1222</v>
      </c>
      <c r="B154" s="1" t="s">
        <v>4035</v>
      </c>
      <c r="C154" s="1" t="s">
        <v>1114</v>
      </c>
      <c r="D154" s="1" t="s">
        <v>4238</v>
      </c>
      <c r="E154" s="1" t="s">
        <v>1687</v>
      </c>
      <c r="F154" s="1" t="s">
        <v>1687</v>
      </c>
      <c r="G154" s="1" t="s">
        <v>1687</v>
      </c>
      <c r="H154" s="1">
        <v>33.40900013</v>
      </c>
      <c r="I154" s="1">
        <v>49.25473456</v>
      </c>
      <c r="J154" s="1" t="s">
        <v>1104</v>
      </c>
      <c r="K154" s="1" t="s">
        <v>4260</v>
      </c>
      <c r="L154" s="1" t="e">
        <v>#N/A</v>
      </c>
      <c r="M154" s="1" t="e">
        <v>#N/A</v>
      </c>
      <c r="N154" s="49" t="e">
        <v>#N/A</v>
      </c>
      <c r="O154" s="30" t="s">
        <v>4352</v>
      </c>
      <c r="P154" s="1" t="s">
        <v>1222</v>
      </c>
      <c r="Q154" s="30">
        <v>0.03</v>
      </c>
      <c r="S154" s="2"/>
      <c r="T154" s="9"/>
    </row>
    <row r="155">
      <c r="L155" s="49"/>
      <c r="M155" s="49"/>
      <c r="N155" s="49"/>
      <c r="S155" s="2"/>
      <c r="T155" s="9"/>
    </row>
    <row r="156">
      <c r="L156" s="49"/>
      <c r="M156" s="49"/>
      <c r="N156" s="49"/>
      <c r="S156" s="2"/>
      <c r="T156" s="9"/>
    </row>
    <row r="157">
      <c r="L157" s="49"/>
      <c r="M157" s="55"/>
      <c r="N157" s="49"/>
      <c r="S157" s="2"/>
      <c r="T157" s="9"/>
    </row>
    <row r="158">
      <c r="L158" s="49"/>
      <c r="M158" s="49"/>
      <c r="N158" s="49"/>
      <c r="S158" s="2"/>
      <c r="T158" s="9"/>
    </row>
    <row r="159">
      <c r="L159" s="49"/>
      <c r="M159" s="49"/>
      <c r="N159" s="49"/>
      <c r="S159" s="2"/>
      <c r="T159" s="9"/>
    </row>
    <row r="160">
      <c r="L160" s="49"/>
      <c r="M160" s="49"/>
      <c r="N160" s="49"/>
      <c r="S160" s="2"/>
      <c r="T160" s="9"/>
    </row>
    <row r="161">
      <c r="L161" s="49"/>
      <c r="M161" s="49"/>
      <c r="N161" s="49"/>
      <c r="S161" s="2"/>
      <c r="T161" s="9"/>
    </row>
    <row r="162">
      <c r="L162" s="49"/>
      <c r="M162" s="49"/>
      <c r="N162" s="49"/>
      <c r="S162" s="2"/>
      <c r="T162" s="9"/>
    </row>
    <row r="163">
      <c r="L163" s="49"/>
      <c r="M163" s="49"/>
      <c r="N163" s="49"/>
      <c r="S163" s="2"/>
      <c r="T163" s="2"/>
    </row>
    <row r="164">
      <c r="L164" s="49"/>
      <c r="M164" s="49"/>
      <c r="N164" s="49"/>
      <c r="S164" s="2"/>
      <c r="T164" s="9"/>
    </row>
    <row r="165">
      <c r="L165" s="49"/>
      <c r="M165" s="49"/>
      <c r="N165" s="49"/>
      <c r="S165" s="2"/>
      <c r="T165" s="9"/>
    </row>
    <row r="166">
      <c r="L166" s="49"/>
      <c r="M166" s="49"/>
      <c r="N166" s="49"/>
      <c r="S166" s="2"/>
      <c r="T166" s="9"/>
    </row>
    <row r="167">
      <c r="L167" s="49"/>
      <c r="M167" s="49"/>
      <c r="N167" s="49"/>
      <c r="S167" s="2"/>
      <c r="T167" s="9"/>
    </row>
    <row r="168">
      <c r="L168" s="49"/>
      <c r="M168" s="49"/>
      <c r="N168" s="49"/>
      <c r="S168" s="2"/>
      <c r="T168" s="2"/>
    </row>
    <row r="169">
      <c r="L169" s="49"/>
      <c r="M169" s="49"/>
      <c r="N169" s="49"/>
      <c r="S169" s="2"/>
      <c r="T169" s="2"/>
    </row>
    <row r="170">
      <c r="L170" s="49"/>
      <c r="M170" s="49"/>
      <c r="N170" s="49"/>
      <c r="S170" s="2"/>
      <c r="T170" s="2"/>
    </row>
    <row r="171">
      <c r="L171" s="49"/>
      <c r="M171" s="49"/>
      <c r="N171" s="49"/>
      <c r="S171" s="2"/>
      <c r="T171" s="9"/>
    </row>
    <row r="172">
      <c r="L172" s="49"/>
      <c r="M172" s="49"/>
      <c r="N172" s="49"/>
      <c r="S172" s="2"/>
      <c r="T172" s="9"/>
    </row>
    <row r="173">
      <c r="L173" s="49"/>
      <c r="M173" s="49"/>
      <c r="N173" s="49"/>
      <c r="S173" s="2"/>
      <c r="T173" s="9"/>
    </row>
    <row r="174">
      <c r="L174" s="49"/>
      <c r="M174" s="49"/>
      <c r="N174" s="49"/>
      <c r="S174" s="2"/>
      <c r="T174" s="9"/>
    </row>
    <row r="175">
      <c r="L175" s="49"/>
      <c r="M175" s="49"/>
      <c r="N175" s="49"/>
      <c r="S175" s="2"/>
      <c r="T175" s="9"/>
    </row>
    <row r="176">
      <c r="L176" s="49"/>
      <c r="M176" s="49"/>
      <c r="N176" s="49"/>
      <c r="S176" s="2"/>
      <c r="T176" s="9"/>
    </row>
    <row r="177">
      <c r="L177" s="49"/>
      <c r="M177" s="49"/>
      <c r="N177" s="49"/>
      <c r="S177" s="2"/>
      <c r="T177" s="9"/>
    </row>
    <row r="178">
      <c r="L178" s="49"/>
      <c r="M178" s="49"/>
      <c r="N178" s="49"/>
      <c r="S178" s="2"/>
      <c r="T178" s="9"/>
    </row>
    <row r="179">
      <c r="L179" s="49"/>
      <c r="M179" s="49"/>
      <c r="N179" s="49"/>
      <c r="S179" s="2"/>
      <c r="T179" s="9"/>
    </row>
    <row r="180">
      <c r="L180" s="49"/>
      <c r="M180" s="49"/>
      <c r="N180" s="49"/>
      <c r="S180" s="2"/>
      <c r="T180" s="9"/>
    </row>
    <row r="181">
      <c r="L181" s="49"/>
      <c r="M181" s="49"/>
      <c r="N181" s="49"/>
      <c r="S181" s="2"/>
      <c r="T181" s="9"/>
    </row>
    <row r="182">
      <c r="L182" s="49"/>
      <c r="M182" s="49"/>
      <c r="N182" s="49"/>
      <c r="S182" s="2"/>
      <c r="T182" s="2"/>
    </row>
    <row r="183">
      <c r="L183" s="49"/>
      <c r="M183" s="49"/>
      <c r="N183" s="49"/>
      <c r="S183" s="2"/>
      <c r="T183" s="9"/>
    </row>
    <row r="184">
      <c r="L184" s="49"/>
      <c r="M184" s="49"/>
      <c r="N184" s="49"/>
      <c r="S184" s="2"/>
      <c r="T184" s="2"/>
    </row>
    <row r="185">
      <c r="L185" s="49"/>
      <c r="M185" s="49"/>
      <c r="N185" s="49"/>
      <c r="S185" s="2"/>
      <c r="T185" s="9"/>
    </row>
    <row r="186">
      <c r="L186" s="49"/>
      <c r="M186" s="49"/>
      <c r="N186" s="49"/>
      <c r="S186" s="2"/>
      <c r="T186" s="9"/>
    </row>
    <row r="187">
      <c r="L187" s="49"/>
      <c r="M187" s="49"/>
      <c r="N187" s="49"/>
      <c r="S187" s="2"/>
      <c r="T187" s="9"/>
    </row>
    <row r="188">
      <c r="L188" s="49"/>
      <c r="M188" s="49"/>
      <c r="N188" s="49"/>
      <c r="S188" s="2"/>
      <c r="T188" s="9"/>
    </row>
    <row r="189">
      <c r="L189" s="49"/>
      <c r="M189" s="49"/>
      <c r="N189" s="49"/>
      <c r="S189" s="2"/>
      <c r="T189" s="9"/>
    </row>
    <row r="190">
      <c r="L190" s="49"/>
      <c r="M190" s="49"/>
      <c r="N190" s="49"/>
      <c r="S190" s="2"/>
      <c r="T190" s="2"/>
    </row>
    <row r="191">
      <c r="L191" s="49"/>
      <c r="M191" s="49"/>
      <c r="N191" s="49"/>
      <c r="S191" s="2"/>
      <c r="T191" s="9"/>
    </row>
    <row r="192">
      <c r="L192" s="49"/>
      <c r="M192" s="49"/>
      <c r="N192" s="49"/>
      <c r="S192" s="2"/>
      <c r="T192" s="9"/>
    </row>
    <row r="193">
      <c r="L193" s="49"/>
      <c r="M193" s="49"/>
      <c r="N193" s="49"/>
      <c r="S193" s="2"/>
      <c r="T193" s="9"/>
    </row>
    <row r="194">
      <c r="L194" s="49"/>
      <c r="M194" s="49"/>
      <c r="N194" s="49"/>
      <c r="S194" s="2"/>
      <c r="T194" s="9"/>
    </row>
    <row r="195">
      <c r="L195" s="49"/>
      <c r="M195" s="49"/>
      <c r="N195" s="49"/>
      <c r="S195" s="2"/>
      <c r="T195" s="2"/>
    </row>
    <row r="196">
      <c r="L196" s="49"/>
      <c r="M196" s="49"/>
      <c r="N196" s="49"/>
      <c r="S196" s="2"/>
      <c r="T196" s="9"/>
    </row>
    <row r="197">
      <c r="L197" s="49"/>
      <c r="M197" s="49"/>
      <c r="N197" s="49"/>
      <c r="S197" s="2"/>
      <c r="T197" s="9"/>
    </row>
    <row r="198">
      <c r="L198" s="49"/>
      <c r="M198" s="49"/>
      <c r="N198" s="49"/>
      <c r="S198" s="2"/>
      <c r="T198" s="2"/>
    </row>
    <row r="199">
      <c r="L199" s="49"/>
      <c r="M199" s="49"/>
      <c r="N199" s="49"/>
      <c r="S199" s="2"/>
      <c r="T199" s="9"/>
    </row>
    <row r="200">
      <c r="L200" s="49"/>
      <c r="M200" s="49"/>
      <c r="N200" s="49"/>
      <c r="S200" s="2"/>
      <c r="T200" s="9"/>
    </row>
    <row r="201">
      <c r="L201" s="49"/>
      <c r="M201" s="49"/>
      <c r="N201" s="49"/>
      <c r="S201" s="2"/>
      <c r="T201" s="2"/>
    </row>
    <row r="202">
      <c r="L202" s="49"/>
      <c r="M202" s="49"/>
      <c r="N202" s="49"/>
      <c r="S202" s="2"/>
      <c r="T202" s="9"/>
    </row>
    <row r="203">
      <c r="L203" s="49"/>
      <c r="M203" s="49"/>
      <c r="N203" s="49"/>
      <c r="S203" s="2"/>
      <c r="T203" s="9"/>
    </row>
    <row r="204">
      <c r="L204" s="49"/>
      <c r="M204" s="49"/>
      <c r="N204" s="49"/>
      <c r="S204" s="2"/>
      <c r="T204" s="9"/>
    </row>
    <row r="205">
      <c r="L205" s="49"/>
      <c r="M205" s="49"/>
      <c r="N205" s="49"/>
      <c r="S205" s="2"/>
      <c r="T205" s="9"/>
    </row>
    <row r="206">
      <c r="L206" s="49"/>
      <c r="M206" s="49"/>
      <c r="N206" s="49"/>
      <c r="S206" s="2"/>
      <c r="T206" s="9"/>
    </row>
    <row r="207">
      <c r="L207" s="49"/>
      <c r="M207" s="49"/>
      <c r="N207" s="49"/>
      <c r="S207" s="2"/>
      <c r="T207" s="9"/>
    </row>
    <row r="208">
      <c r="L208" s="49"/>
      <c r="M208" s="49"/>
      <c r="N208" s="49"/>
      <c r="S208" s="2"/>
      <c r="T208" s="9"/>
    </row>
    <row r="209">
      <c r="L209" s="49"/>
      <c r="M209" s="49"/>
      <c r="N209" s="49"/>
      <c r="S209" s="2"/>
      <c r="T209" s="9"/>
    </row>
    <row r="210">
      <c r="L210" s="49"/>
      <c r="M210" s="49"/>
      <c r="N210" s="49"/>
      <c r="S210" s="2"/>
      <c r="T210" s="9"/>
    </row>
    <row r="211">
      <c r="L211" s="49"/>
      <c r="M211" s="49"/>
      <c r="N211" s="49"/>
      <c r="S211" s="2"/>
      <c r="T211" s="9"/>
    </row>
    <row r="212">
      <c r="L212" s="49"/>
      <c r="M212" s="49"/>
      <c r="N212" s="49"/>
      <c r="S212" s="2"/>
      <c r="T212" s="9"/>
    </row>
    <row r="213">
      <c r="L213" s="49"/>
      <c r="M213" s="49"/>
      <c r="N213" s="49"/>
      <c r="S213" s="2"/>
      <c r="T213" s="9"/>
    </row>
    <row r="214">
      <c r="L214" s="49"/>
      <c r="M214" s="49"/>
      <c r="N214" s="49"/>
      <c r="S214" s="2"/>
      <c r="T214" s="9"/>
    </row>
    <row r="215">
      <c r="L215" s="49"/>
      <c r="M215" s="49"/>
      <c r="N215" s="49"/>
      <c r="S215" s="2"/>
      <c r="T215" s="9"/>
    </row>
    <row r="216">
      <c r="L216" s="49"/>
      <c r="M216" s="49"/>
      <c r="N216" s="49"/>
      <c r="S216" s="2"/>
      <c r="T216" s="9"/>
    </row>
    <row r="217">
      <c r="L217" s="49"/>
      <c r="M217" s="49"/>
      <c r="N217" s="49"/>
      <c r="S217" s="2"/>
      <c r="T217" s="9"/>
    </row>
    <row r="218">
      <c r="L218" s="49"/>
      <c r="M218" s="49"/>
      <c r="N218" s="49"/>
      <c r="S218" s="2"/>
      <c r="T218" s="9"/>
    </row>
    <row r="219">
      <c r="L219" s="49"/>
      <c r="M219" s="49"/>
      <c r="N219" s="49"/>
      <c r="S219" s="2"/>
      <c r="T219" s="9"/>
    </row>
    <row r="220">
      <c r="L220" s="49"/>
      <c r="M220" s="49"/>
      <c r="N220" s="49"/>
      <c r="S220" s="2"/>
      <c r="T220" s="9"/>
    </row>
    <row r="221">
      <c r="L221" s="49"/>
      <c r="M221" s="49"/>
      <c r="N221" s="49"/>
      <c r="S221" s="2"/>
      <c r="T221" s="9"/>
    </row>
    <row r="222">
      <c r="L222" s="49"/>
      <c r="M222" s="49"/>
      <c r="N222" s="49"/>
      <c r="S222" s="2"/>
      <c r="T222" s="9"/>
    </row>
    <row r="223">
      <c r="L223" s="49"/>
      <c r="M223" s="49"/>
      <c r="N223" s="49"/>
      <c r="S223" s="2"/>
      <c r="T223" s="9"/>
    </row>
    <row r="224">
      <c r="L224" s="49"/>
      <c r="M224" s="49"/>
      <c r="N224" s="49"/>
      <c r="S224" s="2"/>
      <c r="T224" s="9"/>
    </row>
    <row r="225">
      <c r="L225" s="49"/>
      <c r="M225" s="49"/>
      <c r="N225" s="49"/>
      <c r="S225" s="2"/>
      <c r="T225" s="9"/>
    </row>
    <row r="226">
      <c r="L226" s="49"/>
      <c r="M226" s="49"/>
      <c r="N226" s="49"/>
      <c r="S226" s="2"/>
      <c r="T226" s="9"/>
    </row>
    <row r="227">
      <c r="L227" s="49"/>
      <c r="M227" s="49"/>
      <c r="N227" s="49"/>
      <c r="S227" s="2"/>
      <c r="T227" s="9"/>
    </row>
    <row r="228">
      <c r="L228" s="49"/>
      <c r="M228" s="49"/>
      <c r="N228" s="49"/>
      <c r="S228" s="2"/>
      <c r="T228" s="9"/>
    </row>
    <row r="229">
      <c r="L229" s="49"/>
      <c r="M229" s="49"/>
      <c r="N229" s="49"/>
      <c r="S229" s="2"/>
      <c r="T229" s="9"/>
    </row>
    <row r="230">
      <c r="L230" s="49"/>
      <c r="M230" s="49"/>
      <c r="N230" s="49"/>
      <c r="S230" s="2"/>
      <c r="T230" s="9"/>
    </row>
    <row r="231">
      <c r="L231" s="49"/>
      <c r="M231" s="49"/>
      <c r="N231" s="49"/>
      <c r="S231" s="2"/>
      <c r="T231" s="9"/>
    </row>
    <row r="232">
      <c r="L232" s="49"/>
      <c r="M232" s="49"/>
      <c r="N232" s="49"/>
      <c r="S232" s="2"/>
      <c r="T232" s="9"/>
    </row>
    <row r="233">
      <c r="L233" s="49"/>
      <c r="M233" s="49"/>
      <c r="N233" s="49"/>
      <c r="S233" s="2"/>
      <c r="T233" s="9"/>
    </row>
    <row r="234">
      <c r="L234" s="49"/>
      <c r="M234" s="49"/>
      <c r="N234" s="49"/>
      <c r="S234" s="2"/>
      <c r="T234" s="9"/>
    </row>
    <row r="235">
      <c r="L235" s="49"/>
      <c r="M235" s="49"/>
      <c r="N235" s="49"/>
      <c r="S235" s="2"/>
      <c r="T235" s="9"/>
    </row>
    <row r="236">
      <c r="L236" s="49"/>
      <c r="M236" s="49"/>
      <c r="N236" s="49"/>
      <c r="S236" s="2"/>
      <c r="T236" s="9"/>
    </row>
    <row r="237">
      <c r="L237" s="49"/>
      <c r="M237" s="49"/>
      <c r="N237" s="49"/>
      <c r="S237" s="2"/>
      <c r="T237" s="9"/>
    </row>
    <row r="238">
      <c r="L238" s="49"/>
      <c r="M238" s="49"/>
      <c r="N238" s="49"/>
      <c r="S238" s="2"/>
      <c r="T238" s="9"/>
    </row>
    <row r="239">
      <c r="L239" s="49"/>
      <c r="M239" s="49"/>
      <c r="N239" s="49"/>
      <c r="S239" s="2"/>
      <c r="T239" s="9"/>
    </row>
    <row r="240">
      <c r="L240" s="49"/>
      <c r="M240" s="49"/>
      <c r="N240" s="49"/>
      <c r="S240" s="2"/>
      <c r="T240" s="9"/>
    </row>
    <row r="241">
      <c r="L241" s="49"/>
      <c r="M241" s="49"/>
      <c r="N241" s="49"/>
      <c r="S241" s="2"/>
      <c r="T241" s="9"/>
    </row>
    <row r="242">
      <c r="L242" s="49"/>
      <c r="M242" s="49"/>
      <c r="N242" s="49"/>
      <c r="S242" s="2"/>
      <c r="T242" s="9"/>
    </row>
    <row r="243">
      <c r="L243" s="49"/>
      <c r="M243" s="49"/>
      <c r="N243" s="49"/>
      <c r="S243" s="2"/>
      <c r="T243" s="9"/>
    </row>
    <row r="244">
      <c r="L244" s="49"/>
      <c r="M244" s="49"/>
      <c r="N244" s="49"/>
      <c r="S244" s="2"/>
      <c r="T244" s="9"/>
    </row>
    <row r="245">
      <c r="L245" s="49"/>
      <c r="M245" s="49"/>
      <c r="N245" s="49"/>
      <c r="S245" s="2"/>
      <c r="T245" s="9"/>
    </row>
    <row r="246">
      <c r="L246" s="49"/>
      <c r="M246" s="49"/>
      <c r="N246" s="49"/>
      <c r="S246" s="2"/>
      <c r="T246" s="9"/>
    </row>
    <row r="247">
      <c r="L247" s="49"/>
      <c r="M247" s="49"/>
      <c r="N247" s="49"/>
      <c r="S247" s="2"/>
      <c r="T247" s="9"/>
    </row>
    <row r="248">
      <c r="L248" s="49"/>
      <c r="M248" s="49"/>
      <c r="N248" s="49"/>
      <c r="S248" s="2"/>
      <c r="T248" s="9"/>
    </row>
    <row r="249">
      <c r="L249" s="49"/>
      <c r="M249" s="49"/>
      <c r="N249" s="49"/>
      <c r="S249" s="2"/>
      <c r="T249" s="9"/>
    </row>
    <row r="250">
      <c r="L250" s="49"/>
      <c r="M250" s="49"/>
      <c r="N250" s="49"/>
      <c r="S250" s="2"/>
      <c r="T250" s="9"/>
    </row>
    <row r="251">
      <c r="L251" s="49"/>
      <c r="M251" s="49"/>
      <c r="N251" s="49"/>
      <c r="S251" s="2"/>
      <c r="T251" s="9"/>
    </row>
    <row r="252">
      <c r="L252" s="49"/>
      <c r="M252" s="49"/>
      <c r="N252" s="49"/>
      <c r="S252" s="2"/>
      <c r="T252" s="9"/>
    </row>
    <row r="253">
      <c r="L253" s="49"/>
      <c r="M253" s="49"/>
      <c r="N253" s="49"/>
      <c r="S253" s="2"/>
      <c r="T253" s="9"/>
    </row>
    <row r="254">
      <c r="L254" s="49"/>
      <c r="M254" s="49"/>
      <c r="N254" s="49"/>
      <c r="S254" s="2"/>
      <c r="T254" s="9"/>
    </row>
    <row r="255">
      <c r="L255" s="49"/>
      <c r="M255" s="49"/>
      <c r="N255" s="49"/>
      <c r="S255" s="2"/>
      <c r="T255" s="9"/>
    </row>
    <row r="256">
      <c r="L256" s="49"/>
      <c r="M256" s="49"/>
      <c r="N256" s="49"/>
      <c r="S256" s="2"/>
      <c r="T256" s="9"/>
    </row>
    <row r="257">
      <c r="L257" s="49"/>
      <c r="M257" s="49"/>
      <c r="N257" s="49"/>
      <c r="S257" s="2"/>
      <c r="T257" s="9"/>
    </row>
    <row r="258">
      <c r="L258" s="49"/>
      <c r="M258" s="49"/>
      <c r="N258" s="49"/>
      <c r="S258" s="2"/>
      <c r="T258" s="9"/>
    </row>
    <row r="259">
      <c r="L259" s="49"/>
      <c r="M259" s="49"/>
      <c r="N259" s="49"/>
      <c r="S259" s="2"/>
      <c r="T259" s="9"/>
    </row>
    <row r="260">
      <c r="L260" s="49"/>
      <c r="M260" s="49"/>
      <c r="N260" s="49"/>
      <c r="S260" s="2"/>
      <c r="T260" s="9"/>
    </row>
    <row r="261">
      <c r="L261" s="49"/>
      <c r="M261" s="49"/>
      <c r="N261" s="49"/>
      <c r="S261" s="2"/>
      <c r="T261" s="9"/>
    </row>
    <row r="262">
      <c r="L262" s="49"/>
      <c r="M262" s="49"/>
      <c r="N262" s="49"/>
      <c r="S262" s="2"/>
      <c r="T262" s="9"/>
    </row>
    <row r="263">
      <c r="L263" s="49"/>
      <c r="M263" s="49"/>
      <c r="N263" s="49"/>
      <c r="S263" s="2"/>
      <c r="T263" s="9"/>
    </row>
    <row r="264">
      <c r="L264" s="49"/>
      <c r="M264" s="49"/>
      <c r="N264" s="49"/>
      <c r="S264" s="2"/>
      <c r="T264" s="9"/>
    </row>
    <row r="265">
      <c r="L265" s="49"/>
      <c r="M265" s="49"/>
      <c r="N265" s="49"/>
      <c r="S265" s="2"/>
      <c r="T265" s="9"/>
    </row>
    <row r="266">
      <c r="L266" s="49"/>
      <c r="M266" s="49"/>
      <c r="N266" s="49"/>
      <c r="S266" s="2"/>
      <c r="T266" s="9"/>
    </row>
    <row r="267">
      <c r="L267" s="49"/>
      <c r="M267" s="49"/>
      <c r="N267" s="49"/>
      <c r="S267" s="2"/>
      <c r="T267" s="9"/>
    </row>
    <row r="268">
      <c r="L268" s="49"/>
      <c r="M268" s="49"/>
      <c r="N268" s="49"/>
      <c r="S268" s="2"/>
      <c r="T268" s="9"/>
    </row>
    <row r="269">
      <c r="L269" s="49"/>
      <c r="M269" s="49"/>
      <c r="N269" s="49"/>
      <c r="S269" s="2"/>
      <c r="T269" s="9"/>
    </row>
    <row r="270">
      <c r="L270" s="49"/>
      <c r="M270" s="49"/>
      <c r="N270" s="49"/>
      <c r="S270" s="2"/>
      <c r="T270" s="9"/>
    </row>
    <row r="271">
      <c r="L271" s="49"/>
      <c r="M271" s="49"/>
      <c r="N271" s="49"/>
      <c r="S271" s="2"/>
      <c r="T271" s="9"/>
    </row>
    <row r="272">
      <c r="L272" s="49"/>
      <c r="M272" s="49"/>
      <c r="N272" s="49"/>
      <c r="S272" s="2"/>
      <c r="T272" s="9"/>
    </row>
    <row r="273">
      <c r="L273" s="49"/>
      <c r="M273" s="49"/>
      <c r="N273" s="49"/>
      <c r="S273" s="2"/>
      <c r="T273" s="9"/>
    </row>
    <row r="274">
      <c r="L274" s="49"/>
      <c r="M274" s="49"/>
      <c r="N274" s="49"/>
      <c r="S274" s="2"/>
      <c r="T274" s="9"/>
    </row>
    <row r="275">
      <c r="L275" s="49"/>
      <c r="M275" s="49"/>
      <c r="N275" s="49"/>
      <c r="S275" s="2"/>
      <c r="T275" s="9"/>
    </row>
    <row r="276">
      <c r="L276" s="49"/>
      <c r="M276" s="49"/>
      <c r="N276" s="49"/>
      <c r="S276" s="2"/>
      <c r="T276" s="9"/>
    </row>
    <row r="277">
      <c r="L277" s="49"/>
      <c r="M277" s="49"/>
      <c r="N277" s="49"/>
      <c r="S277" s="2"/>
      <c r="T277" s="9"/>
    </row>
    <row r="278">
      <c r="L278" s="49"/>
      <c r="M278" s="49"/>
      <c r="N278" s="49"/>
      <c r="S278" s="2"/>
      <c r="T278" s="9"/>
    </row>
    <row r="279">
      <c r="L279" s="49"/>
      <c r="M279" s="49"/>
      <c r="N279" s="49"/>
      <c r="S279" s="2"/>
      <c r="T279" s="9"/>
    </row>
    <row r="280">
      <c r="L280" s="49"/>
      <c r="M280" s="49"/>
      <c r="N280" s="49"/>
      <c r="S280" s="2"/>
      <c r="T280" s="9"/>
    </row>
    <row r="281">
      <c r="L281" s="49"/>
      <c r="M281" s="49"/>
      <c r="N281" s="49"/>
      <c r="S281" s="2"/>
      <c r="T281" s="9"/>
    </row>
    <row r="282">
      <c r="L282" s="49"/>
      <c r="M282" s="49"/>
      <c r="N282" s="49"/>
      <c r="S282" s="2"/>
      <c r="T282" s="2"/>
    </row>
    <row r="283">
      <c r="L283" s="49"/>
      <c r="M283" s="49"/>
      <c r="N283" s="49"/>
      <c r="S283" s="2"/>
      <c r="T283" s="2"/>
    </row>
    <row r="284">
      <c r="L284" s="49"/>
      <c r="M284" s="49"/>
      <c r="N284" s="49"/>
      <c r="S284" s="2"/>
      <c r="T284" s="2"/>
    </row>
    <row r="285">
      <c r="L285" s="49"/>
      <c r="M285" s="49"/>
      <c r="N285" s="49"/>
      <c r="S285" s="2"/>
      <c r="T285" s="2"/>
    </row>
    <row r="286">
      <c r="L286" s="49"/>
      <c r="M286" s="49"/>
      <c r="N286" s="49"/>
      <c r="S286" s="2"/>
      <c r="T286" s="2"/>
    </row>
    <row r="287">
      <c r="L287" s="49"/>
      <c r="M287" s="49"/>
      <c r="N287" s="49"/>
      <c r="S287" s="2"/>
      <c r="T287" s="2"/>
    </row>
    <row r="288">
      <c r="L288" s="49"/>
      <c r="M288" s="49"/>
      <c r="N288" s="49"/>
      <c r="S288" s="2"/>
      <c r="T288" s="2"/>
    </row>
    <row r="289">
      <c r="L289" s="49"/>
      <c r="M289" s="49"/>
      <c r="N289" s="49"/>
      <c r="S289" s="2"/>
      <c r="T289" s="2"/>
    </row>
    <row r="290">
      <c r="L290" s="49"/>
      <c r="M290" s="49"/>
      <c r="N290" s="49"/>
      <c r="S290" s="2"/>
      <c r="T290" s="2"/>
    </row>
    <row r="291">
      <c r="L291" s="49"/>
      <c r="M291" s="49"/>
      <c r="N291" s="49"/>
      <c r="S291" s="2"/>
      <c r="T291" s="2"/>
    </row>
    <row r="292">
      <c r="L292" s="49"/>
      <c r="M292" s="49"/>
      <c r="N292" s="49"/>
      <c r="S292" s="2"/>
      <c r="T292" s="2"/>
    </row>
    <row r="293">
      <c r="L293" s="49"/>
      <c r="M293" s="49"/>
      <c r="N293" s="49"/>
      <c r="S293" s="2"/>
      <c r="T293" s="2"/>
    </row>
    <row r="294">
      <c r="L294" s="49"/>
      <c r="M294" s="49"/>
      <c r="N294" s="49"/>
      <c r="S294" s="2"/>
      <c r="T294" s="2"/>
    </row>
    <row r="295">
      <c r="L295" s="49"/>
      <c r="M295" s="49"/>
      <c r="N295" s="49"/>
      <c r="S295" s="2"/>
      <c r="T295" s="2"/>
    </row>
    <row r="296">
      <c r="L296" s="49"/>
      <c r="M296" s="49"/>
      <c r="N296" s="49"/>
      <c r="S296" s="2"/>
      <c r="T296" s="2"/>
    </row>
    <row r="297">
      <c r="L297" s="49"/>
      <c r="M297" s="49"/>
      <c r="N297" s="49"/>
      <c r="S297" s="2"/>
      <c r="T297" s="2"/>
    </row>
    <row r="298">
      <c r="L298" s="49"/>
      <c r="M298" s="49"/>
      <c r="N298" s="49"/>
      <c r="S298" s="2"/>
      <c r="T298" s="2"/>
    </row>
    <row r="299">
      <c r="L299" s="49"/>
      <c r="M299" s="49"/>
      <c r="N299" s="49"/>
      <c r="S299" s="2"/>
      <c r="T299" s="2"/>
    </row>
    <row r="300">
      <c r="L300" s="49"/>
      <c r="M300" s="49"/>
      <c r="N300" s="49"/>
      <c r="S300" s="2"/>
      <c r="T300" s="2"/>
    </row>
    <row r="301">
      <c r="L301" s="49"/>
      <c r="M301" s="49"/>
      <c r="N301" s="49"/>
      <c r="S301" s="2"/>
      <c r="T301" s="2"/>
    </row>
    <row r="302">
      <c r="L302" s="49"/>
      <c r="M302" s="49"/>
      <c r="N302" s="49"/>
      <c r="S302" s="2"/>
      <c r="T302" s="2"/>
    </row>
    <row r="303">
      <c r="L303" s="49"/>
      <c r="M303" s="49"/>
      <c r="N303" s="49"/>
      <c r="S303" s="2"/>
      <c r="T303" s="2"/>
    </row>
    <row r="304">
      <c r="L304" s="49"/>
      <c r="M304" s="49"/>
      <c r="N304" s="49"/>
      <c r="S304" s="2"/>
      <c r="T304" s="2"/>
    </row>
    <row r="305">
      <c r="L305" s="49"/>
      <c r="M305" s="49"/>
      <c r="N305" s="49"/>
      <c r="S305" s="2"/>
      <c r="T305" s="2"/>
    </row>
    <row r="306">
      <c r="L306" s="49"/>
      <c r="M306" s="49"/>
      <c r="N306" s="49"/>
      <c r="S306" s="2"/>
      <c r="T306" s="2"/>
    </row>
    <row r="307">
      <c r="L307" s="49"/>
      <c r="M307" s="49"/>
      <c r="N307" s="49"/>
      <c r="S307" s="2"/>
      <c r="T307" s="2"/>
    </row>
    <row r="308">
      <c r="L308" s="49"/>
      <c r="M308" s="49"/>
      <c r="N308" s="49"/>
      <c r="S308" s="2"/>
      <c r="T308" s="2"/>
    </row>
    <row r="309">
      <c r="L309" s="49"/>
      <c r="M309" s="49"/>
      <c r="N309" s="49"/>
      <c r="S309" s="2"/>
      <c r="T309" s="2"/>
    </row>
    <row r="310">
      <c r="L310" s="49"/>
      <c r="M310" s="49"/>
      <c r="N310" s="49"/>
      <c r="S310" s="2"/>
      <c r="T310" s="2"/>
    </row>
    <row r="311">
      <c r="L311" s="49"/>
      <c r="M311" s="49"/>
      <c r="N311" s="49"/>
      <c r="S311" s="2"/>
      <c r="T311" s="2"/>
    </row>
    <row r="312">
      <c r="L312" s="49"/>
      <c r="M312" s="49"/>
      <c r="N312" s="49"/>
      <c r="S312" s="2"/>
      <c r="T312" s="2"/>
    </row>
    <row r="313">
      <c r="L313" s="49"/>
      <c r="M313" s="49"/>
      <c r="N313" s="49"/>
      <c r="S313" s="2"/>
      <c r="T313" s="2"/>
    </row>
    <row r="314">
      <c r="L314" s="49"/>
      <c r="M314" s="49"/>
      <c r="N314" s="49"/>
      <c r="S314" s="2"/>
      <c r="T314" s="2"/>
    </row>
    <row r="315">
      <c r="L315" s="49"/>
      <c r="M315" s="49"/>
      <c r="N315" s="49"/>
      <c r="S315" s="2"/>
      <c r="T315" s="2"/>
    </row>
    <row r="316">
      <c r="L316" s="49"/>
      <c r="M316" s="49"/>
      <c r="N316" s="49"/>
      <c r="S316" s="2"/>
      <c r="T316" s="2"/>
    </row>
    <row r="317">
      <c r="L317" s="49"/>
      <c r="M317" s="49"/>
      <c r="N317" s="49"/>
      <c r="S317" s="2"/>
      <c r="T317" s="2"/>
    </row>
    <row r="318">
      <c r="L318" s="49"/>
      <c r="M318" s="49"/>
      <c r="N318" s="49"/>
      <c r="S318" s="2"/>
      <c r="T318" s="2"/>
    </row>
    <row r="319">
      <c r="L319" s="49"/>
      <c r="M319" s="49"/>
      <c r="N319" s="49"/>
      <c r="S319" s="2"/>
      <c r="T319" s="2"/>
    </row>
    <row r="320">
      <c r="L320" s="49"/>
      <c r="M320" s="49"/>
      <c r="N320" s="49"/>
      <c r="S320" s="2"/>
      <c r="T320" s="2"/>
    </row>
    <row r="321">
      <c r="L321" s="49"/>
      <c r="M321" s="49"/>
      <c r="N321" s="49"/>
      <c r="S321" s="2"/>
      <c r="T321" s="2"/>
    </row>
    <row r="322">
      <c r="L322" s="49"/>
      <c r="M322" s="49"/>
      <c r="N322" s="49"/>
      <c r="S322" s="2"/>
      <c r="T322" s="2"/>
    </row>
    <row r="323">
      <c r="L323" s="49"/>
      <c r="M323" s="49"/>
      <c r="N323" s="49"/>
      <c r="S323" s="2"/>
      <c r="T323" s="2"/>
    </row>
    <row r="324">
      <c r="L324" s="49"/>
      <c r="M324" s="49"/>
      <c r="N324" s="49"/>
      <c r="S324" s="2"/>
      <c r="T324" s="2"/>
    </row>
    <row r="325">
      <c r="L325" s="49"/>
      <c r="M325" s="49"/>
      <c r="N325" s="49"/>
      <c r="S325" s="2"/>
      <c r="T325" s="2"/>
    </row>
    <row r="326">
      <c r="L326" s="49"/>
      <c r="M326" s="49"/>
      <c r="N326" s="49"/>
      <c r="S326" s="2"/>
      <c r="T326" s="2"/>
    </row>
    <row r="327">
      <c r="L327" s="49"/>
      <c r="M327" s="49"/>
      <c r="N327" s="49"/>
      <c r="S327" s="2"/>
      <c r="T327" s="2"/>
    </row>
    <row r="328">
      <c r="L328" s="49"/>
      <c r="M328" s="49"/>
      <c r="N328" s="49"/>
      <c r="S328" s="2"/>
      <c r="T328" s="2"/>
    </row>
    <row r="329">
      <c r="L329" s="49"/>
      <c r="M329" s="49"/>
      <c r="N329" s="49"/>
      <c r="S329" s="2"/>
      <c r="T329" s="2"/>
    </row>
    <row r="330">
      <c r="L330" s="49"/>
      <c r="M330" s="49"/>
      <c r="N330" s="49"/>
      <c r="S330" s="2"/>
      <c r="T330" s="2"/>
    </row>
    <row r="331">
      <c r="L331" s="49"/>
      <c r="M331" s="49"/>
      <c r="N331" s="49"/>
      <c r="S331" s="2"/>
      <c r="T331" s="2"/>
    </row>
    <row r="332">
      <c r="L332" s="49"/>
      <c r="M332" s="49"/>
      <c r="N332" s="49"/>
      <c r="S332" s="2"/>
      <c r="T332" s="2"/>
    </row>
    <row r="333">
      <c r="L333" s="49"/>
      <c r="M333" s="49"/>
      <c r="N333" s="49"/>
      <c r="S333" s="2"/>
      <c r="T333" s="2"/>
    </row>
    <row r="334">
      <c r="L334" s="49"/>
      <c r="M334" s="49"/>
      <c r="N334" s="49"/>
      <c r="S334" s="2"/>
      <c r="T334" s="2"/>
    </row>
    <row r="335">
      <c r="L335" s="49"/>
      <c r="M335" s="49"/>
      <c r="N335" s="49"/>
      <c r="S335" s="2"/>
      <c r="T335" s="2"/>
    </row>
    <row r="336">
      <c r="L336" s="49"/>
      <c r="M336" s="49"/>
      <c r="N336" s="49"/>
      <c r="S336" s="2"/>
      <c r="T336" s="2"/>
    </row>
    <row r="337">
      <c r="L337" s="49"/>
      <c r="M337" s="49"/>
      <c r="N337" s="49"/>
      <c r="S337" s="2"/>
      <c r="T337" s="2"/>
    </row>
    <row r="338">
      <c r="L338" s="49"/>
      <c r="M338" s="49"/>
      <c r="N338" s="49"/>
      <c r="S338" s="2"/>
      <c r="T338" s="2"/>
    </row>
    <row r="339">
      <c r="L339" s="49"/>
      <c r="M339" s="49"/>
      <c r="N339" s="49"/>
      <c r="S339" s="2"/>
      <c r="T339" s="2"/>
    </row>
    <row r="340">
      <c r="L340" s="49"/>
      <c r="M340" s="49"/>
      <c r="N340" s="49"/>
      <c r="S340" s="2"/>
      <c r="T340" s="2"/>
    </row>
    <row r="341">
      <c r="L341" s="49"/>
      <c r="M341" s="49"/>
      <c r="N341" s="49"/>
      <c r="S341" s="2"/>
      <c r="T341" s="2"/>
    </row>
    <row r="342">
      <c r="L342" s="49"/>
      <c r="M342" s="49"/>
      <c r="N342" s="49"/>
      <c r="S342" s="2"/>
      <c r="T342" s="2"/>
    </row>
    <row r="343">
      <c r="L343" s="49"/>
      <c r="M343" s="49"/>
      <c r="N343" s="49"/>
      <c r="S343" s="2"/>
      <c r="T343" s="2"/>
    </row>
    <row r="344">
      <c r="L344" s="49"/>
      <c r="M344" s="49"/>
      <c r="N344" s="49"/>
      <c r="S344" s="2"/>
      <c r="T344" s="2"/>
    </row>
    <row r="345">
      <c r="L345" s="49"/>
      <c r="M345" s="49"/>
      <c r="N345" s="49"/>
      <c r="S345" s="2"/>
      <c r="T345" s="2"/>
    </row>
    <row r="346">
      <c r="L346" s="49"/>
      <c r="M346" s="49"/>
      <c r="N346" s="49"/>
      <c r="S346" s="2"/>
      <c r="T346" s="2"/>
    </row>
    <row r="347">
      <c r="L347" s="49"/>
      <c r="M347" s="49"/>
      <c r="N347" s="49"/>
      <c r="S347" s="2"/>
      <c r="T347" s="2"/>
    </row>
    <row r="348">
      <c r="L348" s="49"/>
      <c r="M348" s="49"/>
      <c r="N348" s="49"/>
      <c r="S348" s="2"/>
      <c r="T348" s="2"/>
    </row>
    <row r="349">
      <c r="L349" s="49"/>
      <c r="M349" s="49"/>
      <c r="N349" s="49"/>
      <c r="S349" s="2"/>
      <c r="T349" s="2"/>
    </row>
    <row r="350">
      <c r="L350" s="49"/>
      <c r="M350" s="49"/>
      <c r="N350" s="49"/>
      <c r="S350" s="2"/>
      <c r="T350" s="2"/>
    </row>
    <row r="351">
      <c r="L351" s="49"/>
      <c r="M351" s="49"/>
      <c r="N351" s="49"/>
      <c r="S351" s="2"/>
      <c r="T351" s="2"/>
    </row>
    <row r="352">
      <c r="L352" s="49"/>
      <c r="M352" s="49"/>
      <c r="N352" s="49"/>
      <c r="S352" s="2"/>
      <c r="T352" s="2"/>
    </row>
    <row r="353">
      <c r="L353" s="49"/>
      <c r="M353" s="49"/>
      <c r="N353" s="49"/>
      <c r="S353" s="2"/>
      <c r="T353" s="2"/>
    </row>
    <row r="354">
      <c r="L354" s="49"/>
      <c r="M354" s="49"/>
      <c r="N354" s="49"/>
      <c r="S354" s="2"/>
      <c r="T354" s="2"/>
    </row>
    <row r="355">
      <c r="L355" s="49"/>
      <c r="M355" s="49"/>
      <c r="N355" s="49"/>
      <c r="S355" s="2"/>
      <c r="T355" s="2"/>
    </row>
    <row r="356">
      <c r="L356" s="49"/>
      <c r="M356" s="49"/>
      <c r="N356" s="49"/>
      <c r="S356" s="2"/>
      <c r="T356" s="2"/>
    </row>
    <row r="357">
      <c r="L357" s="49"/>
      <c r="M357" s="49"/>
      <c r="N357" s="49"/>
      <c r="S357" s="2"/>
      <c r="T357" s="2"/>
    </row>
    <row r="358">
      <c r="L358" s="49"/>
      <c r="M358" s="49"/>
      <c r="N358" s="49"/>
      <c r="S358" s="2"/>
      <c r="T358" s="2"/>
    </row>
    <row r="359">
      <c r="L359" s="49"/>
      <c r="M359" s="49"/>
      <c r="N359" s="49"/>
      <c r="S359" s="2"/>
      <c r="T359" s="2"/>
    </row>
    <row r="360">
      <c r="L360" s="49"/>
      <c r="M360" s="49"/>
      <c r="N360" s="49"/>
      <c r="S360" s="2"/>
      <c r="T360" s="2"/>
    </row>
    <row r="361">
      <c r="L361" s="49"/>
      <c r="M361" s="49"/>
      <c r="N361" s="49"/>
      <c r="S361" s="2"/>
      <c r="T361" s="2"/>
    </row>
    <row r="362">
      <c r="L362" s="49"/>
      <c r="M362" s="49"/>
      <c r="N362" s="49"/>
      <c r="S362" s="2"/>
      <c r="T362" s="2"/>
    </row>
    <row r="363">
      <c r="L363" s="49"/>
      <c r="M363" s="49"/>
      <c r="N363" s="49"/>
      <c r="S363" s="2"/>
      <c r="T363" s="2"/>
    </row>
    <row r="364">
      <c r="L364" s="49"/>
      <c r="M364" s="49"/>
      <c r="N364" s="49"/>
      <c r="S364" s="2"/>
      <c r="T364" s="2"/>
    </row>
    <row r="365">
      <c r="L365" s="49"/>
      <c r="M365" s="49"/>
      <c r="N365" s="49"/>
      <c r="S365" s="2"/>
      <c r="T365" s="2"/>
    </row>
    <row r="366">
      <c r="L366" s="49"/>
      <c r="M366" s="49"/>
      <c r="N366" s="49"/>
      <c r="S366" s="2"/>
      <c r="T366" s="2"/>
    </row>
    <row r="367">
      <c r="L367" s="49"/>
      <c r="M367" s="49"/>
      <c r="N367" s="49"/>
      <c r="S367" s="2"/>
      <c r="T367" s="2"/>
    </row>
    <row r="368">
      <c r="L368" s="49"/>
      <c r="M368" s="49"/>
      <c r="N368" s="49"/>
      <c r="S368" s="2"/>
      <c r="T368" s="2"/>
    </row>
    <row r="369">
      <c r="L369" s="49"/>
      <c r="M369" s="49"/>
      <c r="N369" s="49"/>
      <c r="S369" s="2"/>
      <c r="T369" s="2"/>
    </row>
    <row r="370">
      <c r="L370" s="49"/>
      <c r="M370" s="49"/>
      <c r="N370" s="49"/>
      <c r="S370" s="2"/>
      <c r="T370" s="2"/>
    </row>
    <row r="371">
      <c r="L371" s="49"/>
      <c r="M371" s="49"/>
      <c r="N371" s="49"/>
      <c r="S371" s="2"/>
      <c r="T371" s="2"/>
    </row>
    <row r="372">
      <c r="L372" s="49"/>
      <c r="M372" s="49"/>
      <c r="N372" s="49"/>
      <c r="S372" s="2"/>
      <c r="T372" s="2"/>
    </row>
    <row r="373">
      <c r="L373" s="49"/>
      <c r="M373" s="49"/>
      <c r="N373" s="49"/>
      <c r="S373" s="2"/>
      <c r="T373" s="2"/>
    </row>
    <row r="374">
      <c r="L374" s="49"/>
      <c r="M374" s="49"/>
      <c r="N374" s="49"/>
      <c r="S374" s="2"/>
      <c r="T374" s="2"/>
    </row>
    <row r="375">
      <c r="L375" s="49"/>
      <c r="M375" s="49"/>
      <c r="N375" s="49"/>
      <c r="S375" s="2"/>
      <c r="T375" s="2"/>
    </row>
    <row r="376">
      <c r="L376" s="49"/>
      <c r="M376" s="49"/>
      <c r="N376" s="49"/>
      <c r="S376" s="2"/>
      <c r="T376" s="2"/>
    </row>
    <row r="377">
      <c r="L377" s="49"/>
      <c r="M377" s="49"/>
      <c r="N377" s="49"/>
      <c r="S377" s="2"/>
      <c r="T377" s="2"/>
    </row>
    <row r="378">
      <c r="L378" s="49"/>
      <c r="M378" s="49"/>
      <c r="N378" s="49"/>
      <c r="S378" s="2"/>
      <c r="T378" s="2"/>
    </row>
    <row r="379">
      <c r="L379" s="49"/>
      <c r="M379" s="49"/>
      <c r="N379" s="49"/>
      <c r="S379" s="2"/>
      <c r="T379" s="2"/>
    </row>
    <row r="380">
      <c r="L380" s="49"/>
      <c r="M380" s="49"/>
      <c r="N380" s="49"/>
      <c r="S380" s="2"/>
      <c r="T380" s="2"/>
    </row>
    <row r="381">
      <c r="L381" s="49"/>
      <c r="M381" s="49"/>
      <c r="N381" s="49"/>
      <c r="S381" s="2"/>
      <c r="T381" s="2"/>
    </row>
    <row r="382">
      <c r="L382" s="49"/>
      <c r="M382" s="49"/>
      <c r="N382" s="49"/>
      <c r="S382" s="2"/>
      <c r="T382" s="2"/>
    </row>
    <row r="383">
      <c r="L383" s="49"/>
      <c r="M383" s="49"/>
      <c r="N383" s="49"/>
      <c r="S383" s="2"/>
      <c r="T383" s="2"/>
    </row>
    <row r="384">
      <c r="L384" s="49"/>
      <c r="M384" s="49"/>
      <c r="N384" s="49"/>
      <c r="S384" s="2"/>
      <c r="T384" s="2"/>
    </row>
    <row r="385">
      <c r="L385" s="49"/>
      <c r="M385" s="49"/>
      <c r="N385" s="49"/>
      <c r="S385" s="2"/>
      <c r="T385" s="2"/>
    </row>
    <row r="386">
      <c r="L386" s="49"/>
      <c r="M386" s="49"/>
      <c r="N386" s="49"/>
      <c r="S386" s="2"/>
      <c r="T386" s="2"/>
    </row>
    <row r="387">
      <c r="L387" s="49"/>
      <c r="M387" s="49"/>
      <c r="N387" s="49"/>
      <c r="S387" s="2"/>
      <c r="T387" s="2"/>
    </row>
    <row r="388">
      <c r="L388" s="49"/>
      <c r="M388" s="49"/>
      <c r="N388" s="49"/>
      <c r="S388" s="2"/>
      <c r="T388" s="2"/>
    </row>
    <row r="389">
      <c r="L389" s="49"/>
      <c r="M389" s="49"/>
      <c r="N389" s="49"/>
      <c r="S389" s="2"/>
      <c r="T389" s="2"/>
    </row>
    <row r="390">
      <c r="L390" s="49"/>
      <c r="M390" s="49"/>
      <c r="N390" s="49"/>
      <c r="S390" s="2"/>
      <c r="T390" s="2"/>
    </row>
    <row r="391">
      <c r="L391" s="49"/>
      <c r="M391" s="49"/>
      <c r="N391" s="49"/>
      <c r="S391" s="2"/>
      <c r="T391" s="2"/>
    </row>
    <row r="392">
      <c r="L392" s="49"/>
      <c r="M392" s="49"/>
      <c r="N392" s="49"/>
      <c r="S392" s="2"/>
      <c r="T392" s="2"/>
    </row>
    <row r="393">
      <c r="L393" s="49"/>
      <c r="M393" s="49"/>
      <c r="N393" s="49"/>
      <c r="S393" s="2"/>
      <c r="T393" s="2"/>
    </row>
    <row r="394">
      <c r="L394" s="49"/>
      <c r="M394" s="49"/>
      <c r="N394" s="49"/>
      <c r="S394" s="2"/>
      <c r="T394" s="2"/>
    </row>
    <row r="395">
      <c r="L395" s="49"/>
      <c r="M395" s="49"/>
      <c r="N395" s="49"/>
      <c r="S395" s="2"/>
      <c r="T395" s="2"/>
    </row>
    <row r="396">
      <c r="L396" s="49"/>
      <c r="M396" s="49"/>
      <c r="N396" s="49"/>
      <c r="S396" s="2"/>
      <c r="T396" s="2"/>
    </row>
    <row r="397">
      <c r="L397" s="49"/>
      <c r="M397" s="49"/>
      <c r="N397" s="49"/>
      <c r="S397" s="2"/>
      <c r="T397" s="2"/>
    </row>
    <row r="398">
      <c r="L398" s="49"/>
      <c r="M398" s="49"/>
      <c r="N398" s="49"/>
      <c r="S398" s="2"/>
      <c r="T398" s="2"/>
    </row>
    <row r="399">
      <c r="L399" s="49"/>
      <c r="M399" s="49"/>
      <c r="N399" s="49"/>
      <c r="S399" s="2"/>
      <c r="T399" s="2"/>
    </row>
    <row r="400">
      <c r="L400" s="49"/>
      <c r="M400" s="49"/>
      <c r="N400" s="49"/>
      <c r="S400" s="2"/>
      <c r="T400" s="2"/>
    </row>
    <row r="401">
      <c r="L401" s="49"/>
      <c r="M401" s="49"/>
      <c r="N401" s="49"/>
      <c r="S401" s="2"/>
      <c r="T401" s="2"/>
    </row>
    <row r="402">
      <c r="L402" s="49"/>
      <c r="M402" s="49"/>
      <c r="N402" s="49"/>
      <c r="S402" s="2"/>
      <c r="T402" s="2"/>
    </row>
    <row r="403">
      <c r="L403" s="49"/>
      <c r="M403" s="49"/>
      <c r="N403" s="49"/>
      <c r="S403" s="2"/>
      <c r="T403" s="2"/>
    </row>
    <row r="404">
      <c r="L404" s="49"/>
      <c r="M404" s="49"/>
      <c r="N404" s="49"/>
      <c r="S404" s="2"/>
      <c r="T404" s="2"/>
    </row>
    <row r="405">
      <c r="L405" s="49"/>
      <c r="M405" s="49"/>
      <c r="N405" s="49"/>
      <c r="S405" s="2"/>
      <c r="T405" s="2"/>
    </row>
    <row r="406">
      <c r="L406" s="49"/>
      <c r="M406" s="49"/>
      <c r="N406" s="49"/>
      <c r="S406" s="2"/>
      <c r="T406" s="2"/>
    </row>
    <row r="407">
      <c r="L407" s="49"/>
      <c r="M407" s="49"/>
      <c r="N407" s="49"/>
      <c r="S407" s="2"/>
      <c r="T407" s="2"/>
    </row>
    <row r="408">
      <c r="L408" s="49"/>
      <c r="M408" s="49"/>
      <c r="N408" s="49"/>
      <c r="S408" s="2"/>
      <c r="T408" s="2"/>
    </row>
    <row r="409">
      <c r="L409" s="49"/>
      <c r="M409" s="49"/>
      <c r="N409" s="49"/>
      <c r="S409" s="2"/>
      <c r="T409" s="2"/>
    </row>
    <row r="410">
      <c r="L410" s="49"/>
      <c r="M410" s="49"/>
      <c r="N410" s="49"/>
      <c r="S410" s="2"/>
      <c r="T410" s="2"/>
    </row>
    <row r="411">
      <c r="L411" s="49"/>
      <c r="M411" s="49"/>
      <c r="N411" s="49"/>
      <c r="S411" s="2"/>
      <c r="T411" s="2"/>
    </row>
    <row r="412">
      <c r="L412" s="49"/>
      <c r="M412" s="49"/>
      <c r="N412" s="49"/>
      <c r="S412" s="2"/>
      <c r="T412" s="2"/>
    </row>
    <row r="413">
      <c r="L413" s="49"/>
      <c r="M413" s="49"/>
      <c r="N413" s="49"/>
      <c r="S413" s="2"/>
      <c r="T413" s="2"/>
    </row>
    <row r="414">
      <c r="L414" s="49"/>
      <c r="M414" s="49"/>
      <c r="N414" s="49"/>
      <c r="S414" s="2"/>
      <c r="T414" s="2"/>
    </row>
    <row r="415">
      <c r="L415" s="49"/>
      <c r="M415" s="49"/>
      <c r="N415" s="49"/>
      <c r="S415" s="2"/>
      <c r="T415" s="2"/>
    </row>
    <row r="416">
      <c r="L416" s="49"/>
      <c r="M416" s="49"/>
      <c r="N416" s="49"/>
      <c r="S416" s="2"/>
      <c r="T416" s="2"/>
    </row>
    <row r="417">
      <c r="L417" s="49"/>
      <c r="M417" s="49"/>
      <c r="N417" s="49"/>
      <c r="S417" s="2"/>
      <c r="T417" s="2"/>
    </row>
    <row r="418">
      <c r="L418" s="49"/>
      <c r="M418" s="49"/>
      <c r="N418" s="49"/>
      <c r="S418" s="2"/>
      <c r="T418" s="2"/>
    </row>
    <row r="419">
      <c r="L419" s="49"/>
      <c r="M419" s="49"/>
      <c r="N419" s="49"/>
      <c r="S419" s="2"/>
      <c r="T419" s="2"/>
    </row>
    <row r="420">
      <c r="L420" s="49"/>
      <c r="M420" s="49"/>
      <c r="N420" s="49"/>
      <c r="S420" s="2"/>
      <c r="T420" s="2"/>
    </row>
    <row r="421">
      <c r="L421" s="49"/>
      <c r="M421" s="49"/>
      <c r="N421" s="49"/>
      <c r="S421" s="2"/>
      <c r="T421" s="2"/>
    </row>
    <row r="422">
      <c r="L422" s="49"/>
      <c r="M422" s="49"/>
      <c r="N422" s="49"/>
      <c r="S422" s="2"/>
      <c r="T422" s="2"/>
    </row>
    <row r="423">
      <c r="L423" s="49"/>
      <c r="M423" s="49"/>
      <c r="N423" s="49"/>
      <c r="S423" s="2"/>
      <c r="T423" s="2"/>
    </row>
    <row r="424">
      <c r="L424" s="49"/>
      <c r="M424" s="49"/>
      <c r="N424" s="49"/>
      <c r="S424" s="2"/>
      <c r="T424" s="2"/>
    </row>
    <row r="425">
      <c r="L425" s="49"/>
      <c r="M425" s="49"/>
      <c r="N425" s="49"/>
      <c r="S425" s="2"/>
      <c r="T425" s="2"/>
    </row>
    <row r="426">
      <c r="L426" s="49"/>
      <c r="M426" s="49"/>
      <c r="N426" s="49"/>
      <c r="S426" s="2"/>
      <c r="T426" s="2"/>
    </row>
    <row r="427">
      <c r="L427" s="49"/>
      <c r="M427" s="49"/>
      <c r="N427" s="49"/>
      <c r="S427" s="2"/>
      <c r="T427" s="2"/>
    </row>
    <row r="428">
      <c r="L428" s="49"/>
      <c r="M428" s="49"/>
      <c r="N428" s="49"/>
      <c r="S428" s="2"/>
      <c r="T428" s="2"/>
    </row>
    <row r="429">
      <c r="L429" s="49"/>
      <c r="M429" s="49"/>
      <c r="N429" s="49"/>
      <c r="S429" s="2"/>
      <c r="T429" s="2"/>
    </row>
    <row r="430">
      <c r="L430" s="49"/>
      <c r="M430" s="49"/>
      <c r="N430" s="49"/>
      <c r="S430" s="2"/>
      <c r="T430" s="2"/>
    </row>
    <row r="431">
      <c r="L431" s="49"/>
      <c r="M431" s="49"/>
      <c r="N431" s="49"/>
      <c r="S431" s="2"/>
      <c r="T431" s="2"/>
    </row>
    <row r="432">
      <c r="L432" s="49"/>
      <c r="M432" s="49"/>
      <c r="N432" s="49"/>
      <c r="S432" s="2"/>
      <c r="T432" s="2"/>
    </row>
    <row r="433">
      <c r="L433" s="49"/>
      <c r="M433" s="49"/>
      <c r="N433" s="49"/>
      <c r="S433" s="2"/>
      <c r="T433" s="2"/>
    </row>
    <row r="434">
      <c r="L434" s="49"/>
      <c r="M434" s="49"/>
      <c r="N434" s="49"/>
      <c r="S434" s="2"/>
      <c r="T434" s="2"/>
    </row>
    <row r="435">
      <c r="L435" s="49"/>
      <c r="M435" s="49"/>
      <c r="N435" s="49"/>
      <c r="S435" s="2"/>
      <c r="T435" s="2"/>
    </row>
    <row r="436">
      <c r="L436" s="49"/>
      <c r="M436" s="49"/>
      <c r="N436" s="49"/>
      <c r="S436" s="2"/>
      <c r="T436" s="2"/>
    </row>
    <row r="437">
      <c r="L437" s="49"/>
      <c r="M437" s="49"/>
      <c r="N437" s="49"/>
      <c r="S437" s="2"/>
      <c r="T437" s="2"/>
    </row>
    <row r="438">
      <c r="L438" s="49"/>
      <c r="M438" s="49"/>
      <c r="N438" s="49"/>
      <c r="S438" s="2"/>
      <c r="T438" s="2"/>
    </row>
    <row r="439">
      <c r="L439" s="49"/>
      <c r="M439" s="49"/>
      <c r="N439" s="49"/>
      <c r="S439" s="2"/>
      <c r="T439" s="2"/>
    </row>
    <row r="440">
      <c r="L440" s="49"/>
      <c r="M440" s="49"/>
      <c r="N440" s="49"/>
      <c r="S440" s="2"/>
      <c r="T440" s="2"/>
    </row>
    <row r="441">
      <c r="L441" s="49"/>
      <c r="M441" s="49"/>
      <c r="N441" s="49"/>
      <c r="S441" s="2"/>
      <c r="T441" s="2"/>
    </row>
    <row r="442">
      <c r="L442" s="49"/>
      <c r="M442" s="49"/>
      <c r="N442" s="49"/>
      <c r="S442" s="2"/>
      <c r="T442" s="2"/>
    </row>
    <row r="443">
      <c r="L443" s="49"/>
      <c r="M443" s="49"/>
      <c r="N443" s="49"/>
      <c r="S443" s="2"/>
      <c r="T443" s="2"/>
    </row>
    <row r="444">
      <c r="L444" s="49"/>
      <c r="M444" s="49"/>
      <c r="N444" s="49"/>
      <c r="S444" s="2"/>
      <c r="T444" s="2"/>
    </row>
    <row r="445">
      <c r="L445" s="49"/>
      <c r="M445" s="49"/>
      <c r="N445" s="49"/>
      <c r="S445" s="2"/>
      <c r="T445" s="2"/>
    </row>
    <row r="446">
      <c r="L446" s="49"/>
      <c r="M446" s="49"/>
      <c r="N446" s="49"/>
      <c r="S446" s="2"/>
      <c r="T446" s="2"/>
    </row>
    <row r="447">
      <c r="L447" s="49"/>
      <c r="M447" s="49"/>
      <c r="N447" s="49"/>
      <c r="S447" s="2"/>
      <c r="T447" s="2"/>
    </row>
    <row r="448">
      <c r="L448" s="49"/>
      <c r="M448" s="49"/>
      <c r="N448" s="49"/>
      <c r="S448" s="2"/>
      <c r="T448" s="2"/>
    </row>
    <row r="449">
      <c r="L449" s="49"/>
      <c r="M449" s="49"/>
      <c r="N449" s="49"/>
      <c r="S449" s="2"/>
      <c r="T449" s="2"/>
    </row>
    <row r="450">
      <c r="L450" s="49"/>
      <c r="M450" s="49"/>
      <c r="N450" s="49"/>
      <c r="S450" s="2"/>
      <c r="T450" s="2"/>
    </row>
    <row r="451">
      <c r="L451" s="49"/>
      <c r="M451" s="49"/>
      <c r="N451" s="49"/>
      <c r="S451" s="2"/>
      <c r="T451" s="2"/>
    </row>
    <row r="452">
      <c r="L452" s="49"/>
      <c r="M452" s="49"/>
      <c r="N452" s="49"/>
      <c r="S452" s="2"/>
      <c r="T452" s="2"/>
    </row>
    <row r="453">
      <c r="L453" s="49"/>
      <c r="M453" s="49"/>
      <c r="N453" s="49"/>
      <c r="S453" s="2"/>
      <c r="T453" s="2"/>
    </row>
    <row r="454">
      <c r="L454" s="49"/>
      <c r="M454" s="49"/>
      <c r="N454" s="49"/>
      <c r="S454" s="2"/>
      <c r="T454" s="2"/>
    </row>
    <row r="455">
      <c r="L455" s="49"/>
      <c r="M455" s="49"/>
      <c r="N455" s="49"/>
      <c r="S455" s="2"/>
      <c r="T455" s="2"/>
    </row>
    <row r="456">
      <c r="L456" s="49"/>
      <c r="M456" s="49"/>
      <c r="N456" s="49"/>
      <c r="S456" s="2"/>
      <c r="T456" s="2"/>
    </row>
    <row r="457">
      <c r="L457" s="49"/>
      <c r="M457" s="49"/>
      <c r="N457" s="49"/>
      <c r="S457" s="2"/>
      <c r="T457" s="2"/>
    </row>
    <row r="458">
      <c r="L458" s="49"/>
      <c r="M458" s="49"/>
      <c r="N458" s="49"/>
      <c r="S458" s="2"/>
      <c r="T458" s="2"/>
    </row>
    <row r="459">
      <c r="L459" s="49"/>
      <c r="M459" s="49"/>
      <c r="N459" s="49"/>
      <c r="S459" s="2"/>
      <c r="T459" s="2"/>
    </row>
    <row r="460">
      <c r="L460" s="49"/>
      <c r="M460" s="49"/>
      <c r="N460" s="49"/>
      <c r="S460" s="2"/>
      <c r="T460" s="2"/>
    </row>
    <row r="461">
      <c r="L461" s="49"/>
      <c r="M461" s="49"/>
      <c r="N461" s="49"/>
      <c r="S461" s="2"/>
      <c r="T461" s="2"/>
    </row>
    <row r="462">
      <c r="L462" s="49"/>
      <c r="M462" s="49"/>
      <c r="N462" s="49"/>
      <c r="S462" s="2"/>
      <c r="T462" s="2"/>
    </row>
    <row r="463">
      <c r="L463" s="49"/>
      <c r="M463" s="49"/>
      <c r="N463" s="49"/>
      <c r="S463" s="2"/>
      <c r="T463" s="2"/>
    </row>
    <row r="464">
      <c r="L464" s="49"/>
      <c r="M464" s="49"/>
      <c r="N464" s="49"/>
      <c r="S464" s="2"/>
      <c r="T464" s="2"/>
    </row>
    <row r="465">
      <c r="L465" s="49"/>
      <c r="M465" s="49"/>
      <c r="N465" s="49"/>
      <c r="S465" s="2"/>
      <c r="T465" s="2"/>
    </row>
    <row r="466">
      <c r="L466" s="49"/>
      <c r="M466" s="49"/>
      <c r="N466" s="49"/>
      <c r="S466" s="2"/>
      <c r="T466" s="2"/>
    </row>
    <row r="467">
      <c r="L467" s="49"/>
      <c r="M467" s="49"/>
      <c r="N467" s="49"/>
      <c r="S467" s="2"/>
      <c r="T467" s="2"/>
    </row>
    <row r="468">
      <c r="L468" s="49"/>
      <c r="M468" s="49"/>
      <c r="N468" s="49"/>
      <c r="S468" s="2"/>
      <c r="T468" s="2"/>
    </row>
    <row r="469">
      <c r="L469" s="49"/>
      <c r="M469" s="49"/>
      <c r="N469" s="49"/>
      <c r="S469" s="2"/>
      <c r="T469" s="2"/>
    </row>
    <row r="470">
      <c r="L470" s="49"/>
      <c r="M470" s="49"/>
      <c r="N470" s="49"/>
      <c r="S470" s="2"/>
      <c r="T470" s="2"/>
    </row>
    <row r="471">
      <c r="L471" s="49"/>
      <c r="M471" s="49"/>
      <c r="N471" s="49"/>
      <c r="S471" s="2"/>
      <c r="T471" s="2"/>
    </row>
    <row r="472">
      <c r="L472" s="49"/>
      <c r="M472" s="49"/>
      <c r="N472" s="49"/>
      <c r="S472" s="2"/>
      <c r="T472" s="2"/>
    </row>
    <row r="473">
      <c r="L473" s="49"/>
      <c r="M473" s="49"/>
      <c r="N473" s="49"/>
      <c r="S473" s="2"/>
      <c r="T473" s="2"/>
    </row>
    <row r="474">
      <c r="L474" s="49"/>
      <c r="M474" s="49"/>
      <c r="N474" s="49"/>
      <c r="S474" s="2"/>
      <c r="T474" s="2"/>
    </row>
    <row r="475">
      <c r="L475" s="49"/>
      <c r="M475" s="49"/>
      <c r="N475" s="49"/>
      <c r="S475" s="2"/>
      <c r="T475" s="2"/>
    </row>
    <row r="476">
      <c r="L476" s="49"/>
      <c r="M476" s="49"/>
      <c r="N476" s="49"/>
      <c r="S476" s="2"/>
      <c r="T476" s="2"/>
    </row>
    <row r="477">
      <c r="L477" s="49"/>
      <c r="M477" s="49"/>
      <c r="N477" s="49"/>
      <c r="S477" s="2"/>
      <c r="T477" s="2"/>
    </row>
    <row r="478">
      <c r="L478" s="49"/>
      <c r="M478" s="49"/>
      <c r="N478" s="49"/>
      <c r="S478" s="2"/>
      <c r="T478" s="2"/>
    </row>
    <row r="479">
      <c r="L479" s="49"/>
      <c r="M479" s="49"/>
      <c r="N479" s="49"/>
      <c r="S479" s="2"/>
      <c r="T479" s="2"/>
    </row>
    <row r="480">
      <c r="L480" s="49"/>
      <c r="M480" s="49"/>
      <c r="N480" s="49"/>
      <c r="S480" s="2"/>
      <c r="T480" s="2"/>
    </row>
    <row r="481">
      <c r="L481" s="49"/>
      <c r="M481" s="49"/>
      <c r="N481" s="49"/>
      <c r="S481" s="2"/>
      <c r="T481" s="2"/>
    </row>
    <row r="482">
      <c r="L482" s="49"/>
      <c r="M482" s="49"/>
      <c r="N482" s="49"/>
      <c r="S482" s="2"/>
      <c r="T482" s="2"/>
    </row>
    <row r="483">
      <c r="L483" s="49"/>
      <c r="M483" s="49"/>
      <c r="N483" s="49"/>
      <c r="S483" s="2"/>
      <c r="T483" s="2"/>
    </row>
    <row r="484">
      <c r="L484" s="49"/>
      <c r="M484" s="49"/>
      <c r="N484" s="49"/>
      <c r="S484" s="2"/>
      <c r="T484" s="2"/>
    </row>
    <row r="485">
      <c r="L485" s="49"/>
      <c r="M485" s="49"/>
      <c r="N485" s="49"/>
      <c r="S485" s="2"/>
      <c r="T485" s="2"/>
    </row>
    <row r="486">
      <c r="L486" s="49"/>
      <c r="M486" s="49"/>
      <c r="N486" s="49"/>
      <c r="S486" s="2"/>
      <c r="T486" s="2"/>
    </row>
    <row r="487">
      <c r="L487" s="49"/>
      <c r="M487" s="49"/>
      <c r="N487" s="49"/>
      <c r="S487" s="2"/>
      <c r="T487" s="2"/>
    </row>
    <row r="488">
      <c r="L488" s="49"/>
      <c r="M488" s="49"/>
      <c r="N488" s="49"/>
      <c r="S488" s="2"/>
      <c r="T488" s="2"/>
    </row>
    <row r="489">
      <c r="L489" s="49"/>
      <c r="M489" s="49"/>
      <c r="N489" s="49"/>
      <c r="S489" s="2"/>
      <c r="T489" s="2"/>
    </row>
    <row r="490">
      <c r="L490" s="49"/>
      <c r="M490" s="49"/>
      <c r="N490" s="49"/>
      <c r="S490" s="2"/>
      <c r="T490" s="2"/>
    </row>
    <row r="491">
      <c r="L491" s="49"/>
      <c r="M491" s="49"/>
      <c r="N491" s="49"/>
      <c r="S491" s="2"/>
      <c r="T491" s="2"/>
    </row>
    <row r="492">
      <c r="L492" s="49"/>
      <c r="M492" s="49"/>
      <c r="N492" s="49"/>
      <c r="S492" s="2"/>
      <c r="T492" s="2"/>
    </row>
    <row r="493">
      <c r="L493" s="49"/>
      <c r="M493" s="49"/>
      <c r="N493" s="49"/>
      <c r="S493" s="2"/>
      <c r="T493" s="2"/>
    </row>
    <row r="494">
      <c r="L494" s="49"/>
      <c r="M494" s="49"/>
      <c r="N494" s="49"/>
      <c r="S494" s="2"/>
      <c r="T494" s="2"/>
    </row>
    <row r="495">
      <c r="L495" s="49"/>
      <c r="M495" s="49"/>
      <c r="N495" s="49"/>
      <c r="S495" s="2"/>
      <c r="T495" s="2"/>
    </row>
    <row r="496">
      <c r="L496" s="49"/>
      <c r="M496" s="49"/>
      <c r="N496" s="49"/>
      <c r="S496" s="2"/>
      <c r="T496" s="2"/>
    </row>
    <row r="497">
      <c r="L497" s="49"/>
      <c r="M497" s="49"/>
      <c r="N497" s="49"/>
      <c r="S497" s="2"/>
      <c r="T497" s="2"/>
    </row>
    <row r="498">
      <c r="L498" s="49"/>
      <c r="M498" s="49"/>
      <c r="N498" s="49"/>
      <c r="S498" s="2"/>
      <c r="T498" s="2"/>
    </row>
    <row r="499">
      <c r="L499" s="49"/>
      <c r="M499" s="49"/>
      <c r="N499" s="49"/>
      <c r="S499" s="2"/>
      <c r="T499" s="2"/>
    </row>
    <row r="500">
      <c r="L500" s="49"/>
      <c r="M500" s="49"/>
      <c r="N500" s="49"/>
      <c r="S500" s="2"/>
      <c r="T500" s="2"/>
    </row>
    <row r="501">
      <c r="L501" s="49"/>
      <c r="M501" s="49"/>
      <c r="N501" s="49"/>
      <c r="S501" s="2"/>
      <c r="T501" s="2"/>
    </row>
    <row r="502">
      <c r="L502" s="49"/>
      <c r="M502" s="49"/>
      <c r="N502" s="49"/>
      <c r="S502" s="2"/>
      <c r="T502" s="2"/>
    </row>
    <row r="503">
      <c r="L503" s="49"/>
      <c r="M503" s="49"/>
      <c r="N503" s="49"/>
      <c r="S503" s="2"/>
      <c r="T503" s="2"/>
    </row>
    <row r="504">
      <c r="L504" s="49"/>
      <c r="M504" s="49"/>
      <c r="N504" s="49"/>
      <c r="S504" s="2"/>
      <c r="T504" s="2"/>
    </row>
    <row r="505">
      <c r="L505" s="49"/>
      <c r="M505" s="49"/>
      <c r="N505" s="49"/>
      <c r="S505" s="2"/>
      <c r="T505" s="2"/>
    </row>
    <row r="506">
      <c r="L506" s="49"/>
      <c r="M506" s="49"/>
      <c r="N506" s="49"/>
      <c r="S506" s="2"/>
      <c r="T506" s="2"/>
    </row>
    <row r="507">
      <c r="L507" s="49"/>
      <c r="M507" s="49"/>
      <c r="N507" s="49"/>
      <c r="S507" s="2"/>
      <c r="T507" s="2"/>
    </row>
    <row r="508">
      <c r="L508" s="49"/>
      <c r="M508" s="49"/>
      <c r="N508" s="49"/>
      <c r="S508" s="2"/>
      <c r="T508" s="2"/>
    </row>
    <row r="509">
      <c r="L509" s="49"/>
      <c r="M509" s="49"/>
      <c r="N509" s="49"/>
      <c r="S509" s="2"/>
      <c r="T509" s="2"/>
    </row>
    <row r="510">
      <c r="L510" s="49"/>
      <c r="M510" s="49"/>
      <c r="N510" s="49"/>
      <c r="S510" s="2"/>
      <c r="T510" s="2"/>
    </row>
    <row r="511">
      <c r="L511" s="49"/>
      <c r="M511" s="49"/>
      <c r="N511" s="49"/>
      <c r="S511" s="2"/>
      <c r="T511" s="2"/>
    </row>
    <row r="512">
      <c r="L512" s="49"/>
      <c r="M512" s="49"/>
      <c r="N512" s="49"/>
      <c r="S512" s="2"/>
      <c r="T512" s="2"/>
    </row>
    <row r="513">
      <c r="L513" s="49"/>
      <c r="M513" s="49"/>
      <c r="N513" s="49"/>
      <c r="S513" s="2"/>
      <c r="T513" s="2"/>
    </row>
    <row r="514">
      <c r="L514" s="49"/>
      <c r="M514" s="49"/>
      <c r="N514" s="49"/>
      <c r="S514" s="2"/>
      <c r="T514" s="2"/>
    </row>
    <row r="515">
      <c r="L515" s="49"/>
      <c r="M515" s="49"/>
      <c r="N515" s="49"/>
      <c r="S515" s="2"/>
      <c r="T515" s="2"/>
    </row>
    <row r="516">
      <c r="L516" s="49"/>
      <c r="M516" s="49"/>
      <c r="N516" s="49"/>
      <c r="S516" s="2"/>
      <c r="T516" s="2"/>
    </row>
    <row r="517">
      <c r="L517" s="49"/>
      <c r="M517" s="49"/>
      <c r="N517" s="49"/>
      <c r="S517" s="2"/>
      <c r="T517" s="2"/>
    </row>
    <row r="518">
      <c r="L518" s="49"/>
      <c r="M518" s="49"/>
      <c r="N518" s="49"/>
      <c r="S518" s="2"/>
      <c r="T518" s="2"/>
    </row>
    <row r="519">
      <c r="L519" s="49"/>
      <c r="M519" s="49"/>
      <c r="N519" s="49"/>
      <c r="S519" s="2"/>
      <c r="T519" s="2"/>
    </row>
    <row r="520">
      <c r="L520" s="49"/>
      <c r="M520" s="49"/>
      <c r="N520" s="49"/>
      <c r="S520" s="2"/>
      <c r="T520" s="2"/>
    </row>
    <row r="521">
      <c r="L521" s="49"/>
      <c r="M521" s="49"/>
      <c r="N521" s="49"/>
      <c r="S521" s="2"/>
      <c r="T521" s="2"/>
    </row>
    <row r="522">
      <c r="L522" s="49"/>
      <c r="M522" s="49"/>
      <c r="N522" s="49"/>
      <c r="S522" s="2"/>
      <c r="T522" s="2"/>
    </row>
    <row r="523">
      <c r="L523" s="49"/>
      <c r="M523" s="49"/>
      <c r="N523" s="49"/>
      <c r="S523" s="2"/>
      <c r="T523" s="2"/>
    </row>
    <row r="524">
      <c r="L524" s="49"/>
      <c r="M524" s="49"/>
      <c r="N524" s="49"/>
      <c r="S524" s="2"/>
      <c r="T524" s="2"/>
    </row>
    <row r="525">
      <c r="L525" s="49"/>
      <c r="M525" s="49"/>
      <c r="N525" s="49"/>
      <c r="S525" s="2"/>
      <c r="T525" s="2"/>
    </row>
    <row r="526">
      <c r="L526" s="49"/>
      <c r="M526" s="49"/>
      <c r="N526" s="49"/>
      <c r="S526" s="2"/>
      <c r="T526" s="2"/>
    </row>
    <row r="527">
      <c r="L527" s="49"/>
      <c r="M527" s="49"/>
      <c r="N527" s="49"/>
      <c r="S527" s="2"/>
      <c r="T527" s="2"/>
    </row>
    <row r="528">
      <c r="L528" s="49"/>
      <c r="M528" s="49"/>
      <c r="N528" s="49"/>
      <c r="S528" s="2"/>
      <c r="T528" s="2"/>
    </row>
    <row r="529">
      <c r="L529" s="49"/>
      <c r="M529" s="49"/>
      <c r="N529" s="49"/>
      <c r="S529" s="2"/>
      <c r="T529" s="2"/>
    </row>
    <row r="530">
      <c r="L530" s="49"/>
      <c r="M530" s="49"/>
      <c r="N530" s="49"/>
      <c r="S530" s="2"/>
      <c r="T530" s="2"/>
    </row>
    <row r="531">
      <c r="L531" s="49"/>
      <c r="M531" s="49"/>
      <c r="N531" s="49"/>
      <c r="S531" s="2"/>
      <c r="T531" s="2"/>
    </row>
    <row r="532">
      <c r="L532" s="49"/>
      <c r="M532" s="49"/>
      <c r="N532" s="49"/>
      <c r="S532" s="2"/>
      <c r="T532" s="2"/>
    </row>
    <row r="533">
      <c r="L533" s="49"/>
      <c r="M533" s="49"/>
      <c r="N533" s="49"/>
      <c r="S533" s="2"/>
      <c r="T533" s="2"/>
    </row>
    <row r="534">
      <c r="L534" s="49"/>
      <c r="M534" s="49"/>
      <c r="N534" s="49"/>
      <c r="S534" s="2"/>
      <c r="T534" s="2"/>
    </row>
    <row r="535">
      <c r="L535" s="49"/>
      <c r="M535" s="49"/>
      <c r="N535" s="49"/>
      <c r="S535" s="2"/>
      <c r="T535" s="2"/>
    </row>
    <row r="536">
      <c r="L536" s="49"/>
      <c r="M536" s="49"/>
      <c r="N536" s="49"/>
      <c r="S536" s="2"/>
      <c r="T536" s="2"/>
    </row>
    <row r="537">
      <c r="L537" s="49"/>
      <c r="M537" s="49"/>
      <c r="N537" s="49"/>
      <c r="S537" s="2"/>
      <c r="T537" s="2"/>
    </row>
    <row r="538">
      <c r="L538" s="49"/>
      <c r="M538" s="49"/>
      <c r="N538" s="49"/>
      <c r="S538" s="2"/>
      <c r="T538" s="2"/>
    </row>
    <row r="539">
      <c r="L539" s="49"/>
      <c r="M539" s="49"/>
      <c r="N539" s="49"/>
      <c r="S539" s="2"/>
      <c r="T539" s="2"/>
    </row>
    <row r="540">
      <c r="L540" s="49"/>
      <c r="M540" s="49"/>
      <c r="N540" s="49"/>
      <c r="S540" s="2"/>
      <c r="T540" s="2"/>
    </row>
    <row r="541">
      <c r="L541" s="49"/>
      <c r="M541" s="49"/>
      <c r="N541" s="49"/>
      <c r="S541" s="2"/>
      <c r="T541" s="2"/>
    </row>
    <row r="542">
      <c r="L542" s="49"/>
      <c r="M542" s="49"/>
      <c r="N542" s="49"/>
      <c r="S542" s="2"/>
      <c r="T542" s="2"/>
    </row>
    <row r="543">
      <c r="L543" s="49"/>
      <c r="M543" s="49"/>
      <c r="N543" s="49"/>
      <c r="S543" s="2"/>
      <c r="T543" s="2"/>
    </row>
    <row r="544">
      <c r="L544" s="49"/>
      <c r="M544" s="49"/>
      <c r="N544" s="49"/>
      <c r="S544" s="2"/>
      <c r="T544" s="2"/>
    </row>
    <row r="545">
      <c r="L545" s="49"/>
      <c r="M545" s="49"/>
      <c r="N545" s="49"/>
      <c r="S545" s="2"/>
      <c r="T545" s="2"/>
    </row>
    <row r="546">
      <c r="L546" s="49"/>
      <c r="M546" s="49"/>
      <c r="N546" s="49"/>
      <c r="S546" s="2"/>
      <c r="T546" s="2"/>
    </row>
    <row r="547">
      <c r="L547" s="49"/>
      <c r="M547" s="49"/>
      <c r="N547" s="49"/>
      <c r="S547" s="2"/>
      <c r="T547" s="2"/>
    </row>
    <row r="548">
      <c r="L548" s="49"/>
      <c r="M548" s="49"/>
      <c r="N548" s="49"/>
      <c r="S548" s="2"/>
      <c r="T548" s="2"/>
    </row>
    <row r="549">
      <c r="L549" s="49"/>
      <c r="M549" s="49"/>
      <c r="N549" s="49"/>
      <c r="S549" s="2"/>
      <c r="T549" s="2"/>
    </row>
    <row r="550">
      <c r="L550" s="49"/>
      <c r="M550" s="49"/>
      <c r="N550" s="49"/>
      <c r="S550" s="2"/>
      <c r="T550" s="2"/>
    </row>
    <row r="551">
      <c r="L551" s="49"/>
      <c r="M551" s="49"/>
      <c r="N551" s="49"/>
      <c r="S551" s="2"/>
      <c r="T551" s="2"/>
    </row>
    <row r="552">
      <c r="L552" s="49"/>
      <c r="M552" s="49"/>
      <c r="N552" s="49"/>
      <c r="S552" s="2"/>
      <c r="T552" s="2"/>
    </row>
    <row r="553">
      <c r="L553" s="49"/>
      <c r="M553" s="49"/>
      <c r="N553" s="49"/>
      <c r="S553" s="2"/>
      <c r="T553" s="2"/>
    </row>
    <row r="554">
      <c r="L554" s="49"/>
      <c r="M554" s="49"/>
      <c r="N554" s="49"/>
      <c r="S554" s="2"/>
      <c r="T554" s="2"/>
    </row>
    <row r="555">
      <c r="L555" s="49"/>
      <c r="M555" s="49"/>
      <c r="N555" s="49"/>
      <c r="S555" s="2"/>
      <c r="T555" s="2"/>
    </row>
    <row r="556">
      <c r="L556" s="49"/>
      <c r="M556" s="49"/>
      <c r="N556" s="49"/>
      <c r="S556" s="2"/>
      <c r="T556" s="2"/>
    </row>
    <row r="557">
      <c r="L557" s="49"/>
      <c r="M557" s="49"/>
      <c r="N557" s="49"/>
      <c r="S557" s="2"/>
      <c r="T557" s="2"/>
    </row>
    <row r="558">
      <c r="L558" s="49"/>
      <c r="M558" s="49"/>
      <c r="N558" s="49"/>
      <c r="S558" s="2"/>
      <c r="T558" s="2"/>
    </row>
    <row r="559">
      <c r="L559" s="49"/>
      <c r="M559" s="49"/>
      <c r="N559" s="49"/>
      <c r="S559" s="2"/>
      <c r="T559" s="2"/>
    </row>
    <row r="560">
      <c r="L560" s="49"/>
      <c r="M560" s="49"/>
      <c r="N560" s="49"/>
      <c r="S560" s="2"/>
      <c r="T560" s="2"/>
    </row>
    <row r="561">
      <c r="L561" s="49"/>
      <c r="M561" s="49"/>
      <c r="N561" s="49"/>
      <c r="S561" s="2"/>
      <c r="T561" s="2"/>
    </row>
    <row r="562">
      <c r="L562" s="49"/>
      <c r="M562" s="49"/>
      <c r="N562" s="49"/>
      <c r="S562" s="2"/>
      <c r="T562" s="2"/>
    </row>
    <row r="563">
      <c r="L563" s="49"/>
      <c r="M563" s="49"/>
      <c r="N563" s="49"/>
      <c r="S563" s="2"/>
      <c r="T563" s="2"/>
    </row>
    <row r="564">
      <c r="L564" s="49"/>
      <c r="M564" s="49"/>
      <c r="N564" s="49"/>
      <c r="S564" s="2"/>
      <c r="T564" s="2"/>
    </row>
    <row r="565">
      <c r="L565" s="49"/>
      <c r="M565" s="49"/>
      <c r="N565" s="49"/>
      <c r="S565" s="2"/>
      <c r="T565" s="2"/>
    </row>
    <row r="566">
      <c r="L566" s="49"/>
      <c r="M566" s="49"/>
      <c r="N566" s="49"/>
      <c r="S566" s="2"/>
      <c r="T566" s="2"/>
    </row>
    <row r="567">
      <c r="L567" s="49"/>
      <c r="M567" s="49"/>
      <c r="N567" s="49"/>
      <c r="S567" s="2"/>
      <c r="T567" s="2"/>
    </row>
    <row r="568">
      <c r="L568" s="49"/>
      <c r="M568" s="49"/>
      <c r="N568" s="49"/>
      <c r="S568" s="2"/>
      <c r="T568" s="2"/>
    </row>
    <row r="569">
      <c r="L569" s="49"/>
      <c r="M569" s="49"/>
      <c r="N569" s="49"/>
      <c r="S569" s="2"/>
      <c r="T569" s="2"/>
    </row>
    <row r="570">
      <c r="L570" s="49"/>
      <c r="M570" s="49"/>
      <c r="N570" s="49"/>
      <c r="S570" s="2"/>
      <c r="T570" s="2"/>
    </row>
    <row r="571">
      <c r="L571" s="49"/>
      <c r="M571" s="49"/>
      <c r="N571" s="49"/>
      <c r="S571" s="2"/>
      <c r="T571" s="2"/>
    </row>
    <row r="572">
      <c r="L572" s="49"/>
      <c r="M572" s="49"/>
      <c r="N572" s="49"/>
      <c r="S572" s="2"/>
      <c r="T572" s="2"/>
    </row>
    <row r="573">
      <c r="L573" s="49"/>
      <c r="M573" s="49"/>
      <c r="N573" s="49"/>
      <c r="S573" s="2"/>
      <c r="T573" s="2"/>
    </row>
    <row r="574">
      <c r="L574" s="49"/>
      <c r="M574" s="49"/>
      <c r="N574" s="49"/>
      <c r="S574" s="2"/>
      <c r="T574" s="2"/>
    </row>
    <row r="575">
      <c r="L575" s="49"/>
      <c r="M575" s="49"/>
      <c r="N575" s="49"/>
      <c r="S575" s="2"/>
      <c r="T575" s="2"/>
    </row>
    <row r="576">
      <c r="L576" s="49"/>
      <c r="M576" s="49"/>
      <c r="N576" s="49"/>
      <c r="S576" s="2"/>
      <c r="T576" s="2"/>
    </row>
    <row r="577">
      <c r="L577" s="49"/>
      <c r="M577" s="49"/>
      <c r="N577" s="49"/>
      <c r="S577" s="2"/>
      <c r="T577" s="2"/>
    </row>
    <row r="578">
      <c r="L578" s="49"/>
      <c r="M578" s="49"/>
      <c r="N578" s="49"/>
      <c r="S578" s="2"/>
      <c r="T578" s="2"/>
    </row>
    <row r="579">
      <c r="L579" s="49"/>
      <c r="M579" s="49"/>
      <c r="N579" s="49"/>
      <c r="S579" s="2"/>
      <c r="T579" s="2"/>
    </row>
    <row r="580">
      <c r="L580" s="49"/>
      <c r="M580" s="49"/>
      <c r="N580" s="49"/>
      <c r="S580" s="2"/>
      <c r="T580" s="2"/>
    </row>
    <row r="581">
      <c r="L581" s="49"/>
      <c r="M581" s="49"/>
      <c r="N581" s="49"/>
      <c r="S581" s="2"/>
      <c r="T581" s="2"/>
    </row>
    <row r="582">
      <c r="L582" s="49"/>
      <c r="M582" s="49"/>
      <c r="N582" s="49"/>
      <c r="S582" s="2"/>
      <c r="T582" s="2"/>
    </row>
    <row r="583">
      <c r="L583" s="49"/>
      <c r="M583" s="49"/>
      <c r="N583" s="49"/>
      <c r="S583" s="2"/>
      <c r="T583" s="2"/>
    </row>
    <row r="584">
      <c r="L584" s="49"/>
      <c r="M584" s="49"/>
      <c r="N584" s="49"/>
      <c r="S584" s="2"/>
      <c r="T584" s="2"/>
    </row>
    <row r="585">
      <c r="L585" s="49"/>
      <c r="M585" s="49"/>
      <c r="N585" s="49"/>
      <c r="S585" s="2"/>
      <c r="T585" s="2"/>
    </row>
    <row r="586">
      <c r="L586" s="49"/>
      <c r="M586" s="49"/>
      <c r="N586" s="49"/>
      <c r="S586" s="2"/>
      <c r="T586" s="2"/>
    </row>
    <row r="587">
      <c r="L587" s="49"/>
      <c r="M587" s="49"/>
      <c r="N587" s="49"/>
      <c r="S587" s="2"/>
      <c r="T587" s="2"/>
    </row>
    <row r="588">
      <c r="L588" s="49"/>
      <c r="M588" s="49"/>
      <c r="N588" s="49"/>
      <c r="S588" s="2"/>
      <c r="T588" s="2"/>
    </row>
    <row r="589">
      <c r="L589" s="49"/>
      <c r="M589" s="49"/>
      <c r="N589" s="49"/>
      <c r="S589" s="2"/>
      <c r="T589" s="2"/>
    </row>
    <row r="590">
      <c r="L590" s="49"/>
      <c r="M590" s="49"/>
      <c r="N590" s="49"/>
      <c r="S590" s="2"/>
      <c r="T590" s="2"/>
    </row>
    <row r="591">
      <c r="L591" s="49"/>
      <c r="M591" s="49"/>
      <c r="N591" s="49"/>
      <c r="S591" s="2"/>
      <c r="T591" s="2"/>
    </row>
    <row r="592">
      <c r="L592" s="49"/>
      <c r="M592" s="49"/>
      <c r="N592" s="49"/>
      <c r="S592" s="2"/>
      <c r="T592" s="2"/>
    </row>
    <row r="593">
      <c r="L593" s="49"/>
      <c r="M593" s="49"/>
      <c r="N593" s="49"/>
      <c r="S593" s="2"/>
      <c r="T593" s="2"/>
    </row>
    <row r="594">
      <c r="L594" s="49"/>
      <c r="M594" s="49"/>
      <c r="N594" s="49"/>
      <c r="S594" s="2"/>
      <c r="T594" s="2"/>
    </row>
    <row r="595">
      <c r="L595" s="49"/>
      <c r="M595" s="49"/>
      <c r="N595" s="49"/>
      <c r="S595" s="2"/>
      <c r="T595" s="2"/>
    </row>
    <row r="596">
      <c r="L596" s="49"/>
      <c r="M596" s="49"/>
      <c r="N596" s="49"/>
      <c r="S596" s="2"/>
      <c r="T596" s="2"/>
    </row>
    <row r="597">
      <c r="L597" s="49"/>
      <c r="M597" s="49"/>
      <c r="N597" s="49"/>
      <c r="S597" s="2"/>
      <c r="T597" s="2"/>
    </row>
    <row r="598">
      <c r="L598" s="49"/>
      <c r="M598" s="49"/>
      <c r="N598" s="49"/>
      <c r="S598" s="2"/>
      <c r="T598" s="2"/>
    </row>
    <row r="599">
      <c r="L599" s="49"/>
      <c r="M599" s="49"/>
      <c r="N599" s="49"/>
      <c r="S599" s="2"/>
      <c r="T599" s="2"/>
    </row>
    <row r="600">
      <c r="L600" s="49"/>
      <c r="M600" s="49"/>
      <c r="N600" s="49"/>
      <c r="S600" s="2"/>
      <c r="T600" s="2"/>
    </row>
    <row r="601">
      <c r="L601" s="49"/>
      <c r="M601" s="49"/>
      <c r="N601" s="49"/>
      <c r="S601" s="2"/>
      <c r="T601" s="2"/>
    </row>
    <row r="602">
      <c r="L602" s="49"/>
      <c r="M602" s="49"/>
      <c r="N602" s="49"/>
      <c r="S602" s="2"/>
      <c r="T602" s="2"/>
    </row>
    <row r="603">
      <c r="L603" s="49"/>
      <c r="M603" s="49"/>
      <c r="N603" s="49"/>
      <c r="S603" s="2"/>
      <c r="T603" s="2"/>
    </row>
    <row r="604">
      <c r="L604" s="49"/>
      <c r="M604" s="49"/>
      <c r="N604" s="49"/>
      <c r="S604" s="2"/>
      <c r="T604" s="2"/>
    </row>
    <row r="605">
      <c r="L605" s="49"/>
      <c r="M605" s="49"/>
      <c r="N605" s="49"/>
      <c r="S605" s="2"/>
      <c r="T605" s="2"/>
    </row>
    <row r="606">
      <c r="L606" s="49"/>
      <c r="M606" s="49"/>
      <c r="N606" s="49"/>
      <c r="S606" s="2"/>
      <c r="T606" s="2"/>
    </row>
    <row r="607">
      <c r="L607" s="49"/>
      <c r="M607" s="49"/>
      <c r="N607" s="49"/>
      <c r="S607" s="2"/>
      <c r="T607" s="2"/>
    </row>
    <row r="608">
      <c r="L608" s="49"/>
      <c r="M608" s="49"/>
      <c r="N608" s="49"/>
      <c r="S608" s="2"/>
      <c r="T608" s="2"/>
    </row>
    <row r="609">
      <c r="L609" s="49"/>
      <c r="M609" s="49"/>
      <c r="N609" s="49"/>
      <c r="S609" s="2"/>
      <c r="T609" s="2"/>
    </row>
    <row r="610">
      <c r="L610" s="49"/>
      <c r="M610" s="49"/>
      <c r="N610" s="49"/>
      <c r="S610" s="2"/>
      <c r="T610" s="2"/>
    </row>
    <row r="611">
      <c r="L611" s="49"/>
      <c r="M611" s="49"/>
      <c r="N611" s="49"/>
      <c r="S611" s="2"/>
      <c r="T611" s="2"/>
    </row>
    <row r="612">
      <c r="L612" s="49"/>
      <c r="M612" s="49"/>
      <c r="N612" s="49"/>
      <c r="S612" s="2"/>
      <c r="T612" s="2"/>
    </row>
    <row r="613">
      <c r="L613" s="49"/>
      <c r="M613" s="49"/>
      <c r="N613" s="49"/>
      <c r="S613" s="2"/>
      <c r="T613" s="2"/>
    </row>
    <row r="614">
      <c r="L614" s="49"/>
      <c r="M614" s="49"/>
      <c r="N614" s="49"/>
      <c r="S614" s="2"/>
      <c r="T614" s="2"/>
    </row>
    <row r="615">
      <c r="L615" s="49"/>
      <c r="M615" s="49"/>
      <c r="N615" s="49"/>
      <c r="S615" s="2"/>
      <c r="T615" s="2"/>
    </row>
    <row r="616">
      <c r="L616" s="49"/>
      <c r="M616" s="49"/>
      <c r="N616" s="49"/>
      <c r="S616" s="2"/>
      <c r="T616" s="2"/>
    </row>
    <row r="617">
      <c r="L617" s="49"/>
      <c r="M617" s="49"/>
      <c r="N617" s="49"/>
      <c r="S617" s="2"/>
      <c r="T617" s="2"/>
    </row>
    <row r="618">
      <c r="L618" s="49"/>
      <c r="M618" s="49"/>
      <c r="N618" s="49"/>
      <c r="S618" s="2"/>
      <c r="T618" s="2"/>
    </row>
    <row r="619">
      <c r="L619" s="49"/>
      <c r="M619" s="49"/>
      <c r="N619" s="49"/>
      <c r="S619" s="2"/>
      <c r="T619" s="2"/>
    </row>
    <row r="620">
      <c r="L620" s="49"/>
      <c r="M620" s="49"/>
      <c r="N620" s="49"/>
      <c r="S620" s="2"/>
      <c r="T620" s="2"/>
    </row>
    <row r="621">
      <c r="L621" s="49"/>
      <c r="M621" s="49"/>
      <c r="N621" s="49"/>
      <c r="S621" s="2"/>
      <c r="T621" s="2"/>
    </row>
    <row r="622">
      <c r="L622" s="49"/>
      <c r="M622" s="49"/>
      <c r="N622" s="49"/>
      <c r="S622" s="2"/>
      <c r="T622" s="2"/>
    </row>
    <row r="623">
      <c r="L623" s="49"/>
      <c r="M623" s="49"/>
      <c r="N623" s="49"/>
      <c r="S623" s="2"/>
      <c r="T623" s="2"/>
    </row>
    <row r="624">
      <c r="L624" s="49"/>
      <c r="M624" s="49"/>
      <c r="N624" s="49"/>
      <c r="S624" s="2"/>
      <c r="T624" s="2"/>
    </row>
    <row r="625">
      <c r="L625" s="49"/>
      <c r="M625" s="49"/>
      <c r="N625" s="49"/>
      <c r="S625" s="2"/>
      <c r="T625" s="2"/>
    </row>
    <row r="626">
      <c r="L626" s="49"/>
      <c r="M626" s="49"/>
      <c r="N626" s="49"/>
      <c r="S626" s="2"/>
      <c r="T626" s="2"/>
    </row>
    <row r="627">
      <c r="L627" s="49"/>
      <c r="M627" s="49"/>
      <c r="N627" s="49"/>
      <c r="S627" s="2"/>
      <c r="T627" s="2"/>
    </row>
    <row r="628">
      <c r="L628" s="49"/>
      <c r="M628" s="49"/>
      <c r="N628" s="49"/>
      <c r="S628" s="2"/>
      <c r="T628" s="2"/>
    </row>
    <row r="629">
      <c r="L629" s="49"/>
      <c r="M629" s="49"/>
      <c r="N629" s="49"/>
      <c r="S629" s="2"/>
      <c r="T629" s="2"/>
    </row>
    <row r="630">
      <c r="L630" s="49"/>
      <c r="M630" s="49"/>
      <c r="N630" s="49"/>
      <c r="S630" s="2"/>
      <c r="T630" s="2"/>
    </row>
    <row r="631">
      <c r="L631" s="49"/>
      <c r="M631" s="49"/>
      <c r="N631" s="49"/>
      <c r="S631" s="2"/>
      <c r="T631" s="2"/>
    </row>
    <row r="632">
      <c r="L632" s="49"/>
      <c r="M632" s="49"/>
      <c r="N632" s="49"/>
      <c r="S632" s="2"/>
      <c r="T632" s="2"/>
    </row>
    <row r="633">
      <c r="L633" s="49"/>
      <c r="M633" s="49"/>
      <c r="N633" s="49"/>
      <c r="S633" s="2"/>
      <c r="T633" s="2"/>
    </row>
    <row r="634">
      <c r="L634" s="49"/>
      <c r="M634" s="49"/>
      <c r="N634" s="49"/>
      <c r="S634" s="2"/>
      <c r="T634" s="2"/>
    </row>
    <row r="635">
      <c r="L635" s="49"/>
      <c r="M635" s="49"/>
      <c r="N635" s="49"/>
      <c r="S635" s="2"/>
      <c r="T635" s="2"/>
    </row>
    <row r="636">
      <c r="L636" s="49"/>
      <c r="M636" s="49"/>
      <c r="N636" s="49"/>
      <c r="S636" s="2"/>
      <c r="T636" s="2"/>
    </row>
    <row r="637">
      <c r="L637" s="49"/>
      <c r="M637" s="49"/>
      <c r="N637" s="49"/>
      <c r="S637" s="2"/>
      <c r="T637" s="2"/>
    </row>
    <row r="638">
      <c r="L638" s="49"/>
      <c r="M638" s="49"/>
      <c r="N638" s="49"/>
      <c r="S638" s="2"/>
      <c r="T638" s="2"/>
    </row>
    <row r="639">
      <c r="L639" s="49"/>
      <c r="M639" s="49"/>
      <c r="N639" s="49"/>
      <c r="S639" s="2"/>
      <c r="T639" s="2"/>
    </row>
    <row r="640">
      <c r="L640" s="49"/>
      <c r="M640" s="49"/>
      <c r="N640" s="49"/>
      <c r="S640" s="2"/>
      <c r="T640" s="2"/>
    </row>
    <row r="641">
      <c r="L641" s="49"/>
      <c r="M641" s="49"/>
      <c r="N641" s="49"/>
      <c r="S641" s="2"/>
      <c r="T641" s="2"/>
    </row>
    <row r="642">
      <c r="L642" s="49"/>
      <c r="M642" s="49"/>
      <c r="N642" s="49"/>
      <c r="S642" s="2"/>
      <c r="T642" s="2"/>
    </row>
    <row r="643">
      <c r="L643" s="49"/>
      <c r="M643" s="49"/>
      <c r="N643" s="49"/>
      <c r="S643" s="2"/>
      <c r="T643" s="2"/>
    </row>
    <row r="644">
      <c r="L644" s="49"/>
      <c r="M644" s="49"/>
      <c r="N644" s="49"/>
      <c r="S644" s="2"/>
      <c r="T644" s="2"/>
    </row>
    <row r="645">
      <c r="L645" s="49"/>
      <c r="M645" s="49"/>
      <c r="N645" s="49"/>
      <c r="S645" s="2"/>
      <c r="T645" s="2"/>
    </row>
    <row r="646">
      <c r="L646" s="49"/>
      <c r="M646" s="49"/>
      <c r="N646" s="49"/>
      <c r="S646" s="2"/>
      <c r="T646" s="2"/>
    </row>
    <row r="647">
      <c r="L647" s="49"/>
      <c r="M647" s="49"/>
      <c r="N647" s="49"/>
      <c r="S647" s="2"/>
      <c r="T647" s="2"/>
    </row>
    <row r="648">
      <c r="L648" s="49"/>
      <c r="M648" s="49"/>
      <c r="N648" s="49"/>
      <c r="S648" s="2"/>
      <c r="T648" s="2"/>
    </row>
    <row r="649">
      <c r="L649" s="49"/>
      <c r="M649" s="49"/>
      <c r="N649" s="49"/>
      <c r="S649" s="2"/>
      <c r="T649" s="2"/>
    </row>
    <row r="650">
      <c r="L650" s="49"/>
      <c r="M650" s="49"/>
      <c r="N650" s="49"/>
      <c r="S650" s="2"/>
      <c r="T650" s="2"/>
    </row>
    <row r="651">
      <c r="L651" s="49"/>
      <c r="M651" s="49"/>
      <c r="N651" s="49"/>
      <c r="S651" s="2"/>
      <c r="T651" s="2"/>
    </row>
    <row r="652">
      <c r="L652" s="49"/>
      <c r="M652" s="49"/>
      <c r="N652" s="49"/>
      <c r="S652" s="2"/>
      <c r="T652" s="2"/>
    </row>
    <row r="653">
      <c r="L653" s="49"/>
      <c r="M653" s="49"/>
      <c r="N653" s="49"/>
      <c r="S653" s="2"/>
      <c r="T653" s="2"/>
    </row>
    <row r="654">
      <c r="L654" s="49"/>
      <c r="M654" s="49"/>
      <c r="N654" s="49"/>
      <c r="S654" s="2"/>
      <c r="T654" s="2"/>
    </row>
    <row r="655">
      <c r="L655" s="49"/>
      <c r="M655" s="49"/>
      <c r="N655" s="49"/>
      <c r="S655" s="2"/>
      <c r="T655" s="2"/>
    </row>
    <row r="656">
      <c r="L656" s="49"/>
      <c r="M656" s="49"/>
      <c r="N656" s="49"/>
      <c r="S656" s="2"/>
      <c r="T656" s="2"/>
    </row>
    <row r="657">
      <c r="L657" s="49"/>
      <c r="M657" s="49"/>
      <c r="N657" s="49"/>
      <c r="S657" s="2"/>
      <c r="T657" s="2"/>
    </row>
    <row r="658">
      <c r="L658" s="49"/>
      <c r="M658" s="49"/>
      <c r="N658" s="49"/>
      <c r="S658" s="2"/>
      <c r="T658" s="2"/>
    </row>
    <row r="659">
      <c r="L659" s="49"/>
      <c r="M659" s="49"/>
      <c r="N659" s="49"/>
      <c r="S659" s="2"/>
      <c r="T659" s="2"/>
    </row>
    <row r="660">
      <c r="L660" s="49"/>
      <c r="M660" s="49"/>
      <c r="N660" s="49"/>
      <c r="S660" s="2"/>
      <c r="T660" s="2"/>
    </row>
    <row r="661">
      <c r="L661" s="49"/>
      <c r="M661" s="49"/>
      <c r="N661" s="49"/>
      <c r="S661" s="2"/>
      <c r="T661" s="2"/>
    </row>
    <row r="662">
      <c r="L662" s="49"/>
      <c r="M662" s="49"/>
      <c r="N662" s="49"/>
      <c r="S662" s="2"/>
      <c r="T662" s="2"/>
    </row>
    <row r="663">
      <c r="L663" s="49"/>
      <c r="M663" s="49"/>
      <c r="N663" s="49"/>
      <c r="S663" s="2"/>
      <c r="T663" s="2"/>
    </row>
    <row r="664">
      <c r="L664" s="49"/>
      <c r="M664" s="49"/>
      <c r="N664" s="49"/>
      <c r="S664" s="2"/>
      <c r="T664" s="2"/>
    </row>
    <row r="665">
      <c r="L665" s="49"/>
      <c r="M665" s="49"/>
      <c r="N665" s="49"/>
      <c r="S665" s="2"/>
      <c r="T665" s="2"/>
    </row>
    <row r="666">
      <c r="L666" s="49"/>
      <c r="M666" s="49"/>
      <c r="N666" s="49"/>
      <c r="S666" s="2"/>
      <c r="T666" s="2"/>
    </row>
    <row r="667">
      <c r="L667" s="49"/>
      <c r="M667" s="49"/>
      <c r="N667" s="49"/>
      <c r="S667" s="2"/>
      <c r="T667" s="2"/>
    </row>
    <row r="668">
      <c r="L668" s="49"/>
      <c r="M668" s="49"/>
      <c r="N668" s="49"/>
      <c r="S668" s="2"/>
      <c r="T668" s="2"/>
    </row>
    <row r="669">
      <c r="L669" s="49"/>
      <c r="M669" s="49"/>
      <c r="N669" s="49"/>
      <c r="S669" s="2"/>
      <c r="T669" s="2"/>
    </row>
    <row r="670">
      <c r="L670" s="49"/>
      <c r="M670" s="49"/>
      <c r="N670" s="49"/>
      <c r="S670" s="2"/>
      <c r="T670" s="2"/>
    </row>
    <row r="671">
      <c r="L671" s="49"/>
      <c r="M671" s="49"/>
      <c r="N671" s="49"/>
      <c r="S671" s="2"/>
      <c r="T671" s="2"/>
    </row>
    <row r="672">
      <c r="L672" s="49"/>
      <c r="M672" s="49"/>
      <c r="N672" s="49"/>
      <c r="S672" s="2"/>
      <c r="T672" s="2"/>
    </row>
    <row r="673">
      <c r="L673" s="49"/>
      <c r="M673" s="49"/>
      <c r="N673" s="49"/>
      <c r="S673" s="2"/>
      <c r="T673" s="2"/>
    </row>
    <row r="674">
      <c r="L674" s="49"/>
      <c r="M674" s="49"/>
      <c r="N674" s="49"/>
      <c r="S674" s="2"/>
      <c r="T674" s="2"/>
    </row>
    <row r="675">
      <c r="L675" s="49"/>
      <c r="M675" s="49"/>
      <c r="N675" s="49"/>
      <c r="S675" s="2"/>
      <c r="T675" s="2"/>
    </row>
    <row r="676">
      <c r="L676" s="49"/>
      <c r="M676" s="49"/>
      <c r="N676" s="49"/>
      <c r="S676" s="2"/>
      <c r="T676" s="2"/>
    </row>
    <row r="677">
      <c r="L677" s="49"/>
      <c r="M677" s="49"/>
      <c r="N677" s="49"/>
      <c r="S677" s="2"/>
      <c r="T677" s="2"/>
    </row>
    <row r="678">
      <c r="L678" s="49"/>
      <c r="M678" s="49"/>
      <c r="N678" s="49"/>
      <c r="S678" s="2"/>
      <c r="T678" s="2"/>
    </row>
    <row r="679">
      <c r="L679" s="49"/>
      <c r="M679" s="49"/>
      <c r="N679" s="49"/>
      <c r="S679" s="2"/>
      <c r="T679" s="2"/>
    </row>
    <row r="680">
      <c r="L680" s="49"/>
      <c r="M680" s="49"/>
      <c r="N680" s="49"/>
      <c r="S680" s="2"/>
      <c r="T680" s="2"/>
    </row>
    <row r="681">
      <c r="L681" s="49"/>
      <c r="M681" s="49"/>
      <c r="N681" s="49"/>
      <c r="S681" s="2"/>
      <c r="T681" s="2"/>
    </row>
    <row r="682">
      <c r="L682" s="49"/>
      <c r="M682" s="49"/>
      <c r="N682" s="49"/>
      <c r="S682" s="2"/>
      <c r="T682" s="2"/>
    </row>
    <row r="683">
      <c r="L683" s="49"/>
      <c r="M683" s="49"/>
      <c r="N683" s="49"/>
      <c r="S683" s="2"/>
      <c r="T683" s="2"/>
    </row>
    <row r="684">
      <c r="L684" s="49"/>
      <c r="M684" s="49"/>
      <c r="N684" s="49"/>
      <c r="S684" s="2"/>
      <c r="T684" s="2"/>
    </row>
    <row r="685">
      <c r="L685" s="49"/>
      <c r="M685" s="49"/>
      <c r="N685" s="49"/>
      <c r="S685" s="2"/>
      <c r="T685" s="2"/>
    </row>
    <row r="686">
      <c r="L686" s="49"/>
      <c r="M686" s="49"/>
      <c r="N686" s="49"/>
      <c r="S686" s="2"/>
      <c r="T686" s="2"/>
    </row>
    <row r="687">
      <c r="L687" s="49"/>
      <c r="M687" s="49"/>
      <c r="N687" s="49"/>
      <c r="S687" s="2"/>
      <c r="T687" s="2"/>
    </row>
    <row r="688">
      <c r="L688" s="49"/>
      <c r="M688" s="49"/>
      <c r="N688" s="49"/>
      <c r="S688" s="2"/>
      <c r="T688" s="2"/>
    </row>
    <row r="689">
      <c r="L689" s="49"/>
      <c r="M689" s="49"/>
      <c r="N689" s="49"/>
      <c r="S689" s="2"/>
      <c r="T689" s="2"/>
    </row>
    <row r="690">
      <c r="L690" s="49"/>
      <c r="M690" s="49"/>
      <c r="N690" s="49"/>
      <c r="S690" s="2"/>
      <c r="T690" s="2"/>
    </row>
    <row r="691">
      <c r="L691" s="49"/>
      <c r="M691" s="49"/>
      <c r="N691" s="49"/>
      <c r="S691" s="2"/>
      <c r="T691" s="2"/>
    </row>
    <row r="692">
      <c r="L692" s="49"/>
      <c r="M692" s="49"/>
      <c r="N692" s="49"/>
      <c r="S692" s="2"/>
      <c r="T692" s="2"/>
    </row>
    <row r="693">
      <c r="L693" s="49"/>
      <c r="M693" s="49"/>
      <c r="N693" s="49"/>
      <c r="S693" s="2"/>
      <c r="T693" s="2"/>
    </row>
    <row r="694">
      <c r="L694" s="49"/>
      <c r="M694" s="49"/>
      <c r="N694" s="49"/>
      <c r="S694" s="2"/>
      <c r="T694" s="2"/>
    </row>
    <row r="695">
      <c r="L695" s="49"/>
      <c r="M695" s="49"/>
      <c r="N695" s="49"/>
      <c r="S695" s="2"/>
      <c r="T695" s="2"/>
    </row>
    <row r="696">
      <c r="L696" s="49"/>
      <c r="M696" s="49"/>
      <c r="N696" s="49"/>
      <c r="S696" s="2"/>
      <c r="T696" s="2"/>
    </row>
    <row r="697">
      <c r="L697" s="49"/>
      <c r="M697" s="49"/>
      <c r="N697" s="49"/>
      <c r="S697" s="2"/>
      <c r="T697" s="2"/>
    </row>
    <row r="698">
      <c r="L698" s="49"/>
      <c r="M698" s="49"/>
      <c r="N698" s="49"/>
      <c r="S698" s="2"/>
      <c r="T698" s="2"/>
    </row>
    <row r="699">
      <c r="L699" s="49"/>
      <c r="M699" s="49"/>
      <c r="N699" s="49"/>
      <c r="S699" s="2"/>
      <c r="T699" s="2"/>
    </row>
    <row r="700">
      <c r="L700" s="49"/>
      <c r="M700" s="49"/>
      <c r="N700" s="49"/>
      <c r="S700" s="2"/>
      <c r="T700" s="2"/>
    </row>
    <row r="701">
      <c r="L701" s="49"/>
      <c r="M701" s="49"/>
      <c r="N701" s="49"/>
      <c r="S701" s="2"/>
      <c r="T701" s="2"/>
    </row>
    <row r="702">
      <c r="L702" s="49"/>
      <c r="M702" s="49"/>
      <c r="N702" s="49"/>
      <c r="S702" s="2"/>
      <c r="T702" s="2"/>
    </row>
    <row r="703">
      <c r="L703" s="49"/>
      <c r="M703" s="49"/>
      <c r="N703" s="49"/>
      <c r="S703" s="2"/>
      <c r="T703" s="2"/>
    </row>
    <row r="704">
      <c r="L704" s="49"/>
      <c r="M704" s="49"/>
      <c r="N704" s="49"/>
      <c r="S704" s="2"/>
      <c r="T704" s="2"/>
    </row>
    <row r="705">
      <c r="L705" s="49"/>
      <c r="M705" s="49"/>
      <c r="N705" s="49"/>
      <c r="S705" s="2"/>
      <c r="T705" s="2"/>
    </row>
    <row r="706">
      <c r="L706" s="49"/>
      <c r="M706" s="49"/>
      <c r="N706" s="49"/>
      <c r="S706" s="2"/>
      <c r="T706" s="2"/>
    </row>
    <row r="707">
      <c r="L707" s="49"/>
      <c r="M707" s="49"/>
      <c r="N707" s="49"/>
      <c r="S707" s="2"/>
      <c r="T707" s="2"/>
    </row>
    <row r="708">
      <c r="L708" s="49"/>
      <c r="M708" s="49"/>
      <c r="N708" s="49"/>
      <c r="S708" s="2"/>
      <c r="T708" s="2"/>
    </row>
    <row r="709">
      <c r="L709" s="49"/>
      <c r="M709" s="49"/>
      <c r="N709" s="49"/>
      <c r="S709" s="2"/>
      <c r="T709" s="2"/>
    </row>
    <row r="710">
      <c r="L710" s="49"/>
      <c r="M710" s="49"/>
      <c r="N710" s="49"/>
      <c r="S710" s="2"/>
      <c r="T710" s="2"/>
    </row>
    <row r="711">
      <c r="L711" s="49"/>
      <c r="M711" s="49"/>
      <c r="N711" s="49"/>
      <c r="S711" s="2"/>
      <c r="T711" s="2"/>
    </row>
    <row r="712">
      <c r="L712" s="49"/>
      <c r="M712" s="49"/>
      <c r="N712" s="49"/>
      <c r="S712" s="2"/>
      <c r="T712" s="2"/>
    </row>
    <row r="713">
      <c r="L713" s="49"/>
      <c r="M713" s="49"/>
      <c r="N713" s="49"/>
      <c r="S713" s="2"/>
      <c r="T713" s="2"/>
    </row>
    <row r="714">
      <c r="L714" s="49"/>
      <c r="M714" s="49"/>
      <c r="N714" s="49"/>
      <c r="S714" s="2"/>
      <c r="T714" s="2"/>
    </row>
    <row r="715">
      <c r="L715" s="49"/>
      <c r="M715" s="49"/>
      <c r="N715" s="49"/>
      <c r="S715" s="2"/>
      <c r="T715" s="2"/>
    </row>
    <row r="716">
      <c r="L716" s="49"/>
      <c r="M716" s="49"/>
      <c r="N716" s="49"/>
      <c r="S716" s="2"/>
      <c r="T716" s="2"/>
    </row>
    <row r="717">
      <c r="L717" s="49"/>
      <c r="M717" s="49"/>
      <c r="N717" s="49"/>
      <c r="S717" s="2"/>
      <c r="T717" s="2"/>
    </row>
    <row r="718">
      <c r="L718" s="49"/>
      <c r="M718" s="49"/>
      <c r="N718" s="49"/>
      <c r="S718" s="2"/>
      <c r="T718" s="2"/>
    </row>
    <row r="719">
      <c r="L719" s="49"/>
      <c r="M719" s="49"/>
      <c r="N719" s="49"/>
      <c r="S719" s="2"/>
      <c r="T719" s="2"/>
    </row>
    <row r="720">
      <c r="L720" s="49"/>
      <c r="M720" s="49"/>
      <c r="N720" s="49"/>
      <c r="S720" s="2"/>
      <c r="T720" s="2"/>
    </row>
    <row r="721">
      <c r="L721" s="49"/>
      <c r="M721" s="49"/>
      <c r="N721" s="49"/>
      <c r="S721" s="2"/>
      <c r="T721" s="2"/>
    </row>
    <row r="722">
      <c r="L722" s="49"/>
      <c r="M722" s="49"/>
      <c r="N722" s="49"/>
      <c r="S722" s="2"/>
      <c r="T722" s="2"/>
    </row>
    <row r="723">
      <c r="L723" s="49"/>
      <c r="M723" s="49"/>
      <c r="N723" s="49"/>
      <c r="S723" s="2"/>
      <c r="T723" s="2"/>
    </row>
    <row r="724">
      <c r="L724" s="49"/>
      <c r="M724" s="49"/>
      <c r="N724" s="49"/>
      <c r="S724" s="2"/>
      <c r="T724" s="2"/>
    </row>
    <row r="725">
      <c r="L725" s="49"/>
      <c r="M725" s="49"/>
      <c r="N725" s="49"/>
      <c r="S725" s="2"/>
      <c r="T725" s="2"/>
    </row>
    <row r="726">
      <c r="L726" s="49"/>
      <c r="M726" s="49"/>
      <c r="N726" s="49"/>
      <c r="S726" s="2"/>
      <c r="T726" s="2"/>
    </row>
    <row r="727">
      <c r="L727" s="49"/>
      <c r="M727" s="49"/>
      <c r="N727" s="49"/>
      <c r="S727" s="2"/>
      <c r="T727" s="2"/>
    </row>
    <row r="728">
      <c r="L728" s="49"/>
      <c r="M728" s="49"/>
      <c r="N728" s="49"/>
      <c r="S728" s="2"/>
      <c r="T728" s="2"/>
    </row>
    <row r="729">
      <c r="L729" s="49"/>
      <c r="M729" s="49"/>
      <c r="N729" s="49"/>
      <c r="S729" s="2"/>
      <c r="T729" s="2"/>
    </row>
    <row r="730">
      <c r="L730" s="49"/>
      <c r="M730" s="49"/>
      <c r="N730" s="49"/>
      <c r="S730" s="2"/>
      <c r="T730" s="2"/>
    </row>
    <row r="731">
      <c r="L731" s="49"/>
      <c r="M731" s="49"/>
      <c r="N731" s="49"/>
      <c r="S731" s="2"/>
      <c r="T731" s="2"/>
    </row>
    <row r="732">
      <c r="L732" s="49"/>
      <c r="M732" s="49"/>
      <c r="N732" s="49"/>
      <c r="S732" s="2"/>
      <c r="T732" s="2"/>
    </row>
    <row r="733">
      <c r="L733" s="49"/>
      <c r="M733" s="49"/>
      <c r="N733" s="49"/>
      <c r="S733" s="2"/>
      <c r="T733" s="2"/>
    </row>
    <row r="734">
      <c r="L734" s="49"/>
      <c r="M734" s="49"/>
      <c r="N734" s="49"/>
      <c r="S734" s="2"/>
      <c r="T734" s="2"/>
    </row>
    <row r="735">
      <c r="L735" s="49"/>
      <c r="M735" s="49"/>
      <c r="N735" s="49"/>
      <c r="S735" s="2"/>
      <c r="T735" s="2"/>
    </row>
    <row r="736">
      <c r="L736" s="49"/>
      <c r="M736" s="49"/>
      <c r="N736" s="49"/>
      <c r="S736" s="2"/>
      <c r="T736" s="2"/>
    </row>
    <row r="737">
      <c r="L737" s="49"/>
      <c r="M737" s="49"/>
      <c r="N737" s="49"/>
      <c r="S737" s="2"/>
      <c r="T737" s="2"/>
    </row>
    <row r="738">
      <c r="L738" s="49"/>
      <c r="M738" s="49"/>
      <c r="N738" s="49"/>
      <c r="S738" s="2"/>
      <c r="T738" s="2"/>
    </row>
    <row r="739">
      <c r="L739" s="49"/>
      <c r="M739" s="49"/>
      <c r="N739" s="49"/>
      <c r="S739" s="2"/>
      <c r="T739" s="2"/>
    </row>
    <row r="740">
      <c r="L740" s="49"/>
      <c r="M740" s="49"/>
      <c r="N740" s="49"/>
      <c r="S740" s="2"/>
      <c r="T740" s="2"/>
    </row>
    <row r="741">
      <c r="L741" s="49"/>
      <c r="M741" s="49"/>
      <c r="N741" s="49"/>
      <c r="S741" s="2"/>
      <c r="T741" s="2"/>
    </row>
    <row r="742">
      <c r="L742" s="49"/>
      <c r="M742" s="49"/>
      <c r="N742" s="49"/>
      <c r="S742" s="2"/>
      <c r="T742" s="2"/>
    </row>
    <row r="743">
      <c r="L743" s="49"/>
      <c r="M743" s="49"/>
      <c r="N743" s="49"/>
      <c r="S743" s="2"/>
      <c r="T743" s="2"/>
    </row>
    <row r="744">
      <c r="L744" s="49"/>
      <c r="M744" s="49"/>
      <c r="N744" s="49"/>
      <c r="S744" s="2"/>
      <c r="T744" s="2"/>
    </row>
    <row r="745">
      <c r="L745" s="49"/>
      <c r="M745" s="49"/>
      <c r="N745" s="49"/>
      <c r="S745" s="2"/>
      <c r="T745" s="2"/>
    </row>
    <row r="746">
      <c r="L746" s="49"/>
      <c r="M746" s="49"/>
      <c r="N746" s="49"/>
      <c r="S746" s="2"/>
      <c r="T746" s="2"/>
    </row>
    <row r="747">
      <c r="L747" s="49"/>
      <c r="M747" s="49"/>
      <c r="N747" s="49"/>
      <c r="S747" s="2"/>
      <c r="T747" s="2"/>
    </row>
    <row r="748">
      <c r="L748" s="49"/>
      <c r="M748" s="49"/>
      <c r="N748" s="49"/>
      <c r="S748" s="2"/>
      <c r="T748" s="2"/>
    </row>
    <row r="749">
      <c r="L749" s="49"/>
      <c r="M749" s="49"/>
      <c r="N749" s="49"/>
      <c r="S749" s="2"/>
      <c r="T749" s="2"/>
    </row>
    <row r="750">
      <c r="L750" s="49"/>
      <c r="M750" s="49"/>
      <c r="N750" s="49"/>
      <c r="S750" s="2"/>
      <c r="T750" s="2"/>
    </row>
    <row r="751">
      <c r="L751" s="49"/>
      <c r="M751" s="49"/>
      <c r="N751" s="49"/>
      <c r="S751" s="2"/>
      <c r="T751" s="2"/>
    </row>
    <row r="752">
      <c r="L752" s="49"/>
      <c r="M752" s="49"/>
      <c r="N752" s="49"/>
      <c r="S752" s="2"/>
      <c r="T752" s="2"/>
    </row>
    <row r="753">
      <c r="L753" s="49"/>
      <c r="M753" s="49"/>
      <c r="N753" s="49"/>
      <c r="S753" s="2"/>
      <c r="T753" s="2"/>
    </row>
    <row r="754">
      <c r="L754" s="49"/>
      <c r="M754" s="49"/>
      <c r="N754" s="49"/>
      <c r="S754" s="2"/>
      <c r="T754" s="2"/>
    </row>
    <row r="755">
      <c r="L755" s="49"/>
      <c r="M755" s="49"/>
      <c r="N755" s="49"/>
      <c r="S755" s="2"/>
      <c r="T755" s="2"/>
    </row>
    <row r="756">
      <c r="L756" s="49"/>
      <c r="M756" s="49"/>
      <c r="N756" s="49"/>
      <c r="S756" s="2"/>
      <c r="T756" s="2"/>
    </row>
    <row r="757">
      <c r="L757" s="49"/>
      <c r="M757" s="49"/>
      <c r="N757" s="49"/>
      <c r="S757" s="2"/>
      <c r="T757" s="2"/>
    </row>
    <row r="758">
      <c r="L758" s="49"/>
      <c r="M758" s="49"/>
      <c r="N758" s="49"/>
      <c r="S758" s="2"/>
      <c r="T758" s="2"/>
    </row>
    <row r="759">
      <c r="L759" s="49"/>
      <c r="M759" s="49"/>
      <c r="N759" s="49"/>
      <c r="S759" s="2"/>
      <c r="T759" s="2"/>
    </row>
    <row r="760">
      <c r="L760" s="49"/>
      <c r="M760" s="49"/>
      <c r="N760" s="49"/>
      <c r="S760" s="2"/>
      <c r="T760" s="2"/>
    </row>
    <row r="761">
      <c r="L761" s="49"/>
      <c r="M761" s="49"/>
      <c r="N761" s="49"/>
      <c r="S761" s="2"/>
      <c r="T761" s="2"/>
    </row>
    <row r="762">
      <c r="L762" s="49"/>
      <c r="M762" s="49"/>
      <c r="N762" s="49"/>
      <c r="S762" s="2"/>
      <c r="T762" s="2"/>
    </row>
    <row r="763">
      <c r="L763" s="49"/>
      <c r="M763" s="49"/>
      <c r="N763" s="49"/>
      <c r="S763" s="2"/>
      <c r="T763" s="2"/>
    </row>
    <row r="764">
      <c r="L764" s="49"/>
      <c r="M764" s="49"/>
      <c r="N764" s="49"/>
      <c r="S764" s="2"/>
      <c r="T764" s="2"/>
    </row>
    <row r="765">
      <c r="L765" s="49"/>
      <c r="M765" s="49"/>
      <c r="N765" s="49"/>
      <c r="S765" s="2"/>
      <c r="T765" s="2"/>
    </row>
    <row r="766">
      <c r="L766" s="49"/>
      <c r="M766" s="49"/>
      <c r="N766" s="49"/>
      <c r="S766" s="2"/>
      <c r="T766" s="2"/>
    </row>
    <row r="767">
      <c r="L767" s="49"/>
      <c r="M767" s="49"/>
      <c r="N767" s="49"/>
      <c r="S767" s="2"/>
      <c r="T767" s="2"/>
    </row>
    <row r="768">
      <c r="L768" s="49"/>
      <c r="M768" s="49"/>
      <c r="N768" s="49"/>
      <c r="S768" s="2"/>
      <c r="T768" s="2"/>
    </row>
    <row r="769">
      <c r="L769" s="49"/>
      <c r="M769" s="49"/>
      <c r="N769" s="49"/>
      <c r="S769" s="2"/>
      <c r="T769" s="2"/>
    </row>
    <row r="770">
      <c r="L770" s="49"/>
      <c r="M770" s="49"/>
      <c r="N770" s="49"/>
      <c r="S770" s="2"/>
      <c r="T770" s="2"/>
    </row>
    <row r="771">
      <c r="L771" s="49"/>
      <c r="M771" s="49"/>
      <c r="N771" s="49"/>
      <c r="S771" s="2"/>
      <c r="T771" s="2"/>
    </row>
    <row r="772">
      <c r="L772" s="49"/>
      <c r="M772" s="49"/>
      <c r="N772" s="49"/>
      <c r="S772" s="2"/>
      <c r="T772" s="2"/>
    </row>
    <row r="773">
      <c r="L773" s="49"/>
      <c r="M773" s="49"/>
      <c r="N773" s="49"/>
      <c r="S773" s="2"/>
      <c r="T773" s="2"/>
    </row>
    <row r="774">
      <c r="L774" s="49"/>
      <c r="M774" s="49"/>
      <c r="N774" s="49"/>
      <c r="S774" s="2"/>
      <c r="T774" s="2"/>
    </row>
    <row r="775">
      <c r="L775" s="49"/>
      <c r="M775" s="49"/>
      <c r="N775" s="49"/>
      <c r="S775" s="2"/>
      <c r="T775" s="2"/>
    </row>
    <row r="776">
      <c r="L776" s="49"/>
      <c r="M776" s="49"/>
      <c r="N776" s="49"/>
      <c r="S776" s="2"/>
      <c r="T776" s="2"/>
    </row>
    <row r="777">
      <c r="L777" s="49"/>
      <c r="M777" s="49"/>
      <c r="N777" s="49"/>
      <c r="S777" s="2"/>
      <c r="T777" s="2"/>
    </row>
    <row r="778">
      <c r="L778" s="49"/>
      <c r="M778" s="49"/>
      <c r="N778" s="49"/>
      <c r="S778" s="2"/>
      <c r="T778" s="2"/>
    </row>
    <row r="779">
      <c r="L779" s="49"/>
      <c r="M779" s="49"/>
      <c r="N779" s="49"/>
      <c r="S779" s="2"/>
      <c r="T779" s="2"/>
    </row>
    <row r="780">
      <c r="L780" s="49"/>
      <c r="M780" s="49"/>
      <c r="N780" s="49"/>
      <c r="S780" s="2"/>
      <c r="T780" s="2"/>
    </row>
    <row r="781">
      <c r="L781" s="49"/>
      <c r="M781" s="49"/>
      <c r="N781" s="49"/>
      <c r="S781" s="2"/>
      <c r="T781" s="2"/>
    </row>
    <row r="782">
      <c r="L782" s="49"/>
      <c r="M782" s="49"/>
      <c r="N782" s="49"/>
      <c r="S782" s="2"/>
      <c r="T782" s="2"/>
    </row>
    <row r="783">
      <c r="L783" s="49"/>
      <c r="M783" s="49"/>
      <c r="N783" s="49"/>
      <c r="S783" s="2"/>
      <c r="T783" s="2"/>
    </row>
    <row r="784">
      <c r="L784" s="49"/>
      <c r="M784" s="49"/>
      <c r="N784" s="49"/>
      <c r="S784" s="2"/>
      <c r="T784" s="2"/>
    </row>
    <row r="785">
      <c r="L785" s="49"/>
      <c r="M785" s="49"/>
      <c r="N785" s="49"/>
      <c r="S785" s="2"/>
      <c r="T785" s="2"/>
    </row>
    <row r="786">
      <c r="L786" s="49"/>
      <c r="M786" s="49"/>
      <c r="N786" s="49"/>
      <c r="S786" s="2"/>
      <c r="T786" s="2"/>
    </row>
    <row r="787">
      <c r="L787" s="49"/>
      <c r="M787" s="49"/>
      <c r="N787" s="49"/>
      <c r="S787" s="2"/>
      <c r="T787" s="2"/>
    </row>
    <row r="788">
      <c r="L788" s="49"/>
      <c r="M788" s="49"/>
      <c r="N788" s="49"/>
      <c r="S788" s="2"/>
      <c r="T788" s="2"/>
    </row>
    <row r="789">
      <c r="L789" s="49"/>
      <c r="M789" s="49"/>
      <c r="N789" s="49"/>
      <c r="S789" s="2"/>
      <c r="T789" s="2"/>
    </row>
    <row r="790">
      <c r="L790" s="49"/>
      <c r="M790" s="49"/>
      <c r="N790" s="49"/>
      <c r="S790" s="2"/>
      <c r="T790" s="2"/>
    </row>
    <row r="791">
      <c r="L791" s="49"/>
      <c r="M791" s="49"/>
      <c r="N791" s="49"/>
      <c r="S791" s="2"/>
      <c r="T791" s="2"/>
    </row>
    <row r="792">
      <c r="L792" s="49"/>
      <c r="M792" s="49"/>
      <c r="N792" s="49"/>
      <c r="S792" s="2"/>
      <c r="T792" s="2"/>
    </row>
    <row r="793">
      <c r="L793" s="49"/>
      <c r="M793" s="49"/>
      <c r="N793" s="49"/>
      <c r="S793" s="2"/>
      <c r="T793" s="2"/>
    </row>
    <row r="794">
      <c r="L794" s="49"/>
      <c r="M794" s="49"/>
      <c r="N794" s="49"/>
      <c r="S794" s="2"/>
      <c r="T794" s="2"/>
    </row>
    <row r="795">
      <c r="L795" s="49"/>
      <c r="M795" s="49"/>
      <c r="N795" s="49"/>
      <c r="S795" s="2"/>
      <c r="T795" s="2"/>
    </row>
    <row r="796">
      <c r="L796" s="49"/>
      <c r="M796" s="49"/>
      <c r="N796" s="49"/>
      <c r="S796" s="2"/>
      <c r="T796" s="2"/>
    </row>
    <row r="797">
      <c r="L797" s="49"/>
      <c r="M797" s="49"/>
      <c r="N797" s="49"/>
      <c r="S797" s="2"/>
      <c r="T797" s="2"/>
    </row>
    <row r="798">
      <c r="L798" s="49"/>
      <c r="M798" s="49"/>
      <c r="N798" s="49"/>
      <c r="S798" s="2"/>
      <c r="T798" s="2"/>
    </row>
    <row r="799">
      <c r="L799" s="49"/>
      <c r="M799" s="49"/>
      <c r="N799" s="49"/>
      <c r="S799" s="2"/>
      <c r="T799" s="2"/>
    </row>
    <row r="800">
      <c r="L800" s="49"/>
      <c r="M800" s="49"/>
      <c r="N800" s="49"/>
      <c r="S800" s="2"/>
      <c r="T800" s="2"/>
    </row>
    <row r="801">
      <c r="L801" s="49"/>
      <c r="M801" s="49"/>
      <c r="N801" s="49"/>
      <c r="S801" s="2"/>
      <c r="T801" s="2"/>
    </row>
    <row r="802">
      <c r="L802" s="49"/>
      <c r="M802" s="49"/>
      <c r="N802" s="49"/>
      <c r="S802" s="2"/>
      <c r="T802" s="2"/>
    </row>
    <row r="803">
      <c r="L803" s="49"/>
      <c r="M803" s="49"/>
      <c r="N803" s="49"/>
      <c r="S803" s="2"/>
      <c r="T803" s="2"/>
    </row>
    <row r="804">
      <c r="L804" s="49"/>
      <c r="M804" s="49"/>
      <c r="N804" s="49"/>
      <c r="S804" s="2"/>
      <c r="T804" s="2"/>
    </row>
    <row r="805">
      <c r="L805" s="49"/>
      <c r="M805" s="49"/>
      <c r="N805" s="49"/>
      <c r="S805" s="2"/>
      <c r="T805" s="2"/>
    </row>
    <row r="806">
      <c r="L806" s="49"/>
      <c r="M806" s="49"/>
      <c r="N806" s="49"/>
      <c r="S806" s="2"/>
      <c r="T806" s="2"/>
    </row>
    <row r="807">
      <c r="L807" s="49"/>
      <c r="M807" s="49"/>
      <c r="N807" s="49"/>
      <c r="S807" s="2"/>
      <c r="T807" s="2"/>
    </row>
    <row r="808">
      <c r="L808" s="49"/>
      <c r="M808" s="49"/>
      <c r="N808" s="49"/>
      <c r="S808" s="2"/>
      <c r="T808" s="2"/>
    </row>
    <row r="809">
      <c r="L809" s="49"/>
      <c r="M809" s="49"/>
      <c r="N809" s="49"/>
      <c r="S809" s="2"/>
      <c r="T809" s="2"/>
    </row>
    <row r="810">
      <c r="L810" s="49"/>
      <c r="M810" s="49"/>
      <c r="N810" s="49"/>
      <c r="S810" s="2"/>
      <c r="T810" s="2"/>
    </row>
    <row r="811">
      <c r="L811" s="49"/>
      <c r="M811" s="49"/>
      <c r="N811" s="49"/>
      <c r="S811" s="2"/>
      <c r="T811" s="2"/>
    </row>
    <row r="812">
      <c r="L812" s="49"/>
      <c r="M812" s="49"/>
      <c r="N812" s="49"/>
      <c r="S812" s="2"/>
      <c r="T812" s="2"/>
    </row>
    <row r="813">
      <c r="L813" s="49"/>
      <c r="M813" s="49"/>
      <c r="N813" s="49"/>
      <c r="S813" s="2"/>
      <c r="T813" s="2"/>
    </row>
    <row r="814">
      <c r="L814" s="49"/>
      <c r="M814" s="49"/>
      <c r="N814" s="49"/>
      <c r="S814" s="2"/>
      <c r="T814" s="2"/>
    </row>
    <row r="815">
      <c r="L815" s="49"/>
      <c r="M815" s="49"/>
      <c r="N815" s="49"/>
      <c r="S815" s="2"/>
      <c r="T815" s="2"/>
    </row>
    <row r="816">
      <c r="L816" s="49"/>
      <c r="M816" s="49"/>
      <c r="N816" s="49"/>
      <c r="S816" s="2"/>
      <c r="T816" s="2"/>
    </row>
    <row r="817">
      <c r="L817" s="49"/>
      <c r="M817" s="49"/>
      <c r="N817" s="49"/>
      <c r="S817" s="2"/>
      <c r="T817" s="2"/>
    </row>
    <row r="818">
      <c r="L818" s="49"/>
      <c r="M818" s="49"/>
      <c r="N818" s="49"/>
      <c r="S818" s="2"/>
      <c r="T818" s="2"/>
    </row>
    <row r="819">
      <c r="L819" s="49"/>
      <c r="M819" s="49"/>
      <c r="N819" s="49"/>
      <c r="S819" s="2"/>
      <c r="T819" s="2"/>
    </row>
    <row r="820">
      <c r="L820" s="49"/>
      <c r="M820" s="49"/>
      <c r="N820" s="49"/>
      <c r="S820" s="2"/>
      <c r="T820" s="2"/>
    </row>
    <row r="821">
      <c r="L821" s="49"/>
      <c r="M821" s="49"/>
      <c r="N821" s="49"/>
      <c r="S821" s="2"/>
      <c r="T821" s="2"/>
    </row>
    <row r="822">
      <c r="L822" s="49"/>
      <c r="M822" s="49"/>
      <c r="N822" s="49"/>
      <c r="S822" s="2"/>
      <c r="T822" s="2"/>
    </row>
    <row r="823">
      <c r="L823" s="49"/>
      <c r="M823" s="49"/>
      <c r="N823" s="49"/>
      <c r="S823" s="2"/>
      <c r="T823" s="2"/>
    </row>
    <row r="824">
      <c r="L824" s="49"/>
      <c r="M824" s="49"/>
      <c r="N824" s="49"/>
      <c r="S824" s="2"/>
      <c r="T824" s="2"/>
    </row>
    <row r="825">
      <c r="L825" s="49"/>
      <c r="M825" s="49"/>
      <c r="N825" s="49"/>
      <c r="S825" s="2"/>
      <c r="T825" s="2"/>
    </row>
    <row r="826">
      <c r="L826" s="49"/>
      <c r="M826" s="49"/>
      <c r="N826" s="49"/>
      <c r="S826" s="2"/>
      <c r="T826" s="2"/>
    </row>
    <row r="827">
      <c r="L827" s="49"/>
      <c r="M827" s="49"/>
      <c r="N827" s="49"/>
      <c r="S827" s="2"/>
      <c r="T827" s="2"/>
    </row>
    <row r="828">
      <c r="L828" s="49"/>
      <c r="M828" s="49"/>
      <c r="N828" s="49"/>
      <c r="S828" s="2"/>
      <c r="T828" s="2"/>
    </row>
    <row r="829">
      <c r="L829" s="49"/>
      <c r="M829" s="49"/>
      <c r="N829" s="49"/>
      <c r="S829" s="2"/>
      <c r="T829" s="2"/>
    </row>
    <row r="830">
      <c r="L830" s="49"/>
      <c r="M830" s="49"/>
      <c r="N830" s="49"/>
      <c r="S830" s="2"/>
      <c r="T830" s="2"/>
    </row>
    <row r="831">
      <c r="L831" s="49"/>
      <c r="M831" s="49"/>
      <c r="N831" s="49"/>
      <c r="S831" s="2"/>
      <c r="T831" s="2"/>
    </row>
    <row r="832">
      <c r="L832" s="49"/>
      <c r="M832" s="49"/>
      <c r="N832" s="49"/>
      <c r="S832" s="2"/>
      <c r="T832" s="2"/>
    </row>
    <row r="833">
      <c r="L833" s="49"/>
      <c r="M833" s="49"/>
      <c r="N833" s="49"/>
      <c r="S833" s="2"/>
      <c r="T833" s="2"/>
    </row>
    <row r="834">
      <c r="L834" s="49"/>
      <c r="M834" s="49"/>
      <c r="N834" s="49"/>
      <c r="S834" s="2"/>
      <c r="T834" s="2"/>
    </row>
    <row r="835">
      <c r="L835" s="49"/>
      <c r="M835" s="49"/>
      <c r="N835" s="49"/>
      <c r="S835" s="2"/>
      <c r="T835" s="2"/>
    </row>
    <row r="836">
      <c r="L836" s="49"/>
      <c r="M836" s="49"/>
      <c r="N836" s="49"/>
      <c r="S836" s="2"/>
      <c r="T836" s="2"/>
    </row>
    <row r="837">
      <c r="L837" s="49"/>
      <c r="M837" s="49"/>
      <c r="N837" s="49"/>
      <c r="S837" s="2"/>
      <c r="T837" s="2"/>
    </row>
    <row r="838">
      <c r="L838" s="49"/>
      <c r="M838" s="49"/>
      <c r="N838" s="49"/>
      <c r="S838" s="2"/>
      <c r="T838" s="2"/>
    </row>
    <row r="839">
      <c r="L839" s="49"/>
      <c r="M839" s="49"/>
      <c r="N839" s="49"/>
      <c r="S839" s="2"/>
      <c r="T839" s="2"/>
    </row>
    <row r="840">
      <c r="L840" s="49"/>
      <c r="M840" s="49"/>
      <c r="N840" s="49"/>
      <c r="S840" s="2"/>
      <c r="T840" s="2"/>
    </row>
    <row r="841">
      <c r="L841" s="49"/>
      <c r="M841" s="49"/>
      <c r="N841" s="49"/>
      <c r="S841" s="2"/>
      <c r="T841" s="2"/>
    </row>
    <row r="842">
      <c r="L842" s="49"/>
      <c r="M842" s="49"/>
      <c r="N842" s="49"/>
      <c r="S842" s="2"/>
      <c r="T842" s="2"/>
    </row>
    <row r="843">
      <c r="L843" s="49"/>
      <c r="M843" s="49"/>
      <c r="N843" s="49"/>
      <c r="S843" s="2"/>
      <c r="T843" s="2"/>
    </row>
    <row r="844">
      <c r="L844" s="49"/>
      <c r="M844" s="49"/>
      <c r="N844" s="49"/>
      <c r="S844" s="2"/>
      <c r="T844" s="2"/>
    </row>
    <row r="845">
      <c r="L845" s="49"/>
      <c r="M845" s="49"/>
      <c r="N845" s="49"/>
      <c r="S845" s="2"/>
      <c r="T845" s="2"/>
    </row>
    <row r="846">
      <c r="L846" s="49"/>
      <c r="M846" s="49"/>
      <c r="N846" s="49"/>
      <c r="S846" s="2"/>
      <c r="T846" s="2"/>
    </row>
    <row r="847">
      <c r="L847" s="49"/>
      <c r="M847" s="49"/>
      <c r="N847" s="49"/>
      <c r="S847" s="2"/>
      <c r="T847" s="2"/>
    </row>
    <row r="848">
      <c r="L848" s="49"/>
      <c r="M848" s="49"/>
      <c r="N848" s="49"/>
      <c r="S848" s="2"/>
      <c r="T848" s="2"/>
    </row>
    <row r="849">
      <c r="L849" s="49"/>
      <c r="M849" s="49"/>
      <c r="N849" s="49"/>
      <c r="S849" s="2"/>
      <c r="T849" s="2"/>
    </row>
    <row r="850">
      <c r="L850" s="49"/>
      <c r="M850" s="49"/>
      <c r="N850" s="49"/>
      <c r="S850" s="2"/>
      <c r="T850" s="2"/>
    </row>
    <row r="851">
      <c r="L851" s="49"/>
      <c r="M851" s="49"/>
      <c r="N851" s="49"/>
      <c r="S851" s="2"/>
      <c r="T851" s="2"/>
    </row>
    <row r="852">
      <c r="L852" s="49"/>
      <c r="M852" s="49"/>
      <c r="N852" s="49"/>
      <c r="S852" s="2"/>
      <c r="T852" s="2"/>
    </row>
    <row r="853">
      <c r="L853" s="49"/>
      <c r="M853" s="49"/>
      <c r="N853" s="49"/>
      <c r="S853" s="2"/>
      <c r="T853" s="2"/>
    </row>
    <row r="854">
      <c r="L854" s="49"/>
      <c r="M854" s="49"/>
      <c r="N854" s="49"/>
      <c r="S854" s="2"/>
      <c r="T854" s="2"/>
    </row>
    <row r="855">
      <c r="L855" s="49"/>
      <c r="M855" s="49"/>
      <c r="N855" s="49"/>
      <c r="S855" s="2"/>
      <c r="T855" s="2"/>
    </row>
    <row r="856">
      <c r="L856" s="49"/>
      <c r="M856" s="49"/>
      <c r="N856" s="49"/>
      <c r="S856" s="2"/>
      <c r="T856" s="2"/>
    </row>
    <row r="857">
      <c r="L857" s="49"/>
      <c r="M857" s="49"/>
      <c r="N857" s="49"/>
      <c r="S857" s="2"/>
      <c r="T857" s="2"/>
    </row>
    <row r="858">
      <c r="L858" s="49"/>
      <c r="M858" s="49"/>
      <c r="N858" s="49"/>
      <c r="S858" s="2"/>
      <c r="T858" s="2"/>
    </row>
    <row r="859">
      <c r="L859" s="49"/>
      <c r="M859" s="49"/>
      <c r="N859" s="49"/>
      <c r="S859" s="2"/>
      <c r="T859" s="2"/>
    </row>
    <row r="860">
      <c r="L860" s="49"/>
      <c r="M860" s="49"/>
      <c r="N860" s="49"/>
      <c r="S860" s="2"/>
      <c r="T860" s="2"/>
    </row>
    <row r="861">
      <c r="L861" s="49"/>
      <c r="M861" s="49"/>
      <c r="N861" s="49"/>
      <c r="S861" s="2"/>
      <c r="T861" s="2"/>
    </row>
    <row r="862">
      <c r="L862" s="49"/>
      <c r="M862" s="49"/>
      <c r="N862" s="49"/>
      <c r="S862" s="2"/>
      <c r="T862" s="2"/>
    </row>
    <row r="863">
      <c r="L863" s="49"/>
      <c r="M863" s="49"/>
      <c r="N863" s="49"/>
      <c r="S863" s="2"/>
      <c r="T863" s="2"/>
    </row>
    <row r="864">
      <c r="L864" s="49"/>
      <c r="M864" s="49"/>
      <c r="N864" s="49"/>
      <c r="S864" s="2"/>
      <c r="T864" s="2"/>
    </row>
    <row r="865">
      <c r="L865" s="49"/>
      <c r="M865" s="49"/>
      <c r="N865" s="49"/>
      <c r="S865" s="2"/>
      <c r="T865" s="2"/>
    </row>
    <row r="866">
      <c r="L866" s="49"/>
      <c r="M866" s="49"/>
      <c r="N866" s="49"/>
      <c r="S866" s="2"/>
      <c r="T866" s="2"/>
    </row>
    <row r="867">
      <c r="L867" s="49"/>
      <c r="M867" s="49"/>
      <c r="N867" s="49"/>
      <c r="S867" s="2"/>
      <c r="T867" s="2"/>
    </row>
    <row r="868">
      <c r="L868" s="49"/>
      <c r="M868" s="49"/>
      <c r="N868" s="49"/>
      <c r="S868" s="2"/>
      <c r="T868" s="2"/>
    </row>
    <row r="869">
      <c r="L869" s="49"/>
      <c r="M869" s="49"/>
      <c r="N869" s="49"/>
      <c r="S869" s="2"/>
      <c r="T869" s="2"/>
    </row>
    <row r="870">
      <c r="L870" s="49"/>
      <c r="M870" s="49"/>
      <c r="N870" s="49"/>
      <c r="S870" s="2"/>
      <c r="T870" s="2"/>
    </row>
    <row r="871">
      <c r="L871" s="49"/>
      <c r="M871" s="49"/>
      <c r="N871" s="49"/>
      <c r="S871" s="2"/>
      <c r="T871" s="2"/>
    </row>
    <row r="872">
      <c r="L872" s="49"/>
      <c r="M872" s="49"/>
      <c r="N872" s="49"/>
      <c r="S872" s="2"/>
      <c r="T872" s="2"/>
    </row>
    <row r="873">
      <c r="L873" s="49"/>
      <c r="M873" s="49"/>
      <c r="N873" s="49"/>
      <c r="S873" s="2"/>
      <c r="T873" s="2"/>
    </row>
    <row r="874">
      <c r="L874" s="49"/>
      <c r="M874" s="49"/>
      <c r="N874" s="49"/>
      <c r="S874" s="2"/>
      <c r="T874" s="2"/>
    </row>
    <row r="875">
      <c r="L875" s="49"/>
      <c r="M875" s="49"/>
      <c r="N875" s="49"/>
      <c r="S875" s="2"/>
      <c r="T875" s="2"/>
    </row>
    <row r="876">
      <c r="L876" s="49"/>
      <c r="M876" s="49"/>
      <c r="N876" s="49"/>
      <c r="S876" s="2"/>
      <c r="T876" s="2"/>
    </row>
    <row r="877">
      <c r="L877" s="49"/>
      <c r="M877" s="49"/>
      <c r="N877" s="49"/>
      <c r="S877" s="2"/>
      <c r="T877" s="2"/>
    </row>
    <row r="878">
      <c r="L878" s="49"/>
      <c r="M878" s="49"/>
      <c r="N878" s="49"/>
      <c r="S878" s="2"/>
      <c r="T878" s="2"/>
    </row>
    <row r="879">
      <c r="L879" s="49"/>
      <c r="M879" s="49"/>
      <c r="N879" s="49"/>
      <c r="S879" s="2"/>
      <c r="T879" s="2"/>
    </row>
    <row r="880">
      <c r="L880" s="49"/>
      <c r="M880" s="49"/>
      <c r="N880" s="49"/>
      <c r="S880" s="2"/>
      <c r="T880" s="2"/>
    </row>
    <row r="881">
      <c r="L881" s="49"/>
      <c r="M881" s="49"/>
      <c r="N881" s="49"/>
      <c r="S881" s="2"/>
      <c r="T881" s="2"/>
    </row>
    <row r="882">
      <c r="L882" s="49"/>
      <c r="M882" s="49"/>
      <c r="N882" s="49"/>
      <c r="S882" s="2"/>
      <c r="T882" s="2"/>
    </row>
    <row r="883">
      <c r="L883" s="49"/>
      <c r="M883" s="49"/>
      <c r="N883" s="49"/>
      <c r="S883" s="2"/>
      <c r="T883" s="2"/>
    </row>
    <row r="884">
      <c r="L884" s="49"/>
      <c r="M884" s="49"/>
      <c r="N884" s="49"/>
      <c r="S884" s="2"/>
      <c r="T884" s="2"/>
    </row>
    <row r="885">
      <c r="L885" s="49"/>
      <c r="M885" s="49"/>
      <c r="N885" s="49"/>
      <c r="S885" s="2"/>
      <c r="T885" s="2"/>
    </row>
    <row r="886">
      <c r="L886" s="49"/>
      <c r="M886" s="49"/>
      <c r="N886" s="49"/>
      <c r="S886" s="2"/>
      <c r="T886" s="2"/>
    </row>
    <row r="887">
      <c r="L887" s="49"/>
      <c r="M887" s="49"/>
      <c r="N887" s="49"/>
      <c r="S887" s="2"/>
      <c r="T887" s="2"/>
    </row>
    <row r="888">
      <c r="L888" s="49"/>
      <c r="M888" s="49"/>
      <c r="N888" s="49"/>
      <c r="S888" s="2"/>
      <c r="T888" s="2"/>
    </row>
    <row r="889">
      <c r="L889" s="49"/>
      <c r="M889" s="49"/>
      <c r="N889" s="49"/>
      <c r="S889" s="2"/>
      <c r="T889" s="2"/>
    </row>
    <row r="890">
      <c r="L890" s="49"/>
      <c r="M890" s="49"/>
      <c r="N890" s="49"/>
      <c r="S890" s="2"/>
      <c r="T890" s="2"/>
    </row>
    <row r="891">
      <c r="L891" s="49"/>
      <c r="M891" s="49"/>
      <c r="N891" s="49"/>
      <c r="S891" s="2"/>
      <c r="T891" s="2"/>
    </row>
    <row r="892">
      <c r="L892" s="49"/>
      <c r="M892" s="49"/>
      <c r="N892" s="49"/>
      <c r="S892" s="2"/>
      <c r="T892" s="2"/>
    </row>
    <row r="893">
      <c r="L893" s="49"/>
      <c r="M893" s="49"/>
      <c r="N893" s="49"/>
      <c r="S893" s="2"/>
      <c r="T893" s="2"/>
    </row>
    <row r="894">
      <c r="L894" s="49"/>
      <c r="M894" s="49"/>
      <c r="N894" s="49"/>
      <c r="S894" s="2"/>
      <c r="T894" s="2"/>
    </row>
    <row r="895">
      <c r="L895" s="49"/>
      <c r="M895" s="49"/>
      <c r="N895" s="49"/>
      <c r="S895" s="2"/>
      <c r="T895" s="2"/>
    </row>
    <row r="896">
      <c r="L896" s="49"/>
      <c r="M896" s="49"/>
      <c r="N896" s="49"/>
      <c r="S896" s="2"/>
      <c r="T896" s="2"/>
    </row>
    <row r="897">
      <c r="L897" s="49"/>
      <c r="M897" s="49"/>
      <c r="N897" s="49"/>
      <c r="S897" s="2"/>
      <c r="T897" s="2"/>
    </row>
    <row r="898">
      <c r="L898" s="49"/>
      <c r="M898" s="49"/>
      <c r="N898" s="49"/>
      <c r="S898" s="2"/>
      <c r="T898" s="2"/>
    </row>
    <row r="899">
      <c r="L899" s="49"/>
      <c r="M899" s="49"/>
      <c r="N899" s="49"/>
      <c r="S899" s="2"/>
      <c r="T899" s="2"/>
    </row>
    <row r="900">
      <c r="L900" s="49"/>
      <c r="M900" s="49"/>
      <c r="N900" s="49"/>
      <c r="S900" s="2"/>
      <c r="T900" s="2"/>
    </row>
    <row r="901">
      <c r="L901" s="49"/>
      <c r="M901" s="49"/>
      <c r="N901" s="49"/>
      <c r="S901" s="2"/>
      <c r="T901" s="2"/>
    </row>
    <row r="902">
      <c r="L902" s="49"/>
      <c r="M902" s="49"/>
      <c r="N902" s="49"/>
      <c r="S902" s="2"/>
      <c r="T902" s="2"/>
    </row>
    <row r="903">
      <c r="L903" s="49"/>
      <c r="M903" s="49"/>
      <c r="N903" s="49"/>
      <c r="S903" s="2"/>
      <c r="T903" s="2"/>
    </row>
    <row r="904">
      <c r="L904" s="49"/>
      <c r="M904" s="49"/>
      <c r="N904" s="49"/>
      <c r="S904" s="2"/>
      <c r="T904" s="2"/>
    </row>
    <row r="905">
      <c r="L905" s="49"/>
      <c r="M905" s="49"/>
      <c r="N905" s="49"/>
      <c r="S905" s="2"/>
      <c r="T905" s="2"/>
    </row>
    <row r="906">
      <c r="L906" s="49"/>
      <c r="M906" s="49"/>
      <c r="N906" s="49"/>
      <c r="S906" s="2"/>
      <c r="T906" s="2"/>
    </row>
    <row r="907">
      <c r="L907" s="49"/>
      <c r="M907" s="49"/>
      <c r="N907" s="49"/>
      <c r="S907" s="2"/>
      <c r="T907" s="2"/>
    </row>
    <row r="908">
      <c r="L908" s="49"/>
      <c r="M908" s="49"/>
      <c r="N908" s="49"/>
      <c r="S908" s="2"/>
      <c r="T908" s="2"/>
    </row>
    <row r="909">
      <c r="L909" s="49"/>
      <c r="M909" s="49"/>
      <c r="N909" s="49"/>
      <c r="S909" s="2"/>
      <c r="T909" s="2"/>
    </row>
    <row r="910">
      <c r="L910" s="49"/>
      <c r="M910" s="49"/>
      <c r="N910" s="49"/>
      <c r="S910" s="2"/>
      <c r="T910" s="2"/>
    </row>
    <row r="911">
      <c r="L911" s="49"/>
      <c r="M911" s="49"/>
      <c r="N911" s="49"/>
      <c r="S911" s="2"/>
      <c r="T911" s="2"/>
    </row>
    <row r="912">
      <c r="L912" s="49"/>
      <c r="M912" s="49"/>
      <c r="N912" s="49"/>
      <c r="S912" s="2"/>
      <c r="T912" s="2"/>
    </row>
    <row r="913">
      <c r="L913" s="49"/>
      <c r="M913" s="49"/>
      <c r="N913" s="49"/>
      <c r="S913" s="2"/>
      <c r="T913" s="2"/>
    </row>
    <row r="914">
      <c r="L914" s="49"/>
      <c r="M914" s="49"/>
      <c r="N914" s="49"/>
      <c r="S914" s="2"/>
      <c r="T914" s="2"/>
    </row>
    <row r="915">
      <c r="L915" s="49"/>
      <c r="M915" s="49"/>
      <c r="N915" s="49"/>
      <c r="S915" s="2"/>
      <c r="T915" s="2"/>
    </row>
    <row r="916">
      <c r="L916" s="49"/>
      <c r="M916" s="49"/>
      <c r="N916" s="49"/>
      <c r="S916" s="2"/>
      <c r="T916" s="2"/>
    </row>
    <row r="917">
      <c r="L917" s="49"/>
      <c r="M917" s="49"/>
      <c r="N917" s="49"/>
      <c r="S917" s="2"/>
      <c r="T917" s="2"/>
    </row>
    <row r="918">
      <c r="L918" s="49"/>
      <c r="M918" s="49"/>
      <c r="N918" s="49"/>
      <c r="S918" s="2"/>
      <c r="T918" s="2"/>
    </row>
    <row r="919">
      <c r="L919" s="49"/>
      <c r="M919" s="49"/>
      <c r="N919" s="49"/>
      <c r="S919" s="2"/>
      <c r="T919" s="2"/>
    </row>
    <row r="920">
      <c r="L920" s="49"/>
      <c r="M920" s="49"/>
      <c r="N920" s="49"/>
      <c r="S920" s="2"/>
      <c r="T920" s="2"/>
    </row>
    <row r="921">
      <c r="L921" s="49"/>
      <c r="M921" s="49"/>
      <c r="N921" s="49"/>
      <c r="S921" s="2"/>
      <c r="T921" s="2"/>
    </row>
    <row r="922">
      <c r="L922" s="49"/>
      <c r="M922" s="49"/>
      <c r="N922" s="49"/>
      <c r="S922" s="2"/>
      <c r="T922" s="2"/>
    </row>
    <row r="923">
      <c r="L923" s="49"/>
      <c r="M923" s="49"/>
      <c r="N923" s="49"/>
      <c r="S923" s="2"/>
      <c r="T923" s="2"/>
    </row>
    <row r="924">
      <c r="L924" s="49"/>
      <c r="M924" s="49"/>
      <c r="N924" s="49"/>
      <c r="S924" s="2"/>
      <c r="T924" s="2"/>
    </row>
    <row r="925">
      <c r="L925" s="49"/>
      <c r="M925" s="49"/>
      <c r="N925" s="49"/>
      <c r="S925" s="2"/>
      <c r="T925" s="2"/>
    </row>
    <row r="926">
      <c r="L926" s="49"/>
      <c r="M926" s="49"/>
      <c r="N926" s="49"/>
      <c r="S926" s="2"/>
      <c r="T926" s="2"/>
    </row>
    <row r="927">
      <c r="L927" s="49"/>
      <c r="M927" s="49"/>
      <c r="N927" s="49"/>
      <c r="S927" s="2"/>
      <c r="T927" s="2"/>
    </row>
    <row r="928">
      <c r="L928" s="49"/>
      <c r="M928" s="49"/>
      <c r="N928" s="49"/>
      <c r="S928" s="2"/>
      <c r="T928" s="2"/>
    </row>
    <row r="929">
      <c r="L929" s="49"/>
      <c r="M929" s="49"/>
      <c r="N929" s="49"/>
      <c r="S929" s="2"/>
      <c r="T929" s="2"/>
    </row>
    <row r="930">
      <c r="L930" s="49"/>
      <c r="M930" s="49"/>
      <c r="N930" s="49"/>
      <c r="S930" s="2"/>
      <c r="T930" s="2"/>
    </row>
    <row r="931">
      <c r="L931" s="49"/>
      <c r="M931" s="49"/>
      <c r="N931" s="49"/>
      <c r="S931" s="2"/>
      <c r="T931" s="2"/>
    </row>
    <row r="932">
      <c r="L932" s="49"/>
      <c r="M932" s="49"/>
      <c r="N932" s="49"/>
      <c r="S932" s="2"/>
      <c r="T932" s="2"/>
    </row>
    <row r="933">
      <c r="L933" s="49"/>
      <c r="M933" s="49"/>
      <c r="N933" s="49"/>
      <c r="S933" s="2"/>
      <c r="T933" s="2"/>
    </row>
    <row r="934">
      <c r="L934" s="49"/>
      <c r="M934" s="49"/>
      <c r="N934" s="49"/>
      <c r="S934" s="2"/>
      <c r="T934" s="2"/>
    </row>
    <row r="935">
      <c r="L935" s="49"/>
      <c r="M935" s="49"/>
      <c r="N935" s="49"/>
      <c r="S935" s="2"/>
      <c r="T935" s="2"/>
    </row>
    <row r="936">
      <c r="L936" s="49"/>
      <c r="M936" s="49"/>
      <c r="N936" s="49"/>
      <c r="S936" s="2"/>
      <c r="T936" s="2"/>
    </row>
    <row r="937">
      <c r="L937" s="49"/>
      <c r="M937" s="49"/>
      <c r="N937" s="49"/>
      <c r="S937" s="2"/>
      <c r="T937" s="2"/>
    </row>
    <row r="938">
      <c r="L938" s="49"/>
      <c r="M938" s="49"/>
      <c r="N938" s="49"/>
      <c r="S938" s="2"/>
      <c r="T938" s="2"/>
    </row>
    <row r="939">
      <c r="L939" s="49"/>
      <c r="M939" s="49"/>
      <c r="N939" s="49"/>
      <c r="S939" s="2"/>
      <c r="T939" s="2"/>
    </row>
    <row r="940">
      <c r="L940" s="49"/>
      <c r="M940" s="49"/>
      <c r="N940" s="49"/>
      <c r="S940" s="2"/>
      <c r="T940" s="2"/>
    </row>
    <row r="941">
      <c r="L941" s="49"/>
      <c r="M941" s="49"/>
      <c r="N941" s="49"/>
      <c r="S941" s="2"/>
      <c r="T941" s="2"/>
    </row>
    <row r="942">
      <c r="L942" s="49"/>
      <c r="M942" s="49"/>
      <c r="N942" s="49"/>
      <c r="S942" s="2"/>
      <c r="T942" s="2"/>
    </row>
    <row r="943">
      <c r="L943" s="49"/>
      <c r="M943" s="49"/>
      <c r="N943" s="49"/>
      <c r="S943" s="2"/>
      <c r="T943" s="2"/>
    </row>
    <row r="944">
      <c r="L944" s="49"/>
      <c r="M944" s="49"/>
      <c r="N944" s="49"/>
      <c r="S944" s="2"/>
      <c r="T944" s="2"/>
    </row>
    <row r="945">
      <c r="L945" s="49"/>
      <c r="M945" s="49"/>
      <c r="N945" s="49"/>
      <c r="S945" s="2"/>
      <c r="T945" s="2"/>
    </row>
    <row r="946">
      <c r="L946" s="49"/>
      <c r="M946" s="49"/>
      <c r="N946" s="49"/>
      <c r="S946" s="2"/>
      <c r="T946" s="2"/>
    </row>
    <row r="947">
      <c r="L947" s="49"/>
      <c r="M947" s="49"/>
      <c r="N947" s="49"/>
      <c r="S947" s="2"/>
      <c r="T947" s="2"/>
    </row>
    <row r="948">
      <c r="L948" s="49"/>
      <c r="M948" s="49"/>
      <c r="N948" s="49"/>
      <c r="S948" s="2"/>
      <c r="T948" s="2"/>
    </row>
    <row r="949">
      <c r="L949" s="49"/>
      <c r="M949" s="49"/>
      <c r="N949" s="49"/>
      <c r="S949" s="2"/>
      <c r="T949" s="2"/>
    </row>
    <row r="950">
      <c r="L950" s="49"/>
      <c r="M950" s="49"/>
      <c r="N950" s="49"/>
      <c r="S950" s="2"/>
      <c r="T950" s="2"/>
    </row>
    <row r="951">
      <c r="L951" s="49"/>
      <c r="M951" s="49"/>
      <c r="N951" s="49"/>
      <c r="S951" s="2"/>
      <c r="T951" s="2"/>
    </row>
    <row r="952">
      <c r="L952" s="49"/>
      <c r="M952" s="49"/>
      <c r="N952" s="49"/>
      <c r="S952" s="2"/>
      <c r="T952" s="2"/>
    </row>
    <row r="953">
      <c r="L953" s="49"/>
      <c r="M953" s="49"/>
      <c r="N953" s="49"/>
      <c r="S953" s="2"/>
      <c r="T953" s="2"/>
    </row>
    <row r="954">
      <c r="L954" s="49"/>
      <c r="M954" s="49"/>
      <c r="N954" s="49"/>
      <c r="S954" s="2"/>
      <c r="T954" s="2"/>
    </row>
    <row r="955">
      <c r="L955" s="49"/>
      <c r="M955" s="49"/>
      <c r="N955" s="49"/>
      <c r="S955" s="2"/>
      <c r="T955" s="2"/>
    </row>
    <row r="956">
      <c r="L956" s="49"/>
      <c r="M956" s="49"/>
      <c r="N956" s="49"/>
      <c r="S956" s="2"/>
      <c r="T956" s="2"/>
    </row>
    <row r="957">
      <c r="L957" s="49"/>
      <c r="M957" s="49"/>
      <c r="N957" s="49"/>
      <c r="S957" s="2"/>
      <c r="T957" s="2"/>
    </row>
    <row r="958">
      <c r="L958" s="49"/>
      <c r="M958" s="49"/>
      <c r="N958" s="49"/>
      <c r="S958" s="2"/>
      <c r="T958" s="2"/>
    </row>
    <row r="959">
      <c r="L959" s="49"/>
      <c r="M959" s="49"/>
      <c r="N959" s="49"/>
      <c r="S959" s="2"/>
      <c r="T959" s="2"/>
    </row>
    <row r="960">
      <c r="L960" s="49"/>
      <c r="M960" s="49"/>
      <c r="N960" s="49"/>
      <c r="S960" s="2"/>
      <c r="T960" s="2"/>
    </row>
    <row r="961">
      <c r="L961" s="49"/>
      <c r="M961" s="49"/>
      <c r="N961" s="49"/>
      <c r="S961" s="2"/>
      <c r="T961" s="2"/>
    </row>
    <row r="962">
      <c r="L962" s="49"/>
      <c r="M962" s="49"/>
      <c r="N962" s="49"/>
      <c r="S962" s="2"/>
      <c r="T962" s="2"/>
    </row>
    <row r="963">
      <c r="L963" s="49"/>
      <c r="M963" s="49"/>
      <c r="N963" s="49"/>
      <c r="S963" s="2"/>
      <c r="T963" s="2"/>
    </row>
    <row r="964">
      <c r="L964" s="49"/>
      <c r="M964" s="49"/>
      <c r="N964" s="49"/>
      <c r="S964" s="2"/>
      <c r="T964" s="2"/>
    </row>
    <row r="965">
      <c r="L965" s="49"/>
      <c r="M965" s="49"/>
      <c r="N965" s="49"/>
      <c r="S965" s="2"/>
      <c r="T965" s="2"/>
    </row>
    <row r="966">
      <c r="L966" s="49"/>
      <c r="M966" s="49"/>
      <c r="N966" s="49"/>
      <c r="S966" s="2"/>
      <c r="T966" s="2"/>
    </row>
    <row r="967">
      <c r="L967" s="49"/>
      <c r="M967" s="49"/>
      <c r="N967" s="49"/>
      <c r="S967" s="2"/>
      <c r="T967" s="2"/>
    </row>
    <row r="968">
      <c r="L968" s="49"/>
      <c r="M968" s="49"/>
      <c r="N968" s="49"/>
      <c r="S968" s="2"/>
      <c r="T968" s="2"/>
    </row>
    <row r="969">
      <c r="L969" s="49"/>
      <c r="M969" s="49"/>
      <c r="N969" s="49"/>
      <c r="S969" s="2"/>
      <c r="T969" s="2"/>
    </row>
    <row r="970">
      <c r="L970" s="49"/>
      <c r="M970" s="49"/>
      <c r="N970" s="49"/>
      <c r="S970" s="2"/>
      <c r="T970" s="2"/>
    </row>
    <row r="971">
      <c r="L971" s="49"/>
      <c r="M971" s="49"/>
      <c r="N971" s="49"/>
      <c r="S971" s="2"/>
      <c r="T971" s="2"/>
    </row>
    <row r="972">
      <c r="L972" s="49"/>
      <c r="M972" s="49"/>
      <c r="N972" s="49"/>
      <c r="S972" s="2"/>
      <c r="T972" s="2"/>
    </row>
    <row r="973">
      <c r="L973" s="49"/>
      <c r="M973" s="49"/>
      <c r="N973" s="49"/>
      <c r="S973" s="2"/>
      <c r="T973" s="2"/>
    </row>
    <row r="974">
      <c r="L974" s="49"/>
      <c r="M974" s="49"/>
      <c r="N974" s="49"/>
      <c r="S974" s="2"/>
      <c r="T974" s="2"/>
    </row>
    <row r="975">
      <c r="L975" s="49"/>
      <c r="M975" s="49"/>
      <c r="N975" s="49"/>
      <c r="S975" s="2"/>
      <c r="T975" s="2"/>
    </row>
    <row r="976">
      <c r="L976" s="49"/>
      <c r="M976" s="49"/>
      <c r="N976" s="49"/>
      <c r="S976" s="2"/>
      <c r="T976" s="2"/>
    </row>
    <row r="977">
      <c r="L977" s="49"/>
      <c r="M977" s="49"/>
      <c r="N977" s="49"/>
      <c r="S977" s="2"/>
      <c r="T977" s="2"/>
    </row>
    <row r="978">
      <c r="L978" s="49"/>
      <c r="M978" s="49"/>
      <c r="N978" s="49"/>
      <c r="S978" s="2"/>
      <c r="T978" s="2"/>
    </row>
    <row r="979">
      <c r="L979" s="49"/>
      <c r="M979" s="49"/>
      <c r="N979" s="49"/>
      <c r="S979" s="2"/>
      <c r="T979" s="2"/>
    </row>
    <row r="980">
      <c r="L980" s="49"/>
      <c r="M980" s="49"/>
      <c r="N980" s="49"/>
      <c r="S980" s="2"/>
      <c r="T980" s="2"/>
    </row>
    <row r="981">
      <c r="L981" s="49"/>
      <c r="M981" s="49"/>
      <c r="N981" s="49"/>
      <c r="S981" s="2"/>
      <c r="T981" s="2"/>
    </row>
    <row r="982">
      <c r="L982" s="49"/>
      <c r="M982" s="49"/>
      <c r="N982" s="49"/>
      <c r="S982" s="2"/>
      <c r="T982" s="2"/>
    </row>
    <row r="983">
      <c r="L983" s="49"/>
      <c r="M983" s="49"/>
      <c r="N983" s="49"/>
      <c r="S983" s="2"/>
      <c r="T983" s="2"/>
    </row>
    <row r="984">
      <c r="L984" s="49"/>
      <c r="M984" s="49"/>
      <c r="N984" s="49"/>
      <c r="S984" s="2"/>
      <c r="T984" s="2"/>
    </row>
    <row r="985">
      <c r="L985" s="49"/>
      <c r="M985" s="49"/>
      <c r="N985" s="49"/>
      <c r="S985" s="2"/>
      <c r="T985" s="2"/>
    </row>
    <row r="986">
      <c r="L986" s="49"/>
      <c r="M986" s="49"/>
      <c r="N986" s="49"/>
      <c r="S986" s="2"/>
      <c r="T986" s="2"/>
    </row>
    <row r="987">
      <c r="L987" s="49"/>
      <c r="M987" s="49"/>
      <c r="N987" s="49"/>
      <c r="S987" s="2"/>
      <c r="T987" s="2"/>
    </row>
    <row r="988">
      <c r="L988" s="49"/>
      <c r="M988" s="49"/>
      <c r="N988" s="49"/>
      <c r="S988" s="2"/>
      <c r="T988" s="2"/>
    </row>
    <row r="989">
      <c r="L989" s="49"/>
      <c r="M989" s="49"/>
      <c r="N989" s="49"/>
      <c r="S989" s="2"/>
      <c r="T989" s="2"/>
    </row>
    <row r="990">
      <c r="L990" s="49"/>
      <c r="M990" s="49"/>
      <c r="N990" s="49"/>
      <c r="S990" s="2"/>
      <c r="T990" s="2"/>
    </row>
    <row r="991">
      <c r="L991" s="49"/>
      <c r="M991" s="49"/>
      <c r="N991" s="49"/>
      <c r="S991" s="2"/>
      <c r="T991" s="2"/>
    </row>
    <row r="992">
      <c r="L992" s="49"/>
      <c r="M992" s="49"/>
      <c r="N992" s="49"/>
      <c r="S992" s="2"/>
      <c r="T992" s="2"/>
    </row>
    <row r="993">
      <c r="L993" s="49"/>
      <c r="M993" s="49"/>
      <c r="N993" s="49"/>
      <c r="S993" s="2"/>
      <c r="T993" s="2"/>
    </row>
    <row r="994">
      <c r="L994" s="49"/>
      <c r="M994" s="49"/>
      <c r="N994" s="49"/>
      <c r="S994" s="2"/>
      <c r="T994" s="2"/>
    </row>
    <row r="995">
      <c r="L995" s="49"/>
      <c r="M995" s="49"/>
      <c r="N995" s="49"/>
      <c r="S995" s="2"/>
      <c r="T995" s="2"/>
    </row>
    <row r="996">
      <c r="L996" s="49"/>
      <c r="M996" s="49"/>
      <c r="N996" s="49"/>
      <c r="S996" s="2"/>
      <c r="T996" s="2"/>
    </row>
    <row r="997">
      <c r="L997" s="49"/>
      <c r="M997" s="49"/>
      <c r="N997" s="49"/>
      <c r="S997" s="2"/>
      <c r="T997" s="2"/>
    </row>
    <row r="998">
      <c r="L998" s="49"/>
      <c r="M998" s="49"/>
      <c r="N998" s="49"/>
      <c r="S998" s="2"/>
      <c r="T998" s="2"/>
    </row>
    <row r="999">
      <c r="L999" s="49"/>
      <c r="M999" s="49"/>
      <c r="N999" s="49"/>
      <c r="S999" s="2"/>
      <c r="T999" s="2"/>
    </row>
    <row r="1000">
      <c r="L1000" s="49"/>
      <c r="M1000" s="49"/>
      <c r="N1000" s="49"/>
      <c r="S1000" s="2"/>
      <c r="T1000" s="2"/>
    </row>
    <row r="1001">
      <c r="L1001" s="49"/>
      <c r="M1001" s="49"/>
      <c r="N1001" s="49"/>
    </row>
    <row r="1002">
      <c r="L1002" s="49"/>
      <c r="M1002" s="49"/>
      <c r="N1002" s="49"/>
    </row>
    <row r="1003">
      <c r="L1003" s="49"/>
      <c r="M1003" s="49"/>
      <c r="N1003" s="49"/>
    </row>
    <row r="1004">
      <c r="L1004" s="49"/>
      <c r="M1004" s="49"/>
      <c r="N1004" s="49"/>
    </row>
    <row r="1005">
      <c r="L1005" s="49"/>
      <c r="M1005" s="49"/>
      <c r="N1005" s="49"/>
    </row>
    <row r="1006">
      <c r="L1006" s="49"/>
      <c r="M1006" s="49"/>
      <c r="N1006" s="49"/>
    </row>
    <row r="1007">
      <c r="L1007" s="49"/>
      <c r="M1007" s="49"/>
      <c r="N1007" s="49"/>
    </row>
    <row r="1008">
      <c r="L1008" s="49"/>
      <c r="M1008" s="49"/>
      <c r="N1008" s="49"/>
    </row>
    <row r="1009">
      <c r="L1009" s="49"/>
      <c r="M1009" s="49"/>
      <c r="N1009" s="49"/>
    </row>
    <row r="1010">
      <c r="L1010" s="49"/>
      <c r="M1010" s="49"/>
      <c r="N1010" s="49"/>
    </row>
    <row r="1011">
      <c r="L1011" s="49"/>
      <c r="M1011" s="49"/>
      <c r="N1011" s="49"/>
    </row>
    <row r="1012">
      <c r="L1012" s="49"/>
      <c r="M1012" s="49"/>
      <c r="N1012" s="49"/>
    </row>
    <row r="1013">
      <c r="L1013" s="49"/>
      <c r="M1013" s="49"/>
      <c r="N1013" s="49"/>
    </row>
    <row r="1014">
      <c r="L1014" s="49"/>
      <c r="M1014" s="49"/>
      <c r="N1014" s="49"/>
    </row>
    <row r="1015">
      <c r="L1015" s="49"/>
      <c r="M1015" s="49"/>
      <c r="N1015" s="49"/>
    </row>
    <row r="1016">
      <c r="L1016" s="49"/>
      <c r="M1016" s="49"/>
      <c r="N1016" s="49"/>
    </row>
    <row r="1017">
      <c r="L1017" s="49"/>
      <c r="M1017" s="49"/>
      <c r="N1017" s="49"/>
    </row>
    <row r="1018">
      <c r="L1018" s="49"/>
      <c r="M1018" s="49"/>
      <c r="N1018" s="49"/>
    </row>
    <row r="1019">
      <c r="L1019" s="49"/>
      <c r="M1019" s="49"/>
      <c r="N1019" s="49"/>
    </row>
    <row r="1020">
      <c r="L1020" s="49"/>
      <c r="M1020" s="49"/>
      <c r="N1020" s="49"/>
    </row>
    <row r="1021">
      <c r="L1021" s="49"/>
      <c r="M1021" s="49"/>
      <c r="N1021" s="49"/>
    </row>
    <row r="1022">
      <c r="L1022" s="49"/>
      <c r="M1022" s="49"/>
      <c r="N1022" s="49"/>
    </row>
    <row r="1023">
      <c r="L1023" s="49"/>
      <c r="M1023" s="49"/>
      <c r="N1023" s="49"/>
    </row>
    <row r="1024">
      <c r="L1024" s="49"/>
      <c r="M1024" s="49"/>
      <c r="N1024" s="49"/>
    </row>
    <row r="1025">
      <c r="L1025" s="49"/>
      <c r="M1025" s="49"/>
      <c r="N1025" s="49"/>
    </row>
    <row r="1026">
      <c r="L1026" s="49"/>
      <c r="M1026" s="49"/>
      <c r="N1026" s="49"/>
    </row>
    <row r="1027">
      <c r="L1027" s="49"/>
      <c r="M1027" s="49"/>
      <c r="N1027" s="49"/>
    </row>
    <row r="1028">
      <c r="L1028" s="49"/>
      <c r="M1028" s="49"/>
      <c r="N1028" s="49"/>
    </row>
    <row r="1029">
      <c r="L1029" s="49"/>
      <c r="M1029" s="49"/>
      <c r="N1029" s="49"/>
    </row>
    <row r="1030">
      <c r="L1030" s="49"/>
      <c r="M1030" s="49"/>
      <c r="N1030" s="49"/>
    </row>
    <row r="1031">
      <c r="L1031" s="49"/>
      <c r="M1031" s="49"/>
      <c r="N1031" s="49"/>
    </row>
    <row r="1032">
      <c r="L1032" s="49"/>
      <c r="M1032" s="49"/>
      <c r="N1032" s="49"/>
    </row>
    <row r="1033">
      <c r="L1033" s="49"/>
      <c r="M1033" s="49"/>
      <c r="N1033" s="49"/>
    </row>
    <row r="1034">
      <c r="L1034" s="49"/>
      <c r="M1034" s="49"/>
      <c r="N1034" s="49"/>
    </row>
    <row r="1035">
      <c r="L1035" s="49"/>
      <c r="M1035" s="49"/>
      <c r="N1035" s="49"/>
    </row>
    <row r="1036">
      <c r="L1036" s="49"/>
      <c r="M1036" s="49"/>
      <c r="N1036" s="49"/>
    </row>
    <row r="1037">
      <c r="L1037" s="49"/>
      <c r="M1037" s="49"/>
      <c r="N1037" s="49"/>
    </row>
    <row r="1038">
      <c r="L1038" s="49"/>
      <c r="M1038" s="49"/>
      <c r="N1038" s="49"/>
    </row>
    <row r="1039">
      <c r="L1039" s="49"/>
      <c r="M1039" s="49"/>
      <c r="N1039" s="49"/>
    </row>
    <row r="1040">
      <c r="L1040" s="49"/>
      <c r="M1040" s="49"/>
      <c r="N1040" s="49"/>
    </row>
    <row r="1041">
      <c r="L1041" s="49"/>
      <c r="M1041" s="49"/>
      <c r="N1041" s="49"/>
    </row>
    <row r="1042">
      <c r="L1042" s="49"/>
      <c r="M1042" s="49"/>
      <c r="N1042" s="49"/>
    </row>
    <row r="1043">
      <c r="L1043" s="49"/>
      <c r="M1043" s="49"/>
      <c r="N1043" s="49"/>
    </row>
    <row r="1044">
      <c r="L1044" s="49"/>
      <c r="M1044" s="49"/>
      <c r="N1044" s="49"/>
    </row>
    <row r="1045">
      <c r="L1045" s="49"/>
      <c r="M1045" s="49"/>
      <c r="N1045" s="49"/>
    </row>
    <row r="1046">
      <c r="L1046" s="49"/>
      <c r="M1046" s="49"/>
      <c r="N1046" s="49"/>
    </row>
    <row r="1047">
      <c r="L1047" s="49"/>
      <c r="M1047" s="49"/>
      <c r="N1047" s="49"/>
    </row>
    <row r="1048">
      <c r="L1048" s="49"/>
      <c r="M1048" s="49"/>
      <c r="N1048" s="49"/>
    </row>
    <row r="1049">
      <c r="L1049" s="49"/>
      <c r="M1049" s="49"/>
      <c r="N1049" s="49"/>
    </row>
    <row r="1050">
      <c r="L1050" s="49"/>
      <c r="M1050" s="49"/>
      <c r="N1050" s="49"/>
    </row>
    <row r="1051">
      <c r="L1051" s="49"/>
      <c r="M1051" s="49"/>
      <c r="N1051" s="49"/>
    </row>
    <row r="1052">
      <c r="L1052" s="49"/>
      <c r="M1052" s="49"/>
      <c r="N1052" s="49"/>
    </row>
    <row r="1053">
      <c r="L1053" s="49"/>
      <c r="M1053" s="49"/>
      <c r="N1053" s="49"/>
    </row>
    <row r="1054">
      <c r="L1054" s="49"/>
      <c r="M1054" s="49"/>
      <c r="N1054" s="49"/>
    </row>
    <row r="1055">
      <c r="L1055" s="49"/>
      <c r="M1055" s="49"/>
      <c r="N1055" s="49"/>
    </row>
    <row r="1056">
      <c r="L1056" s="49"/>
      <c r="M1056" s="49"/>
      <c r="N1056" s="49"/>
    </row>
    <row r="1057">
      <c r="L1057" s="49"/>
      <c r="M1057" s="49"/>
      <c r="N1057" s="49"/>
    </row>
    <row r="1058">
      <c r="L1058" s="49"/>
      <c r="M1058" s="49"/>
      <c r="N1058" s="49"/>
    </row>
    <row r="1059">
      <c r="L1059" s="49"/>
      <c r="M1059" s="49"/>
      <c r="N1059" s="49"/>
    </row>
    <row r="1060">
      <c r="L1060" s="49"/>
      <c r="M1060" s="49"/>
      <c r="N1060" s="49"/>
    </row>
    <row r="1061">
      <c r="L1061" s="49"/>
      <c r="M1061" s="49"/>
      <c r="N1061" s="49"/>
    </row>
    <row r="1062">
      <c r="L1062" s="49"/>
      <c r="M1062" s="49"/>
      <c r="N1062" s="49"/>
    </row>
    <row r="1063">
      <c r="L1063" s="49"/>
      <c r="M1063" s="49"/>
      <c r="N1063" s="49"/>
    </row>
    <row r="1064">
      <c r="L1064" s="49"/>
      <c r="M1064" s="49"/>
      <c r="N1064" s="49"/>
    </row>
    <row r="1065">
      <c r="L1065" s="49"/>
      <c r="M1065" s="49"/>
      <c r="N1065" s="49"/>
    </row>
    <row r="1066">
      <c r="L1066" s="49"/>
      <c r="M1066" s="49"/>
      <c r="N1066" s="49"/>
    </row>
    <row r="1067">
      <c r="L1067" s="49"/>
      <c r="M1067" s="49"/>
      <c r="N1067" s="49"/>
    </row>
    <row r="1068">
      <c r="L1068" s="49"/>
      <c r="M1068" s="49"/>
      <c r="N1068" s="49"/>
    </row>
    <row r="1069">
      <c r="L1069" s="49"/>
      <c r="M1069" s="49"/>
      <c r="N1069" s="49"/>
    </row>
    <row r="1070">
      <c r="L1070" s="49"/>
      <c r="M1070" s="49"/>
      <c r="N1070" s="49"/>
    </row>
    <row r="1071">
      <c r="L1071" s="49"/>
      <c r="M1071" s="49"/>
      <c r="N1071" s="49"/>
    </row>
    <row r="1072">
      <c r="L1072" s="49"/>
      <c r="M1072" s="49"/>
      <c r="N1072" s="49"/>
    </row>
    <row r="1073">
      <c r="L1073" s="49"/>
      <c r="M1073" s="49"/>
      <c r="N1073" s="49"/>
    </row>
    <row r="1074">
      <c r="L1074" s="49"/>
      <c r="M1074" s="49"/>
      <c r="N1074" s="49"/>
    </row>
    <row r="1075">
      <c r="L1075" s="49"/>
      <c r="M1075" s="49"/>
      <c r="N1075" s="49"/>
    </row>
    <row r="1076">
      <c r="L1076" s="49"/>
      <c r="M1076" s="49"/>
      <c r="N1076" s="49"/>
    </row>
    <row r="1077">
      <c r="L1077" s="49"/>
      <c r="M1077" s="49"/>
      <c r="N1077" s="49"/>
    </row>
    <row r="1078">
      <c r="L1078" s="49"/>
      <c r="M1078" s="49"/>
      <c r="N1078" s="49"/>
    </row>
    <row r="1079">
      <c r="L1079" s="49"/>
      <c r="M1079" s="49"/>
      <c r="N1079" s="49"/>
    </row>
    <row r="1080">
      <c r="L1080" s="49"/>
      <c r="M1080" s="49"/>
      <c r="N1080" s="49"/>
    </row>
    <row r="1081">
      <c r="L1081" s="49"/>
      <c r="M1081" s="49"/>
      <c r="N1081" s="49"/>
    </row>
    <row r="1082">
      <c r="L1082" s="49"/>
      <c r="M1082" s="49"/>
      <c r="N1082" s="49"/>
    </row>
    <row r="1083">
      <c r="L1083" s="49"/>
      <c r="M1083" s="49"/>
      <c r="N1083" s="49"/>
    </row>
    <row r="1084">
      <c r="L1084" s="49"/>
      <c r="M1084" s="49"/>
      <c r="N1084" s="49"/>
    </row>
    <row r="1085">
      <c r="L1085" s="49"/>
      <c r="M1085" s="49"/>
      <c r="N1085" s="49"/>
    </row>
    <row r="1086">
      <c r="L1086" s="49"/>
      <c r="M1086" s="49"/>
      <c r="N1086" s="49"/>
    </row>
    <row r="1087">
      <c r="L1087" s="49"/>
      <c r="M1087" s="49"/>
      <c r="N1087" s="49"/>
    </row>
    <row r="1088">
      <c r="L1088" s="49"/>
      <c r="M1088" s="49"/>
      <c r="N1088" s="49"/>
    </row>
    <row r="1089">
      <c r="L1089" s="49"/>
      <c r="M1089" s="49"/>
      <c r="N1089" s="49"/>
    </row>
    <row r="1090">
      <c r="L1090" s="49"/>
      <c r="M1090" s="49"/>
      <c r="N1090" s="49"/>
    </row>
    <row r="1091">
      <c r="L1091" s="49"/>
      <c r="M1091" s="49"/>
      <c r="N1091" s="49"/>
    </row>
    <row r="1092">
      <c r="L1092" s="49"/>
      <c r="M1092" s="49"/>
      <c r="N1092" s="49"/>
    </row>
    <row r="1093">
      <c r="L1093" s="49"/>
      <c r="M1093" s="49"/>
      <c r="N1093" s="49"/>
    </row>
    <row r="1094">
      <c r="L1094" s="49"/>
      <c r="M1094" s="49"/>
      <c r="N1094" s="49"/>
    </row>
    <row r="1095">
      <c r="L1095" s="49"/>
      <c r="M1095" s="49"/>
      <c r="N1095" s="49"/>
    </row>
    <row r="1096">
      <c r="L1096" s="49"/>
      <c r="M1096" s="49"/>
      <c r="N1096" s="49"/>
    </row>
    <row r="1097">
      <c r="L1097" s="49"/>
      <c r="M1097" s="49"/>
      <c r="N1097" s="49"/>
    </row>
    <row r="1098">
      <c r="L1098" s="49"/>
      <c r="M1098" s="49"/>
      <c r="N1098" s="49"/>
    </row>
    <row r="1099">
      <c r="L1099" s="49"/>
      <c r="M1099" s="49"/>
      <c r="N1099" s="49"/>
    </row>
    <row r="1100">
      <c r="L1100" s="49"/>
      <c r="M1100" s="49"/>
      <c r="N1100" s="49"/>
    </row>
    <row r="1101">
      <c r="L1101" s="49"/>
      <c r="M1101" s="49"/>
      <c r="N1101" s="49"/>
    </row>
    <row r="1102">
      <c r="L1102" s="49"/>
      <c r="M1102" s="49"/>
      <c r="N1102" s="49"/>
    </row>
    <row r="1103">
      <c r="L1103" s="49"/>
      <c r="M1103" s="49"/>
      <c r="N1103" s="49"/>
    </row>
    <row r="1104">
      <c r="L1104" s="49"/>
      <c r="M1104" s="49"/>
      <c r="N1104" s="49"/>
    </row>
    <row r="1105">
      <c r="L1105" s="49"/>
      <c r="M1105" s="49"/>
      <c r="N1105" s="49"/>
    </row>
    <row r="1106">
      <c r="L1106" s="49"/>
      <c r="M1106" s="49"/>
      <c r="N1106" s="49"/>
    </row>
    <row r="1107">
      <c r="L1107" s="49"/>
      <c r="M1107" s="49"/>
      <c r="N1107" s="49"/>
    </row>
    <row r="1108">
      <c r="L1108" s="49"/>
      <c r="M1108" s="49"/>
      <c r="N1108" s="49"/>
    </row>
    <row r="1109">
      <c r="L1109" s="49"/>
      <c r="M1109" s="49"/>
      <c r="N1109" s="49"/>
    </row>
    <row r="1110">
      <c r="L1110" s="49"/>
      <c r="M1110" s="49"/>
      <c r="N1110" s="49"/>
    </row>
    <row r="1111">
      <c r="L1111" s="49"/>
      <c r="M1111" s="49"/>
      <c r="N1111" s="49"/>
    </row>
    <row r="1112">
      <c r="L1112" s="49"/>
      <c r="M1112" s="49"/>
      <c r="N1112" s="49"/>
    </row>
    <row r="1113">
      <c r="L1113" s="49"/>
      <c r="M1113" s="49"/>
      <c r="N1113" s="49"/>
    </row>
    <row r="1114">
      <c r="L1114" s="49"/>
      <c r="M1114" s="49"/>
      <c r="N1114" s="49"/>
    </row>
    <row r="1115">
      <c r="L1115" s="49"/>
      <c r="M1115" s="49"/>
      <c r="N1115" s="49"/>
    </row>
    <row r="1116">
      <c r="L1116" s="49"/>
      <c r="M1116" s="49"/>
      <c r="N1116" s="49"/>
    </row>
    <row r="1117">
      <c r="L1117" s="49"/>
      <c r="M1117" s="49"/>
      <c r="N1117" s="49"/>
    </row>
    <row r="1118">
      <c r="L1118" s="49"/>
      <c r="M1118" s="49"/>
      <c r="N1118" s="49"/>
    </row>
    <row r="1119">
      <c r="L1119" s="49"/>
      <c r="M1119" s="49"/>
      <c r="N1119" s="49"/>
    </row>
    <row r="1120">
      <c r="L1120" s="49"/>
      <c r="M1120" s="49"/>
      <c r="N1120" s="49"/>
    </row>
    <row r="1121">
      <c r="L1121" s="49"/>
      <c r="M1121" s="49"/>
      <c r="N1121" s="49"/>
    </row>
    <row r="1122">
      <c r="L1122" s="49"/>
      <c r="M1122" s="49"/>
      <c r="N1122" s="49"/>
    </row>
    <row r="1123">
      <c r="L1123" s="49"/>
      <c r="M1123" s="49"/>
      <c r="N1123" s="49"/>
    </row>
    <row r="1124">
      <c r="L1124" s="49"/>
      <c r="M1124" s="49"/>
      <c r="N1124" s="49"/>
    </row>
    <row r="1125">
      <c r="L1125" s="49"/>
      <c r="M1125" s="49"/>
      <c r="N1125" s="49"/>
    </row>
    <row r="1126">
      <c r="L1126" s="49"/>
      <c r="M1126" s="49"/>
      <c r="N1126" s="49"/>
    </row>
    <row r="1127">
      <c r="L1127" s="49"/>
      <c r="M1127" s="49"/>
      <c r="N1127" s="49"/>
    </row>
    <row r="1128">
      <c r="L1128" s="49"/>
      <c r="M1128" s="49"/>
      <c r="N1128" s="49"/>
    </row>
    <row r="1129">
      <c r="L1129" s="49"/>
      <c r="M1129" s="49"/>
      <c r="N1129" s="49"/>
    </row>
    <row r="1130">
      <c r="L1130" s="49"/>
      <c r="M1130" s="49"/>
      <c r="N1130" s="49"/>
    </row>
    <row r="1131">
      <c r="L1131" s="49"/>
      <c r="M1131" s="49"/>
      <c r="N1131" s="49"/>
    </row>
    <row r="1132">
      <c r="L1132" s="49"/>
      <c r="M1132" s="49"/>
      <c r="N1132" s="49"/>
    </row>
    <row r="1133">
      <c r="L1133" s="49"/>
      <c r="M1133" s="49"/>
      <c r="N1133" s="49"/>
    </row>
    <row r="1134">
      <c r="L1134" s="49"/>
      <c r="M1134" s="49"/>
      <c r="N1134" s="49"/>
    </row>
    <row r="1135">
      <c r="L1135" s="49"/>
      <c r="M1135" s="49"/>
      <c r="N1135" s="49"/>
    </row>
    <row r="1136">
      <c r="L1136" s="49"/>
      <c r="M1136" s="49"/>
      <c r="N1136" s="49"/>
    </row>
    <row r="1137">
      <c r="L1137" s="49"/>
      <c r="M1137" s="49"/>
      <c r="N1137" s="49"/>
    </row>
    <row r="1138">
      <c r="L1138" s="49"/>
      <c r="M1138" s="49"/>
      <c r="N1138" s="49"/>
    </row>
    <row r="1139">
      <c r="L1139" s="49"/>
      <c r="M1139" s="49"/>
      <c r="N1139" s="49"/>
    </row>
    <row r="1140">
      <c r="L1140" s="49"/>
      <c r="M1140" s="49"/>
      <c r="N1140" s="49"/>
    </row>
    <row r="1141">
      <c r="L1141" s="49"/>
      <c r="M1141" s="49"/>
      <c r="N1141" s="49"/>
    </row>
    <row r="1142">
      <c r="L1142" s="49"/>
      <c r="M1142" s="49"/>
      <c r="N1142" s="49"/>
    </row>
    <row r="1143">
      <c r="L1143" s="49"/>
      <c r="M1143" s="49"/>
      <c r="N1143" s="49"/>
    </row>
    <row r="1144">
      <c r="L1144" s="49"/>
      <c r="M1144" s="49"/>
      <c r="N1144" s="49"/>
    </row>
    <row r="1145">
      <c r="L1145" s="49"/>
      <c r="M1145" s="49"/>
      <c r="N1145" s="49"/>
    </row>
    <row r="1146">
      <c r="L1146" s="49"/>
      <c r="M1146" s="49"/>
      <c r="N1146" s="49"/>
    </row>
    <row r="1147">
      <c r="L1147" s="49"/>
      <c r="M1147" s="49"/>
      <c r="N1147" s="49"/>
    </row>
    <row r="1148">
      <c r="L1148" s="49"/>
      <c r="M1148" s="49"/>
      <c r="N1148" s="49"/>
    </row>
    <row r="1149">
      <c r="L1149" s="49"/>
      <c r="M1149" s="49"/>
      <c r="N1149" s="49"/>
    </row>
    <row r="1150">
      <c r="L1150" s="49"/>
      <c r="M1150" s="49"/>
      <c r="N1150" s="49"/>
    </row>
    <row r="1151">
      <c r="L1151" s="49"/>
      <c r="M1151" s="49"/>
      <c r="N1151" s="49"/>
    </row>
    <row r="1152">
      <c r="L1152" s="49"/>
      <c r="M1152" s="49"/>
      <c r="N1152" s="49"/>
    </row>
    <row r="1153">
      <c r="L1153" s="49"/>
      <c r="M1153" s="49"/>
      <c r="N1153" s="49"/>
    </row>
    <row r="1154">
      <c r="L1154" s="49"/>
      <c r="M1154" s="49"/>
      <c r="N1154" s="49"/>
    </row>
    <row r="1155">
      <c r="L1155" s="49"/>
      <c r="M1155" s="49"/>
      <c r="N1155" s="49"/>
    </row>
    <row r="1156">
      <c r="L1156" s="49"/>
      <c r="M1156" s="49"/>
      <c r="N1156" s="49"/>
    </row>
    <row r="1157">
      <c r="L1157" s="49"/>
      <c r="M1157" s="49"/>
      <c r="N1157" s="49"/>
    </row>
    <row r="1158">
      <c r="L1158" s="49"/>
      <c r="M1158" s="49"/>
      <c r="N1158" s="49"/>
    </row>
    <row r="1159">
      <c r="L1159" s="49"/>
      <c r="M1159" s="49"/>
      <c r="N1159" s="49"/>
    </row>
    <row r="1160">
      <c r="L1160" s="49"/>
      <c r="M1160" s="49"/>
      <c r="N1160" s="49"/>
    </row>
    <row r="1161">
      <c r="L1161" s="49"/>
      <c r="M1161" s="49"/>
      <c r="N1161" s="49"/>
    </row>
    <row r="1162">
      <c r="L1162" s="49"/>
      <c r="M1162" s="49"/>
      <c r="N1162" s="49"/>
    </row>
    <row r="1163">
      <c r="L1163" s="49"/>
      <c r="M1163" s="49"/>
      <c r="N1163" s="49"/>
    </row>
    <row r="1164">
      <c r="L1164" s="49"/>
      <c r="M1164" s="49"/>
      <c r="N1164" s="49"/>
    </row>
    <row r="1165">
      <c r="L1165" s="49"/>
      <c r="M1165" s="49"/>
      <c r="N1165" s="49"/>
    </row>
    <row r="1166">
      <c r="L1166" s="49"/>
      <c r="M1166" s="49"/>
      <c r="N1166" s="49"/>
    </row>
    <row r="1167">
      <c r="L1167" s="49"/>
      <c r="M1167" s="49"/>
      <c r="N1167" s="49"/>
    </row>
    <row r="1168">
      <c r="L1168" s="49"/>
      <c r="M1168" s="49"/>
      <c r="N1168" s="49"/>
    </row>
    <row r="1169">
      <c r="L1169" s="49"/>
      <c r="M1169" s="49"/>
      <c r="N1169" s="49"/>
    </row>
    <row r="1170">
      <c r="L1170" s="49"/>
      <c r="M1170" s="49"/>
      <c r="N1170" s="49"/>
    </row>
    <row r="1171">
      <c r="L1171" s="49"/>
      <c r="M1171" s="49"/>
      <c r="N1171" s="49"/>
    </row>
    <row r="1172">
      <c r="L1172" s="49"/>
      <c r="M1172" s="49"/>
      <c r="N1172" s="49"/>
    </row>
    <row r="1173">
      <c r="L1173" s="49"/>
      <c r="M1173" s="49"/>
      <c r="N1173" s="49"/>
    </row>
    <row r="1174">
      <c r="L1174" s="49"/>
      <c r="M1174" s="49"/>
      <c r="N1174" s="49"/>
    </row>
    <row r="1175">
      <c r="L1175" s="49"/>
      <c r="M1175" s="49"/>
      <c r="N1175" s="49"/>
    </row>
    <row r="1176">
      <c r="L1176" s="49"/>
      <c r="M1176" s="49"/>
      <c r="N1176" s="49"/>
    </row>
    <row r="1177">
      <c r="L1177" s="49"/>
      <c r="M1177" s="49"/>
      <c r="N1177" s="49"/>
    </row>
    <row r="1178">
      <c r="L1178" s="49"/>
      <c r="M1178" s="49"/>
      <c r="N1178" s="49"/>
    </row>
    <row r="1179">
      <c r="L1179" s="49"/>
      <c r="M1179" s="49"/>
      <c r="N1179" s="49"/>
    </row>
    <row r="1180">
      <c r="L1180" s="49"/>
      <c r="M1180" s="49"/>
      <c r="N1180" s="49"/>
    </row>
    <row r="1181">
      <c r="L1181" s="49"/>
      <c r="M1181" s="49"/>
      <c r="N1181" s="49"/>
    </row>
    <row r="1182">
      <c r="L1182" s="49"/>
      <c r="M1182" s="49"/>
      <c r="N1182" s="49"/>
    </row>
    <row r="1183">
      <c r="L1183" s="49"/>
      <c r="M1183" s="49"/>
      <c r="N1183" s="49"/>
    </row>
    <row r="1184">
      <c r="L1184" s="49"/>
      <c r="M1184" s="49"/>
      <c r="N1184" s="49"/>
    </row>
    <row r="1185">
      <c r="L1185" s="49"/>
      <c r="M1185" s="49"/>
      <c r="N1185" s="49"/>
    </row>
    <row r="1186">
      <c r="L1186" s="49"/>
      <c r="M1186" s="49"/>
      <c r="N1186" s="49"/>
    </row>
    <row r="1187">
      <c r="L1187" s="49"/>
      <c r="M1187" s="49"/>
      <c r="N1187" s="49"/>
    </row>
    <row r="1188">
      <c r="L1188" s="49"/>
      <c r="M1188" s="49"/>
      <c r="N1188" s="49"/>
    </row>
    <row r="1189">
      <c r="L1189" s="49"/>
      <c r="M1189" s="49"/>
      <c r="N1189" s="49"/>
    </row>
    <row r="1190">
      <c r="L1190" s="49"/>
      <c r="M1190" s="49"/>
      <c r="N1190" s="49"/>
    </row>
    <row r="1191">
      <c r="L1191" s="49"/>
      <c r="M1191" s="49"/>
      <c r="N1191" s="49"/>
    </row>
    <row r="1192">
      <c r="L1192" s="49"/>
      <c r="M1192" s="49"/>
      <c r="N1192" s="49"/>
    </row>
    <row r="1193">
      <c r="L1193" s="49"/>
      <c r="M1193" s="49"/>
      <c r="N1193" s="49"/>
    </row>
    <row r="1194">
      <c r="L1194" s="49"/>
      <c r="M1194" s="49"/>
      <c r="N1194" s="49"/>
    </row>
    <row r="1195">
      <c r="L1195" s="49"/>
      <c r="M1195" s="49"/>
      <c r="N1195" s="49"/>
    </row>
    <row r="1196">
      <c r="L1196" s="49"/>
      <c r="M1196" s="49"/>
      <c r="N1196" s="49"/>
    </row>
    <row r="1197">
      <c r="L1197" s="49"/>
      <c r="M1197" s="49"/>
      <c r="N1197" s="49"/>
    </row>
    <row r="1198">
      <c r="L1198" s="49"/>
      <c r="M1198" s="49"/>
      <c r="N1198" s="49"/>
    </row>
    <row r="1199">
      <c r="L1199" s="49"/>
      <c r="M1199" s="49"/>
      <c r="N1199" s="49"/>
    </row>
    <row r="1200">
      <c r="L1200" s="49"/>
      <c r="M1200" s="49"/>
      <c r="N1200" s="49"/>
    </row>
    <row r="1201">
      <c r="L1201" s="49"/>
      <c r="M1201" s="49"/>
      <c r="N1201" s="49"/>
    </row>
    <row r="1202">
      <c r="L1202" s="49"/>
      <c r="M1202" s="49"/>
      <c r="N1202" s="49"/>
    </row>
    <row r="1203">
      <c r="L1203" s="49"/>
      <c r="M1203" s="49"/>
      <c r="N1203" s="49"/>
    </row>
    <row r="1204">
      <c r="L1204" s="49"/>
      <c r="M1204" s="49"/>
      <c r="N1204" s="49"/>
    </row>
    <row r="1205">
      <c r="L1205" s="49"/>
      <c r="M1205" s="49"/>
      <c r="N1205" s="49"/>
    </row>
    <row r="1206">
      <c r="L1206" s="49"/>
      <c r="M1206" s="49"/>
      <c r="N1206" s="49"/>
    </row>
    <row r="1207">
      <c r="L1207" s="49"/>
      <c r="M1207" s="49"/>
      <c r="N1207" s="49"/>
    </row>
    <row r="1208">
      <c r="L1208" s="49"/>
      <c r="M1208" s="49"/>
      <c r="N1208" s="49"/>
    </row>
    <row r="1209">
      <c r="L1209" s="49"/>
      <c r="M1209" s="49"/>
      <c r="N1209" s="49"/>
    </row>
    <row r="1210">
      <c r="L1210" s="49"/>
      <c r="M1210" s="49"/>
      <c r="N1210" s="49"/>
    </row>
    <row r="1211">
      <c r="L1211" s="49"/>
      <c r="M1211" s="49"/>
      <c r="N1211" s="49"/>
    </row>
    <row r="1212">
      <c r="L1212" s="49"/>
      <c r="M1212" s="49"/>
      <c r="N1212" s="49"/>
    </row>
    <row r="1213">
      <c r="L1213" s="49"/>
      <c r="M1213" s="49"/>
      <c r="N1213" s="49"/>
    </row>
    <row r="1214">
      <c r="L1214" s="49"/>
      <c r="M1214" s="49"/>
      <c r="N1214" s="49"/>
    </row>
    <row r="1215">
      <c r="L1215" s="49"/>
      <c r="M1215" s="49"/>
      <c r="N1215" s="49"/>
    </row>
    <row r="1216">
      <c r="L1216" s="49"/>
      <c r="M1216" s="49"/>
      <c r="N1216" s="49"/>
    </row>
    <row r="1217">
      <c r="L1217" s="49"/>
      <c r="M1217" s="49"/>
      <c r="N1217" s="49"/>
    </row>
    <row r="1218">
      <c r="L1218" s="49"/>
      <c r="M1218" s="49"/>
      <c r="N1218" s="49"/>
    </row>
    <row r="1219">
      <c r="L1219" s="49"/>
      <c r="M1219" s="49"/>
      <c r="N1219" s="49"/>
    </row>
    <row r="1220">
      <c r="L1220" s="49"/>
      <c r="M1220" s="49"/>
      <c r="N1220" s="49"/>
    </row>
    <row r="1221">
      <c r="L1221" s="49"/>
      <c r="M1221" s="49"/>
      <c r="N1221" s="49"/>
    </row>
    <row r="1222">
      <c r="L1222" s="49"/>
      <c r="M1222" s="49"/>
      <c r="N1222" s="49"/>
    </row>
    <row r="1223">
      <c r="L1223" s="49"/>
      <c r="M1223" s="49"/>
      <c r="N1223" s="49"/>
    </row>
    <row r="1224">
      <c r="L1224" s="49"/>
      <c r="M1224" s="49"/>
      <c r="N1224" s="49"/>
    </row>
    <row r="1225">
      <c r="L1225" s="49"/>
      <c r="M1225" s="49"/>
      <c r="N1225" s="49"/>
    </row>
    <row r="1226">
      <c r="L1226" s="49"/>
      <c r="M1226" s="49"/>
      <c r="N1226" s="49"/>
    </row>
    <row r="1227">
      <c r="L1227" s="49"/>
      <c r="M1227" s="49"/>
      <c r="N1227" s="49"/>
    </row>
    <row r="1228">
      <c r="L1228" s="49"/>
      <c r="M1228" s="49"/>
      <c r="N1228" s="49"/>
    </row>
    <row r="1229">
      <c r="L1229" s="49"/>
      <c r="M1229" s="49"/>
      <c r="N1229" s="49"/>
    </row>
    <row r="1230">
      <c r="L1230" s="49"/>
      <c r="M1230" s="49"/>
      <c r="N1230" s="49"/>
    </row>
    <row r="1231">
      <c r="L1231" s="49"/>
      <c r="M1231" s="49"/>
      <c r="N1231" s="49"/>
    </row>
    <row r="1232">
      <c r="L1232" s="49"/>
      <c r="M1232" s="49"/>
      <c r="N1232" s="49"/>
    </row>
    <row r="1233">
      <c r="L1233" s="49"/>
      <c r="M1233" s="49"/>
      <c r="N1233" s="49"/>
    </row>
    <row r="1234">
      <c r="L1234" s="49"/>
      <c r="M1234" s="49"/>
      <c r="N1234" s="49"/>
    </row>
    <row r="1235">
      <c r="L1235" s="49"/>
      <c r="M1235" s="49"/>
      <c r="N1235" s="49"/>
    </row>
    <row r="1236">
      <c r="L1236" s="49"/>
      <c r="M1236" s="49"/>
      <c r="N1236" s="49"/>
    </row>
    <row r="1237">
      <c r="L1237" s="49"/>
      <c r="M1237" s="49"/>
      <c r="N1237" s="49"/>
    </row>
    <row r="1238">
      <c r="L1238" s="49"/>
      <c r="M1238" s="49"/>
      <c r="N1238" s="49"/>
    </row>
    <row r="1239">
      <c r="L1239" s="49"/>
      <c r="M1239" s="49"/>
      <c r="N1239" s="49"/>
    </row>
    <row r="1240">
      <c r="L1240" s="49"/>
      <c r="M1240" s="49"/>
      <c r="N1240" s="49"/>
    </row>
    <row r="1241">
      <c r="L1241" s="49"/>
      <c r="M1241" s="49"/>
      <c r="N1241" s="49"/>
    </row>
    <row r="1242">
      <c r="L1242" s="49"/>
      <c r="M1242" s="49"/>
      <c r="N1242" s="49"/>
    </row>
    <row r="1243">
      <c r="L1243" s="49"/>
      <c r="M1243" s="49"/>
      <c r="N1243" s="49"/>
    </row>
    <row r="1244">
      <c r="L1244" s="49"/>
      <c r="M1244" s="49"/>
      <c r="N1244" s="49"/>
    </row>
    <row r="1245">
      <c r="L1245" s="49"/>
      <c r="M1245" s="49"/>
      <c r="N1245" s="49"/>
    </row>
    <row r="1246">
      <c r="L1246" s="49"/>
      <c r="M1246" s="49"/>
      <c r="N1246" s="49"/>
    </row>
    <row r="1247">
      <c r="L1247" s="49"/>
      <c r="M1247" s="49"/>
      <c r="N1247" s="49"/>
    </row>
    <row r="1248">
      <c r="L1248" s="49"/>
      <c r="M1248" s="49"/>
      <c r="N1248" s="49"/>
    </row>
    <row r="1249">
      <c r="L1249" s="49"/>
      <c r="M1249" s="49"/>
      <c r="N1249" s="49"/>
    </row>
    <row r="1250">
      <c r="L1250" s="49"/>
      <c r="M1250" s="49"/>
      <c r="N1250" s="49"/>
    </row>
    <row r="1251">
      <c r="L1251" s="49"/>
      <c r="M1251" s="49"/>
      <c r="N1251" s="49"/>
    </row>
    <row r="1252">
      <c r="L1252" s="49"/>
      <c r="M1252" s="49"/>
      <c r="N1252" s="49"/>
    </row>
    <row r="1253">
      <c r="L1253" s="49"/>
      <c r="M1253" s="49"/>
      <c r="N1253" s="49"/>
    </row>
    <row r="1254">
      <c r="L1254" s="49"/>
      <c r="M1254" s="49"/>
      <c r="N1254" s="49"/>
    </row>
    <row r="1255">
      <c r="L1255" s="49"/>
      <c r="M1255" s="49"/>
      <c r="N1255" s="49"/>
    </row>
    <row r="1256">
      <c r="L1256" s="49"/>
      <c r="M1256" s="49"/>
      <c r="N1256" s="49"/>
    </row>
    <row r="1257">
      <c r="L1257" s="49"/>
      <c r="M1257" s="49"/>
      <c r="N1257" s="49"/>
    </row>
    <row r="1258">
      <c r="L1258" s="49"/>
      <c r="M1258" s="49"/>
      <c r="N1258" s="49"/>
    </row>
    <row r="1259">
      <c r="L1259" s="49"/>
      <c r="M1259" s="49"/>
      <c r="N1259" s="49"/>
    </row>
    <row r="1260">
      <c r="L1260" s="49"/>
      <c r="M1260" s="49"/>
      <c r="N1260" s="49"/>
    </row>
    <row r="1261">
      <c r="L1261" s="49"/>
      <c r="M1261" s="49"/>
      <c r="N1261" s="49"/>
    </row>
    <row r="1262">
      <c r="L1262" s="49"/>
      <c r="M1262" s="49"/>
      <c r="N1262" s="49"/>
    </row>
    <row r="1263">
      <c r="L1263" s="49"/>
      <c r="M1263" s="49"/>
      <c r="N1263" s="49"/>
    </row>
    <row r="1264">
      <c r="L1264" s="49"/>
      <c r="M1264" s="49"/>
      <c r="N1264" s="49"/>
    </row>
    <row r="1265">
      <c r="L1265" s="49"/>
      <c r="M1265" s="49"/>
      <c r="N1265" s="49"/>
    </row>
    <row r="1266">
      <c r="L1266" s="49"/>
      <c r="M1266" s="49"/>
      <c r="N1266" s="49"/>
    </row>
    <row r="1267">
      <c r="L1267" s="49"/>
      <c r="M1267" s="49"/>
      <c r="N1267" s="49"/>
    </row>
    <row r="1268">
      <c r="L1268" s="49"/>
      <c r="M1268" s="49"/>
      <c r="N1268" s="49"/>
    </row>
    <row r="1269">
      <c r="L1269" s="49"/>
      <c r="M1269" s="49"/>
      <c r="N1269" s="49"/>
    </row>
    <row r="1270">
      <c r="L1270" s="49"/>
      <c r="M1270" s="49"/>
      <c r="N1270" s="49"/>
    </row>
    <row r="1271">
      <c r="L1271" s="49"/>
      <c r="M1271" s="49"/>
      <c r="N1271" s="49"/>
    </row>
    <row r="1272">
      <c r="L1272" s="49"/>
      <c r="M1272" s="49"/>
      <c r="N1272" s="49"/>
    </row>
    <row r="1273">
      <c r="L1273" s="49"/>
      <c r="M1273" s="49"/>
      <c r="N1273" s="49"/>
    </row>
    <row r="1274">
      <c r="L1274" s="49"/>
      <c r="M1274" s="49"/>
      <c r="N1274" s="49"/>
    </row>
    <row r="1275">
      <c r="L1275" s="49"/>
      <c r="M1275" s="49"/>
      <c r="N1275" s="49"/>
    </row>
    <row r="1276">
      <c r="L1276" s="49"/>
      <c r="M1276" s="49"/>
      <c r="N1276" s="49"/>
    </row>
    <row r="1277">
      <c r="L1277" s="49"/>
      <c r="M1277" s="49"/>
      <c r="N1277" s="49"/>
    </row>
    <row r="1278">
      <c r="L1278" s="49"/>
      <c r="M1278" s="49"/>
      <c r="N1278" s="49"/>
    </row>
    <row r="1279">
      <c r="L1279" s="49"/>
      <c r="M1279" s="49"/>
      <c r="N1279" s="49"/>
    </row>
    <row r="1280">
      <c r="L1280" s="49"/>
      <c r="M1280" s="49"/>
      <c r="N1280" s="49"/>
    </row>
    <row r="1281">
      <c r="L1281" s="49"/>
      <c r="M1281" s="49"/>
      <c r="N1281" s="49"/>
    </row>
    <row r="1282">
      <c r="L1282" s="49"/>
      <c r="M1282" s="49"/>
      <c r="N1282" s="49"/>
    </row>
    <row r="1283">
      <c r="L1283" s="49"/>
      <c r="M1283" s="49"/>
      <c r="N1283" s="49"/>
    </row>
    <row r="1284">
      <c r="L1284" s="49"/>
      <c r="M1284" s="49"/>
      <c r="N1284" s="49"/>
    </row>
    <row r="1285">
      <c r="L1285" s="49"/>
      <c r="M1285" s="49"/>
      <c r="N1285" s="49"/>
    </row>
    <row r="1286">
      <c r="L1286" s="49"/>
      <c r="M1286" s="49"/>
      <c r="N1286" s="49"/>
    </row>
    <row r="1287">
      <c r="L1287" s="49"/>
      <c r="M1287" s="49"/>
      <c r="N1287" s="49"/>
    </row>
    <row r="1288">
      <c r="L1288" s="49"/>
      <c r="M1288" s="49"/>
      <c r="N1288" s="49"/>
    </row>
    <row r="1289">
      <c r="L1289" s="49"/>
      <c r="M1289" s="49"/>
      <c r="N1289" s="49"/>
    </row>
    <row r="1290">
      <c r="L1290" s="49"/>
      <c r="M1290" s="49"/>
      <c r="N1290" s="49"/>
    </row>
    <row r="1291">
      <c r="L1291" s="49"/>
      <c r="M1291" s="49"/>
      <c r="N1291" s="49"/>
    </row>
    <row r="1292">
      <c r="L1292" s="49"/>
      <c r="M1292" s="49"/>
      <c r="N1292" s="49"/>
    </row>
    <row r="1293">
      <c r="L1293" s="49"/>
      <c r="M1293" s="49"/>
      <c r="N1293" s="49"/>
    </row>
    <row r="1294">
      <c r="L1294" s="49"/>
      <c r="M1294" s="49"/>
      <c r="N1294" s="49"/>
    </row>
    <row r="1295">
      <c r="L1295" s="49"/>
      <c r="M1295" s="49"/>
      <c r="N1295" s="49"/>
    </row>
    <row r="1296">
      <c r="L1296" s="49"/>
      <c r="M1296" s="49"/>
      <c r="N1296" s="49"/>
    </row>
    <row r="1297">
      <c r="L1297" s="49"/>
      <c r="M1297" s="49"/>
      <c r="N1297" s="49"/>
    </row>
    <row r="1298">
      <c r="L1298" s="49"/>
      <c r="M1298" s="49"/>
      <c r="N1298" s="49"/>
    </row>
    <row r="1299">
      <c r="L1299" s="49"/>
      <c r="M1299" s="49"/>
      <c r="N1299" s="49"/>
    </row>
    <row r="1300">
      <c r="L1300" s="49"/>
      <c r="M1300" s="49"/>
      <c r="N1300" s="49"/>
    </row>
    <row r="1301">
      <c r="L1301" s="49"/>
      <c r="M1301" s="49"/>
      <c r="N1301" s="49"/>
    </row>
    <row r="1302">
      <c r="L1302" s="49"/>
      <c r="M1302" s="49"/>
      <c r="N1302" s="49"/>
    </row>
    <row r="1303">
      <c r="L1303" s="49"/>
      <c r="M1303" s="49"/>
      <c r="N1303" s="49"/>
    </row>
    <row r="1304">
      <c r="L1304" s="49"/>
      <c r="M1304" s="49"/>
      <c r="N1304" s="49"/>
    </row>
    <row r="1305">
      <c r="L1305" s="49"/>
      <c r="M1305" s="49"/>
      <c r="N1305" s="49"/>
    </row>
    <row r="1306">
      <c r="L1306" s="49"/>
      <c r="M1306" s="49"/>
      <c r="N1306" s="49"/>
    </row>
    <row r="1307">
      <c r="L1307" s="49"/>
      <c r="M1307" s="49"/>
      <c r="N1307" s="49"/>
    </row>
    <row r="1308">
      <c r="L1308" s="49"/>
      <c r="M1308" s="49"/>
      <c r="N1308" s="49"/>
    </row>
    <row r="1309">
      <c r="L1309" s="49"/>
      <c r="M1309" s="49"/>
      <c r="N1309" s="49"/>
    </row>
    <row r="1310">
      <c r="L1310" s="49"/>
      <c r="M1310" s="49"/>
      <c r="N1310" s="49"/>
    </row>
    <row r="1311">
      <c r="L1311" s="49"/>
      <c r="M1311" s="49"/>
      <c r="N1311" s="49"/>
    </row>
    <row r="1312">
      <c r="L1312" s="49"/>
      <c r="M1312" s="49"/>
      <c r="N1312" s="49"/>
    </row>
    <row r="1313">
      <c r="L1313" s="49"/>
      <c r="M1313" s="49"/>
      <c r="N1313" s="49"/>
    </row>
    <row r="1314">
      <c r="L1314" s="49"/>
      <c r="M1314" s="49"/>
      <c r="N1314" s="49"/>
    </row>
    <row r="1315">
      <c r="L1315" s="49"/>
      <c r="M1315" s="49"/>
      <c r="N1315" s="49"/>
    </row>
    <row r="1316">
      <c r="L1316" s="49"/>
      <c r="M1316" s="49"/>
      <c r="N1316" s="49"/>
    </row>
    <row r="1317">
      <c r="L1317" s="49"/>
      <c r="M1317" s="49"/>
      <c r="N1317" s="49"/>
    </row>
    <row r="1318">
      <c r="L1318" s="49"/>
      <c r="M1318" s="49"/>
      <c r="N1318" s="49"/>
    </row>
    <row r="1319">
      <c r="L1319" s="49"/>
      <c r="M1319" s="49"/>
      <c r="N1319" s="49"/>
    </row>
    <row r="1320">
      <c r="L1320" s="49"/>
      <c r="M1320" s="49"/>
      <c r="N1320" s="49"/>
    </row>
    <row r="1321">
      <c r="L1321" s="49"/>
      <c r="M1321" s="49"/>
      <c r="N1321" s="49"/>
    </row>
    <row r="1322">
      <c r="L1322" s="49"/>
      <c r="M1322" s="49"/>
      <c r="N1322" s="49"/>
    </row>
    <row r="1323">
      <c r="L1323" s="49"/>
      <c r="M1323" s="49"/>
      <c r="N1323" s="49"/>
    </row>
    <row r="1324">
      <c r="L1324" s="49"/>
      <c r="M1324" s="49"/>
      <c r="N1324" s="49"/>
    </row>
    <row r="1325">
      <c r="L1325" s="49"/>
      <c r="M1325" s="49"/>
      <c r="N1325" s="49"/>
    </row>
    <row r="1326">
      <c r="L1326" s="49"/>
      <c r="M1326" s="49"/>
      <c r="N1326" s="49"/>
    </row>
    <row r="1327">
      <c r="L1327" s="49"/>
      <c r="M1327" s="49"/>
      <c r="N1327" s="49"/>
    </row>
    <row r="1328">
      <c r="L1328" s="49"/>
      <c r="M1328" s="49"/>
      <c r="N1328" s="49"/>
    </row>
    <row r="1329">
      <c r="L1329" s="49"/>
      <c r="M1329" s="49"/>
      <c r="N1329" s="49"/>
    </row>
    <row r="1330">
      <c r="L1330" s="49"/>
      <c r="M1330" s="49"/>
      <c r="N1330" s="49"/>
    </row>
    <row r="1331">
      <c r="L1331" s="49"/>
      <c r="M1331" s="49"/>
      <c r="N1331" s="49"/>
    </row>
    <row r="1332">
      <c r="L1332" s="49"/>
      <c r="M1332" s="49"/>
      <c r="N1332" s="49"/>
    </row>
    <row r="1333">
      <c r="L1333" s="49"/>
      <c r="M1333" s="49"/>
      <c r="N1333" s="49"/>
    </row>
    <row r="1334">
      <c r="L1334" s="49"/>
      <c r="M1334" s="49"/>
      <c r="N1334" s="49"/>
    </row>
    <row r="1335">
      <c r="L1335" s="49"/>
      <c r="M1335" s="49"/>
      <c r="N1335" s="49"/>
    </row>
    <row r="1336">
      <c r="L1336" s="49"/>
      <c r="M1336" s="49"/>
      <c r="N1336" s="49"/>
    </row>
    <row r="1337">
      <c r="L1337" s="49"/>
      <c r="M1337" s="49"/>
      <c r="N1337" s="49"/>
    </row>
    <row r="1338">
      <c r="L1338" s="49"/>
      <c r="M1338" s="49"/>
      <c r="N1338" s="49"/>
    </row>
    <row r="1339">
      <c r="L1339" s="49"/>
      <c r="M1339" s="49"/>
      <c r="N1339" s="49"/>
    </row>
    <row r="1340">
      <c r="L1340" s="49"/>
      <c r="M1340" s="49"/>
      <c r="N1340" s="49"/>
    </row>
    <row r="1341">
      <c r="L1341" s="49"/>
      <c r="M1341" s="49"/>
      <c r="N1341" s="49"/>
    </row>
    <row r="1342">
      <c r="L1342" s="49"/>
      <c r="M1342" s="49"/>
      <c r="N1342" s="49"/>
    </row>
    <row r="1343">
      <c r="L1343" s="49"/>
      <c r="M1343" s="49"/>
      <c r="N1343" s="49"/>
    </row>
    <row r="1344">
      <c r="L1344" s="49"/>
      <c r="M1344" s="49"/>
      <c r="N1344" s="49"/>
    </row>
    <row r="1345">
      <c r="L1345" s="49"/>
      <c r="M1345" s="49"/>
      <c r="N1345" s="49"/>
    </row>
    <row r="1346">
      <c r="L1346" s="49"/>
      <c r="M1346" s="49"/>
      <c r="N1346" s="49"/>
    </row>
    <row r="1347">
      <c r="L1347" s="49"/>
      <c r="M1347" s="49"/>
      <c r="N1347" s="49"/>
    </row>
    <row r="1348">
      <c r="L1348" s="49"/>
      <c r="M1348" s="49"/>
      <c r="N1348" s="49"/>
    </row>
    <row r="1349">
      <c r="L1349" s="49"/>
      <c r="M1349" s="49"/>
      <c r="N1349" s="49"/>
    </row>
    <row r="1350">
      <c r="L1350" s="49"/>
      <c r="M1350" s="49"/>
      <c r="N1350" s="49"/>
    </row>
    <row r="1351">
      <c r="L1351" s="49"/>
      <c r="M1351" s="49"/>
      <c r="N1351" s="49"/>
    </row>
    <row r="1352">
      <c r="L1352" s="49"/>
      <c r="M1352" s="49"/>
      <c r="N1352" s="49"/>
    </row>
    <row r="1353">
      <c r="L1353" s="49"/>
      <c r="M1353" s="49"/>
      <c r="N1353" s="49"/>
    </row>
    <row r="1354">
      <c r="L1354" s="49"/>
      <c r="M1354" s="49"/>
      <c r="N1354" s="49"/>
    </row>
    <row r="1355">
      <c r="L1355" s="49"/>
      <c r="M1355" s="49"/>
      <c r="N1355" s="49"/>
    </row>
    <row r="1356">
      <c r="L1356" s="49"/>
      <c r="M1356" s="49"/>
      <c r="N1356" s="49"/>
    </row>
    <row r="1357">
      <c r="L1357" s="49"/>
      <c r="M1357" s="49"/>
      <c r="N1357" s="49"/>
    </row>
    <row r="1358">
      <c r="L1358" s="49"/>
      <c r="M1358" s="49"/>
      <c r="N1358" s="49"/>
    </row>
    <row r="1359">
      <c r="L1359" s="49"/>
      <c r="M1359" s="49"/>
      <c r="N1359" s="49"/>
    </row>
    <row r="1360">
      <c r="L1360" s="49"/>
      <c r="M1360" s="49"/>
      <c r="N1360" s="49"/>
    </row>
    <row r="1361">
      <c r="L1361" s="49"/>
      <c r="M1361" s="49"/>
      <c r="N1361" s="49"/>
    </row>
    <row r="1362">
      <c r="L1362" s="49"/>
      <c r="M1362" s="49"/>
      <c r="N1362" s="49"/>
    </row>
    <row r="1363">
      <c r="L1363" s="49"/>
      <c r="M1363" s="49"/>
      <c r="N1363" s="49"/>
    </row>
    <row r="1364">
      <c r="L1364" s="49"/>
      <c r="M1364" s="49"/>
      <c r="N1364" s="49"/>
    </row>
    <row r="1365">
      <c r="L1365" s="49"/>
      <c r="M1365" s="49"/>
      <c r="N1365" s="49"/>
    </row>
    <row r="1366">
      <c r="L1366" s="49"/>
      <c r="M1366" s="49"/>
      <c r="N1366" s="49"/>
    </row>
    <row r="1367">
      <c r="L1367" s="49"/>
      <c r="M1367" s="49"/>
      <c r="N1367" s="49"/>
    </row>
    <row r="1368">
      <c r="L1368" s="49"/>
      <c r="M1368" s="49"/>
      <c r="N1368" s="49"/>
    </row>
    <row r="1369">
      <c r="L1369" s="49"/>
      <c r="M1369" s="49"/>
      <c r="N1369" s="49"/>
    </row>
    <row r="1370">
      <c r="L1370" s="49"/>
      <c r="M1370" s="49"/>
      <c r="N1370" s="49"/>
    </row>
    <row r="1371">
      <c r="L1371" s="49"/>
      <c r="M1371" s="49"/>
      <c r="N1371" s="49"/>
    </row>
    <row r="1372">
      <c r="L1372" s="49"/>
      <c r="M1372" s="49"/>
      <c r="N1372" s="49"/>
    </row>
    <row r="1373">
      <c r="L1373" s="49"/>
      <c r="M1373" s="49"/>
      <c r="N1373" s="49"/>
    </row>
    <row r="1374">
      <c r="L1374" s="49"/>
      <c r="M1374" s="49"/>
      <c r="N1374" s="49"/>
    </row>
    <row r="1375">
      <c r="L1375" s="49"/>
      <c r="M1375" s="49"/>
      <c r="N1375" s="49"/>
    </row>
    <row r="1376">
      <c r="L1376" s="49"/>
      <c r="M1376" s="49"/>
      <c r="N1376" s="49"/>
    </row>
    <row r="1377">
      <c r="L1377" s="49"/>
      <c r="M1377" s="49"/>
      <c r="N1377" s="49"/>
    </row>
    <row r="1378">
      <c r="L1378" s="49"/>
      <c r="M1378" s="49"/>
      <c r="N1378" s="49"/>
    </row>
    <row r="1379">
      <c r="L1379" s="49"/>
      <c r="M1379" s="49"/>
      <c r="N1379" s="49"/>
    </row>
    <row r="1380">
      <c r="L1380" s="49"/>
      <c r="M1380" s="49"/>
      <c r="N1380" s="49"/>
    </row>
    <row r="1381">
      <c r="L1381" s="49"/>
      <c r="M1381" s="49"/>
      <c r="N1381" s="49"/>
    </row>
    <row r="1382">
      <c r="L1382" s="49"/>
      <c r="M1382" s="49"/>
      <c r="N1382" s="49"/>
    </row>
    <row r="1383">
      <c r="L1383" s="49"/>
      <c r="M1383" s="49"/>
      <c r="N1383" s="49"/>
    </row>
    <row r="1384">
      <c r="L1384" s="49"/>
      <c r="M1384" s="49"/>
      <c r="N1384" s="49"/>
    </row>
    <row r="1385">
      <c r="L1385" s="49"/>
      <c r="M1385" s="49"/>
      <c r="N1385" s="49"/>
    </row>
    <row r="1386">
      <c r="L1386" s="49"/>
      <c r="M1386" s="49"/>
      <c r="N1386" s="49"/>
    </row>
    <row r="1387">
      <c r="L1387" s="49"/>
      <c r="M1387" s="49"/>
      <c r="N1387" s="49"/>
    </row>
    <row r="1388">
      <c r="L1388" s="49"/>
      <c r="M1388" s="49"/>
      <c r="N1388" s="49"/>
    </row>
    <row r="1389">
      <c r="L1389" s="49"/>
      <c r="M1389" s="49"/>
      <c r="N1389" s="49"/>
    </row>
    <row r="1390">
      <c r="L1390" s="49"/>
      <c r="M1390" s="49"/>
      <c r="N1390" s="49"/>
    </row>
    <row r="1391">
      <c r="L1391" s="49"/>
      <c r="M1391" s="49"/>
      <c r="N1391" s="49"/>
    </row>
    <row r="1392">
      <c r="L1392" s="49"/>
      <c r="M1392" s="49"/>
      <c r="N1392" s="49"/>
    </row>
    <row r="1393">
      <c r="L1393" s="49"/>
      <c r="M1393" s="49"/>
      <c r="N1393" s="49"/>
    </row>
    <row r="1394">
      <c r="L1394" s="49"/>
      <c r="M1394" s="49"/>
      <c r="N1394" s="49"/>
    </row>
    <row r="1395">
      <c r="L1395" s="49"/>
      <c r="M1395" s="49"/>
      <c r="N1395" s="49"/>
    </row>
    <row r="1396">
      <c r="L1396" s="49"/>
      <c r="M1396" s="49"/>
      <c r="N1396" s="49"/>
    </row>
    <row r="1397">
      <c r="L1397" s="49"/>
      <c r="M1397" s="49"/>
      <c r="N1397" s="49"/>
    </row>
    <row r="1398">
      <c r="L1398" s="49"/>
      <c r="M1398" s="49"/>
      <c r="N1398" s="49"/>
    </row>
    <row r="1399">
      <c r="L1399" s="49"/>
      <c r="M1399" s="49"/>
      <c r="N1399" s="49"/>
    </row>
    <row r="1400">
      <c r="L1400" s="49"/>
      <c r="M1400" s="49"/>
      <c r="N1400" s="49"/>
    </row>
    <row r="1401">
      <c r="L1401" s="49"/>
      <c r="M1401" s="49"/>
      <c r="N1401" s="49"/>
    </row>
    <row r="1402">
      <c r="L1402" s="49"/>
      <c r="M1402" s="49"/>
      <c r="N1402" s="49"/>
    </row>
    <row r="1403">
      <c r="L1403" s="49"/>
      <c r="M1403" s="49"/>
      <c r="N1403" s="49"/>
    </row>
    <row r="1404">
      <c r="L1404" s="49"/>
      <c r="M1404" s="49"/>
      <c r="N1404" s="49"/>
    </row>
    <row r="1405">
      <c r="L1405" s="49"/>
      <c r="M1405" s="49"/>
      <c r="N1405" s="49"/>
    </row>
    <row r="1406">
      <c r="L1406" s="49"/>
      <c r="M1406" s="49"/>
      <c r="N1406" s="49"/>
    </row>
    <row r="1407">
      <c r="L1407" s="49"/>
      <c r="M1407" s="49"/>
      <c r="N1407" s="49"/>
    </row>
    <row r="1408">
      <c r="L1408" s="49"/>
      <c r="M1408" s="49"/>
      <c r="N1408" s="49"/>
    </row>
    <row r="1409">
      <c r="L1409" s="49"/>
      <c r="M1409" s="49"/>
      <c r="N1409" s="49"/>
    </row>
    <row r="1410">
      <c r="L1410" s="49"/>
      <c r="M1410" s="49"/>
      <c r="N1410" s="49"/>
    </row>
    <row r="1411">
      <c r="L1411" s="49"/>
      <c r="M1411" s="49"/>
      <c r="N1411" s="49"/>
    </row>
    <row r="1412">
      <c r="L1412" s="49"/>
      <c r="M1412" s="49"/>
      <c r="N1412" s="49"/>
    </row>
    <row r="1413">
      <c r="L1413" s="49"/>
      <c r="M1413" s="49"/>
      <c r="N1413" s="49"/>
    </row>
    <row r="1414">
      <c r="L1414" s="49"/>
      <c r="M1414" s="49"/>
      <c r="N1414" s="49"/>
    </row>
    <row r="1415">
      <c r="L1415" s="49"/>
      <c r="M1415" s="49"/>
      <c r="N1415" s="49"/>
    </row>
    <row r="1416">
      <c r="L1416" s="49"/>
      <c r="M1416" s="49"/>
      <c r="N1416" s="49"/>
    </row>
    <row r="1417">
      <c r="L1417" s="49"/>
      <c r="M1417" s="49"/>
      <c r="N1417" s="49"/>
    </row>
    <row r="1418">
      <c r="L1418" s="49"/>
      <c r="M1418" s="49"/>
      <c r="N1418" s="49"/>
    </row>
    <row r="1419">
      <c r="L1419" s="49"/>
      <c r="M1419" s="49"/>
      <c r="N1419" s="49"/>
    </row>
    <row r="1420">
      <c r="L1420" s="49"/>
      <c r="M1420" s="49"/>
      <c r="N1420" s="49"/>
    </row>
    <row r="1421">
      <c r="L1421" s="49"/>
      <c r="M1421" s="49"/>
      <c r="N1421" s="49"/>
    </row>
    <row r="1422">
      <c r="L1422" s="49"/>
      <c r="M1422" s="49"/>
      <c r="N1422" s="49"/>
    </row>
    <row r="1423">
      <c r="L1423" s="49"/>
      <c r="M1423" s="49"/>
      <c r="N1423" s="49"/>
    </row>
    <row r="1424">
      <c r="L1424" s="49"/>
      <c r="M1424" s="49"/>
      <c r="N1424" s="49"/>
    </row>
    <row r="1425">
      <c r="L1425" s="49"/>
      <c r="M1425" s="49"/>
      <c r="N1425" s="49"/>
    </row>
    <row r="1426">
      <c r="L1426" s="49"/>
      <c r="M1426" s="49"/>
      <c r="N1426" s="49"/>
    </row>
    <row r="1427">
      <c r="L1427" s="49"/>
      <c r="M1427" s="49"/>
      <c r="N1427" s="49"/>
    </row>
    <row r="1428">
      <c r="L1428" s="49"/>
      <c r="M1428" s="49"/>
      <c r="N1428" s="49"/>
    </row>
    <row r="1429">
      <c r="L1429" s="49"/>
      <c r="M1429" s="49"/>
      <c r="N1429" s="49"/>
    </row>
    <row r="1430">
      <c r="L1430" s="49"/>
      <c r="M1430" s="49"/>
      <c r="N1430" s="49"/>
    </row>
    <row r="1431">
      <c r="L1431" s="49"/>
      <c r="M1431" s="49"/>
      <c r="N1431" s="49"/>
    </row>
    <row r="1432">
      <c r="L1432" s="49"/>
      <c r="M1432" s="49"/>
      <c r="N1432" s="49"/>
    </row>
    <row r="1433">
      <c r="L1433" s="49"/>
      <c r="M1433" s="49"/>
      <c r="N1433" s="49"/>
    </row>
    <row r="1434">
      <c r="L1434" s="49"/>
      <c r="M1434" s="49"/>
      <c r="N1434" s="49"/>
    </row>
    <row r="1435">
      <c r="L1435" s="49"/>
      <c r="M1435" s="49"/>
      <c r="N1435" s="49"/>
    </row>
    <row r="1436">
      <c r="L1436" s="49"/>
      <c r="M1436" s="49"/>
      <c r="N1436" s="49"/>
    </row>
    <row r="1437">
      <c r="L1437" s="49"/>
      <c r="M1437" s="49"/>
      <c r="N1437" s="49"/>
    </row>
    <row r="1438">
      <c r="L1438" s="49"/>
      <c r="M1438" s="49"/>
      <c r="N1438" s="49"/>
    </row>
    <row r="1439">
      <c r="L1439" s="49"/>
      <c r="M1439" s="49"/>
      <c r="N1439" s="49"/>
    </row>
    <row r="1440">
      <c r="L1440" s="49"/>
      <c r="M1440" s="49"/>
      <c r="N1440" s="49"/>
    </row>
    <row r="1441">
      <c r="L1441" s="49"/>
      <c r="M1441" s="49"/>
      <c r="N1441" s="49"/>
    </row>
    <row r="1442">
      <c r="L1442" s="49"/>
      <c r="M1442" s="49"/>
      <c r="N1442" s="49"/>
    </row>
    <row r="1443">
      <c r="L1443" s="49"/>
      <c r="M1443" s="49"/>
      <c r="N1443" s="49"/>
    </row>
    <row r="1444">
      <c r="L1444" s="49"/>
      <c r="M1444" s="49"/>
      <c r="N1444" s="49"/>
    </row>
    <row r="1445">
      <c r="L1445" s="49"/>
      <c r="M1445" s="49"/>
      <c r="N1445" s="49"/>
    </row>
    <row r="1446">
      <c r="L1446" s="49"/>
      <c r="M1446" s="49"/>
      <c r="N1446" s="49"/>
    </row>
    <row r="1447">
      <c r="L1447" s="49"/>
      <c r="M1447" s="49"/>
      <c r="N1447" s="49"/>
    </row>
    <row r="1448">
      <c r="L1448" s="49"/>
      <c r="M1448" s="49"/>
      <c r="N1448" s="49"/>
    </row>
    <row r="1449">
      <c r="L1449" s="49"/>
      <c r="M1449" s="49"/>
      <c r="N1449" s="49"/>
    </row>
    <row r="1450">
      <c r="L1450" s="49"/>
      <c r="M1450" s="49"/>
      <c r="N1450" s="49"/>
    </row>
    <row r="1451">
      <c r="L1451" s="49"/>
      <c r="M1451" s="49"/>
      <c r="N1451" s="49"/>
    </row>
    <row r="1452">
      <c r="L1452" s="49"/>
      <c r="M1452" s="49"/>
      <c r="N1452" s="49"/>
    </row>
    <row r="1453">
      <c r="L1453" s="49"/>
      <c r="M1453" s="49"/>
      <c r="N1453" s="49"/>
    </row>
    <row r="1454">
      <c r="L1454" s="49"/>
      <c r="M1454" s="49"/>
      <c r="N1454" s="49"/>
    </row>
    <row r="1455">
      <c r="L1455" s="49"/>
      <c r="M1455" s="49"/>
      <c r="N1455" s="49"/>
    </row>
    <row r="1456">
      <c r="L1456" s="49"/>
      <c r="M1456" s="49"/>
      <c r="N1456" s="49"/>
    </row>
    <row r="1457">
      <c r="L1457" s="49"/>
      <c r="M1457" s="49"/>
      <c r="N1457" s="49"/>
    </row>
    <row r="1458">
      <c r="L1458" s="49"/>
      <c r="M1458" s="49"/>
      <c r="N1458" s="49"/>
    </row>
    <row r="1459">
      <c r="L1459" s="49"/>
      <c r="M1459" s="49"/>
      <c r="N1459" s="49"/>
    </row>
    <row r="1460">
      <c r="L1460" s="49"/>
      <c r="M1460" s="49"/>
      <c r="N1460" s="49"/>
    </row>
    <row r="1461">
      <c r="L1461" s="49"/>
      <c r="M1461" s="49"/>
      <c r="N1461" s="49"/>
    </row>
    <row r="1462">
      <c r="L1462" s="49"/>
      <c r="M1462" s="49"/>
      <c r="N1462" s="49"/>
    </row>
    <row r="1463">
      <c r="L1463" s="49"/>
      <c r="M1463" s="49"/>
      <c r="N1463" s="49"/>
    </row>
    <row r="1464">
      <c r="L1464" s="49"/>
      <c r="M1464" s="49"/>
      <c r="N1464" s="49"/>
    </row>
    <row r="1465">
      <c r="L1465" s="49"/>
      <c r="M1465" s="49"/>
      <c r="N1465" s="49"/>
    </row>
    <row r="1466">
      <c r="L1466" s="49"/>
      <c r="M1466" s="49"/>
      <c r="N1466" s="49"/>
    </row>
    <row r="1467">
      <c r="L1467" s="49"/>
      <c r="M1467" s="49"/>
      <c r="N1467" s="49"/>
    </row>
    <row r="1468">
      <c r="L1468" s="49"/>
      <c r="M1468" s="49"/>
      <c r="N1468" s="49"/>
    </row>
    <row r="1469">
      <c r="L1469" s="49"/>
      <c r="M1469" s="49"/>
      <c r="N1469" s="49"/>
    </row>
    <row r="1470">
      <c r="L1470" s="49"/>
      <c r="M1470" s="49"/>
      <c r="N1470" s="49"/>
    </row>
    <row r="1471">
      <c r="L1471" s="49"/>
      <c r="M1471" s="49"/>
      <c r="N1471" s="49"/>
    </row>
    <row r="1472">
      <c r="L1472" s="49"/>
      <c r="M1472" s="49"/>
      <c r="N1472" s="49"/>
    </row>
    <row r="1473">
      <c r="L1473" s="49"/>
      <c r="M1473" s="49"/>
      <c r="N1473" s="49"/>
    </row>
    <row r="1474">
      <c r="L1474" s="49"/>
      <c r="M1474" s="49"/>
      <c r="N1474" s="49"/>
    </row>
    <row r="1475">
      <c r="L1475" s="49"/>
      <c r="M1475" s="49"/>
      <c r="N1475" s="49"/>
    </row>
    <row r="1476">
      <c r="L1476" s="49"/>
      <c r="M1476" s="49"/>
      <c r="N1476" s="49"/>
    </row>
    <row r="1477">
      <c r="L1477" s="49"/>
      <c r="M1477" s="49"/>
      <c r="N1477" s="49"/>
    </row>
    <row r="1478">
      <c r="L1478" s="49"/>
      <c r="M1478" s="49"/>
      <c r="N1478" s="49"/>
    </row>
    <row r="1479">
      <c r="L1479" s="49"/>
      <c r="M1479" s="49"/>
      <c r="N1479" s="49"/>
    </row>
    <row r="1480">
      <c r="L1480" s="49"/>
      <c r="M1480" s="49"/>
      <c r="N1480" s="49"/>
    </row>
    <row r="1481">
      <c r="L1481" s="49"/>
      <c r="M1481" s="49"/>
      <c r="N1481" s="49"/>
    </row>
    <row r="1482">
      <c r="L1482" s="49"/>
      <c r="M1482" s="49"/>
      <c r="N1482" s="49"/>
    </row>
    <row r="1483">
      <c r="L1483" s="49"/>
      <c r="M1483" s="49"/>
      <c r="N1483" s="49"/>
    </row>
    <row r="1484">
      <c r="L1484" s="49"/>
      <c r="M1484" s="49"/>
      <c r="N1484" s="49"/>
    </row>
    <row r="1485">
      <c r="L1485" s="49"/>
      <c r="M1485" s="49"/>
      <c r="N1485" s="49"/>
    </row>
    <row r="1486">
      <c r="L1486" s="49"/>
      <c r="M1486" s="49"/>
      <c r="N1486" s="49"/>
    </row>
    <row r="1487">
      <c r="L1487" s="49"/>
      <c r="M1487" s="49"/>
      <c r="N1487" s="49"/>
    </row>
    <row r="1488">
      <c r="L1488" s="49"/>
      <c r="M1488" s="49"/>
      <c r="N1488" s="49"/>
    </row>
    <row r="1489">
      <c r="L1489" s="49"/>
      <c r="M1489" s="49"/>
      <c r="N1489" s="49"/>
    </row>
    <row r="1490">
      <c r="L1490" s="49"/>
      <c r="M1490" s="49"/>
      <c r="N1490" s="49"/>
    </row>
    <row r="1491">
      <c r="L1491" s="49"/>
      <c r="M1491" s="49"/>
      <c r="N1491" s="49"/>
    </row>
    <row r="1492">
      <c r="L1492" s="49"/>
      <c r="M1492" s="49"/>
      <c r="N1492" s="49"/>
    </row>
    <row r="1493">
      <c r="L1493" s="49"/>
      <c r="M1493" s="49"/>
      <c r="N1493" s="49"/>
    </row>
    <row r="1494">
      <c r="L1494" s="49"/>
      <c r="M1494" s="49"/>
      <c r="N1494" s="49"/>
    </row>
    <row r="1495">
      <c r="L1495" s="49"/>
      <c r="M1495" s="49"/>
      <c r="N1495" s="49"/>
    </row>
    <row r="1496">
      <c r="L1496" s="49"/>
      <c r="M1496" s="49"/>
      <c r="N1496" s="49"/>
    </row>
    <row r="1497">
      <c r="L1497" s="49"/>
      <c r="M1497" s="49"/>
      <c r="N1497" s="49"/>
    </row>
    <row r="1498">
      <c r="L1498" s="49"/>
      <c r="M1498" s="49"/>
      <c r="N1498" s="49"/>
    </row>
    <row r="1499">
      <c r="L1499" s="49"/>
      <c r="M1499" s="49"/>
      <c r="N1499" s="49"/>
    </row>
    <row r="1500">
      <c r="L1500" s="49"/>
      <c r="M1500" s="49"/>
      <c r="N1500" s="49"/>
    </row>
    <row r="1501">
      <c r="L1501" s="49"/>
      <c r="M1501" s="49"/>
      <c r="N1501" s="49"/>
    </row>
    <row r="1502">
      <c r="L1502" s="49"/>
      <c r="M1502" s="49"/>
      <c r="N1502" s="49"/>
    </row>
    <row r="1503">
      <c r="L1503" s="49"/>
      <c r="M1503" s="49"/>
      <c r="N1503" s="49"/>
    </row>
    <row r="1504">
      <c r="L1504" s="49"/>
      <c r="M1504" s="49"/>
      <c r="N1504" s="49"/>
    </row>
    <row r="1505">
      <c r="L1505" s="49"/>
      <c r="M1505" s="49"/>
      <c r="N1505" s="49"/>
    </row>
    <row r="1506">
      <c r="L1506" s="49"/>
      <c r="M1506" s="49"/>
      <c r="N1506" s="49"/>
    </row>
    <row r="1507">
      <c r="L1507" s="49"/>
      <c r="M1507" s="49"/>
      <c r="N1507" s="49"/>
    </row>
    <row r="1508">
      <c r="L1508" s="49"/>
      <c r="M1508" s="49"/>
      <c r="N1508" s="49"/>
    </row>
    <row r="1509">
      <c r="L1509" s="49"/>
      <c r="M1509" s="49"/>
      <c r="N1509" s="49"/>
    </row>
    <row r="1510">
      <c r="L1510" s="49"/>
      <c r="M1510" s="49"/>
      <c r="N1510" s="49"/>
    </row>
    <row r="1511">
      <c r="L1511" s="49"/>
      <c r="M1511" s="49"/>
      <c r="N1511" s="49"/>
    </row>
    <row r="1512">
      <c r="L1512" s="49"/>
      <c r="M1512" s="49"/>
      <c r="N1512" s="49"/>
    </row>
    <row r="1513">
      <c r="L1513" s="49"/>
      <c r="M1513" s="49"/>
      <c r="N1513" s="49"/>
    </row>
    <row r="1514">
      <c r="L1514" s="49"/>
      <c r="M1514" s="49"/>
      <c r="N1514" s="49"/>
    </row>
    <row r="1515">
      <c r="L1515" s="49"/>
      <c r="M1515" s="49"/>
      <c r="N1515" s="49"/>
    </row>
    <row r="1516">
      <c r="L1516" s="49"/>
      <c r="M1516" s="49"/>
      <c r="N1516" s="49"/>
    </row>
    <row r="1517">
      <c r="L1517" s="49"/>
      <c r="M1517" s="49"/>
      <c r="N1517" s="49"/>
    </row>
    <row r="1518">
      <c r="L1518" s="49"/>
      <c r="M1518" s="49"/>
      <c r="N1518" s="49"/>
    </row>
    <row r="1519">
      <c r="L1519" s="49"/>
      <c r="M1519" s="49"/>
      <c r="N1519" s="49"/>
    </row>
    <row r="1520">
      <c r="L1520" s="49"/>
      <c r="M1520" s="49"/>
      <c r="N1520" s="49"/>
    </row>
    <row r="1521">
      <c r="L1521" s="49"/>
      <c r="M1521" s="49"/>
      <c r="N1521" s="49"/>
    </row>
    <row r="1522">
      <c r="L1522" s="49"/>
      <c r="M1522" s="49"/>
      <c r="N1522" s="49"/>
    </row>
    <row r="1523">
      <c r="L1523" s="49"/>
      <c r="M1523" s="49"/>
      <c r="N1523" s="49"/>
    </row>
    <row r="1524">
      <c r="L1524" s="49"/>
      <c r="M1524" s="49"/>
      <c r="N1524" s="49"/>
    </row>
    <row r="1525">
      <c r="L1525" s="49"/>
      <c r="M1525" s="49"/>
      <c r="N1525" s="49"/>
    </row>
    <row r="1526">
      <c r="L1526" s="49"/>
      <c r="M1526" s="49"/>
      <c r="N1526" s="49"/>
    </row>
    <row r="1527">
      <c r="L1527" s="49"/>
      <c r="M1527" s="49"/>
      <c r="N1527" s="49"/>
    </row>
    <row r="1528">
      <c r="L1528" s="49"/>
      <c r="M1528" s="49"/>
      <c r="N1528" s="49"/>
    </row>
    <row r="1529">
      <c r="L1529" s="49"/>
      <c r="M1529" s="49"/>
      <c r="N1529" s="49"/>
    </row>
    <row r="1530">
      <c r="L1530" s="49"/>
      <c r="M1530" s="49"/>
      <c r="N1530" s="49"/>
    </row>
    <row r="1531">
      <c r="L1531" s="49"/>
      <c r="M1531" s="49"/>
      <c r="N1531" s="49"/>
    </row>
    <row r="1532">
      <c r="L1532" s="49"/>
      <c r="M1532" s="49"/>
      <c r="N1532" s="49"/>
    </row>
    <row r="1533">
      <c r="L1533" s="49"/>
      <c r="M1533" s="49"/>
      <c r="N1533" s="49"/>
    </row>
    <row r="1534">
      <c r="L1534" s="49"/>
      <c r="M1534" s="49"/>
      <c r="N1534" s="49"/>
    </row>
    <row r="1535">
      <c r="L1535" s="49"/>
      <c r="M1535" s="49"/>
      <c r="N1535" s="49"/>
    </row>
    <row r="1536">
      <c r="L1536" s="49"/>
      <c r="M1536" s="49"/>
      <c r="N1536" s="49"/>
    </row>
    <row r="1537">
      <c r="L1537" s="49"/>
      <c r="M1537" s="49"/>
      <c r="N1537" s="49"/>
    </row>
    <row r="1538">
      <c r="L1538" s="49"/>
      <c r="M1538" s="49"/>
      <c r="N1538" s="49"/>
    </row>
    <row r="1539">
      <c r="L1539" s="49"/>
      <c r="M1539" s="49"/>
      <c r="N1539" s="49"/>
    </row>
    <row r="1540">
      <c r="L1540" s="49"/>
      <c r="M1540" s="49"/>
      <c r="N1540" s="49"/>
    </row>
    <row r="1541">
      <c r="L1541" s="49"/>
      <c r="M1541" s="49"/>
      <c r="N1541" s="49"/>
    </row>
    <row r="1542">
      <c r="L1542" s="49"/>
      <c r="M1542" s="49"/>
      <c r="N1542" s="49"/>
    </row>
    <row r="1543">
      <c r="L1543" s="49"/>
      <c r="M1543" s="49"/>
      <c r="N1543" s="49"/>
    </row>
    <row r="1544">
      <c r="L1544" s="49"/>
      <c r="M1544" s="49"/>
      <c r="N1544" s="49"/>
    </row>
    <row r="1545">
      <c r="L1545" s="49"/>
      <c r="M1545" s="49"/>
      <c r="N1545" s="49"/>
    </row>
    <row r="1546">
      <c r="L1546" s="49"/>
      <c r="M1546" s="49"/>
      <c r="N1546" s="49"/>
    </row>
    <row r="1547">
      <c r="L1547" s="49"/>
      <c r="M1547" s="49"/>
      <c r="N1547" s="49"/>
    </row>
    <row r="1548">
      <c r="L1548" s="49"/>
      <c r="M1548" s="49"/>
      <c r="N1548" s="49"/>
    </row>
    <row r="1549">
      <c r="L1549" s="49"/>
      <c r="M1549" s="49"/>
      <c r="N1549" s="49"/>
    </row>
    <row r="1550">
      <c r="L1550" s="49"/>
      <c r="M1550" s="49"/>
      <c r="N1550" s="49"/>
    </row>
    <row r="1551">
      <c r="L1551" s="49"/>
      <c r="M1551" s="49"/>
      <c r="N1551" s="49"/>
    </row>
    <row r="1552">
      <c r="L1552" s="49"/>
      <c r="M1552" s="49"/>
      <c r="N1552" s="49"/>
    </row>
    <row r="1553">
      <c r="L1553" s="49"/>
      <c r="M1553" s="49"/>
      <c r="N1553" s="49"/>
    </row>
    <row r="1554">
      <c r="L1554" s="49"/>
      <c r="M1554" s="49"/>
      <c r="N1554" s="49"/>
    </row>
    <row r="1555">
      <c r="L1555" s="49"/>
      <c r="M1555" s="49"/>
      <c r="N1555" s="49"/>
    </row>
    <row r="1556">
      <c r="L1556" s="49"/>
      <c r="M1556" s="49"/>
      <c r="N1556" s="49"/>
    </row>
    <row r="1557">
      <c r="L1557" s="49"/>
      <c r="M1557" s="49"/>
      <c r="N1557" s="49"/>
    </row>
    <row r="1558">
      <c r="L1558" s="49"/>
      <c r="M1558" s="49"/>
      <c r="N1558" s="49"/>
    </row>
    <row r="1559">
      <c r="L1559" s="49"/>
      <c r="M1559" s="49"/>
      <c r="N1559" s="49"/>
    </row>
    <row r="1560">
      <c r="L1560" s="49"/>
      <c r="M1560" s="49"/>
      <c r="N1560" s="49"/>
    </row>
    <row r="1561">
      <c r="L1561" s="49"/>
      <c r="M1561" s="49"/>
      <c r="N1561" s="49"/>
    </row>
    <row r="1562">
      <c r="L1562" s="49"/>
      <c r="M1562" s="49"/>
      <c r="N1562" s="49"/>
    </row>
    <row r="1563">
      <c r="L1563" s="49"/>
      <c r="M1563" s="49"/>
      <c r="N1563" s="49"/>
    </row>
    <row r="1564">
      <c r="L1564" s="49"/>
      <c r="M1564" s="49"/>
      <c r="N1564" s="49"/>
    </row>
    <row r="1565">
      <c r="L1565" s="49"/>
      <c r="M1565" s="49"/>
      <c r="N1565" s="49"/>
    </row>
    <row r="1566">
      <c r="L1566" s="49"/>
      <c r="M1566" s="49"/>
      <c r="N1566" s="49"/>
    </row>
    <row r="1567">
      <c r="L1567" s="49"/>
      <c r="M1567" s="49"/>
      <c r="N1567" s="49"/>
    </row>
    <row r="1568">
      <c r="L1568" s="49"/>
      <c r="M1568" s="49"/>
      <c r="N1568" s="49"/>
    </row>
    <row r="1569">
      <c r="L1569" s="49"/>
      <c r="M1569" s="49"/>
      <c r="N1569" s="49"/>
    </row>
    <row r="1570">
      <c r="L1570" s="49"/>
      <c r="M1570" s="49"/>
      <c r="N1570" s="49"/>
    </row>
    <row r="1571">
      <c r="L1571" s="49"/>
      <c r="M1571" s="49"/>
      <c r="N1571" s="49"/>
    </row>
    <row r="1572">
      <c r="L1572" s="49"/>
      <c r="M1572" s="49"/>
      <c r="N1572" s="49"/>
    </row>
    <row r="1573">
      <c r="L1573" s="49"/>
      <c r="M1573" s="49"/>
      <c r="N1573" s="49"/>
    </row>
    <row r="1574">
      <c r="L1574" s="49"/>
      <c r="M1574" s="49"/>
      <c r="N1574" s="49"/>
    </row>
    <row r="1575">
      <c r="L1575" s="49"/>
      <c r="M1575" s="49"/>
      <c r="N1575" s="49"/>
    </row>
    <row r="1576">
      <c r="L1576" s="49"/>
      <c r="M1576" s="49"/>
      <c r="N1576" s="49"/>
    </row>
    <row r="1577">
      <c r="L1577" s="49"/>
      <c r="M1577" s="49"/>
      <c r="N1577" s="49"/>
    </row>
    <row r="1578">
      <c r="L1578" s="49"/>
      <c r="M1578" s="49"/>
      <c r="N1578" s="49"/>
    </row>
    <row r="1579">
      <c r="L1579" s="49"/>
      <c r="M1579" s="49"/>
      <c r="N1579" s="49"/>
    </row>
    <row r="1580">
      <c r="L1580" s="49"/>
      <c r="M1580" s="49"/>
      <c r="N1580" s="49"/>
    </row>
    <row r="1581">
      <c r="L1581" s="49"/>
      <c r="M1581" s="49"/>
      <c r="N1581" s="49"/>
    </row>
    <row r="1582">
      <c r="L1582" s="49"/>
      <c r="M1582" s="49"/>
      <c r="N1582" s="49"/>
    </row>
    <row r="1583">
      <c r="L1583" s="49"/>
      <c r="M1583" s="49"/>
      <c r="N1583" s="49"/>
    </row>
    <row r="1584">
      <c r="L1584" s="49"/>
      <c r="M1584" s="49"/>
      <c r="N1584" s="49"/>
    </row>
    <row r="1585">
      <c r="L1585" s="49"/>
      <c r="M1585" s="49"/>
      <c r="N1585" s="49"/>
    </row>
    <row r="1586">
      <c r="L1586" s="49"/>
      <c r="M1586" s="49"/>
      <c r="N1586" s="49"/>
    </row>
    <row r="1587">
      <c r="L1587" s="49"/>
      <c r="M1587" s="49"/>
      <c r="N1587" s="49"/>
    </row>
    <row r="1588">
      <c r="L1588" s="49"/>
      <c r="M1588" s="49"/>
      <c r="N1588" s="49"/>
    </row>
    <row r="1589">
      <c r="L1589" s="49"/>
      <c r="M1589" s="49"/>
      <c r="N1589" s="49"/>
    </row>
    <row r="1590">
      <c r="L1590" s="49"/>
      <c r="M1590" s="49"/>
      <c r="N1590" s="49"/>
    </row>
    <row r="1591">
      <c r="L1591" s="49"/>
      <c r="M1591" s="49"/>
      <c r="N1591" s="49"/>
    </row>
    <row r="1592">
      <c r="L1592" s="49"/>
      <c r="M1592" s="49"/>
      <c r="N1592" s="49"/>
    </row>
    <row r="1593">
      <c r="L1593" s="49"/>
      <c r="M1593" s="49"/>
      <c r="N1593" s="49"/>
    </row>
    <row r="1594">
      <c r="L1594" s="49"/>
      <c r="M1594" s="49"/>
      <c r="N1594" s="49"/>
    </row>
    <row r="1595">
      <c r="L1595" s="49"/>
      <c r="M1595" s="49"/>
      <c r="N1595" s="49"/>
    </row>
    <row r="1596">
      <c r="L1596" s="49"/>
      <c r="M1596" s="49"/>
      <c r="N1596" s="49"/>
    </row>
    <row r="1597">
      <c r="L1597" s="49"/>
      <c r="M1597" s="49"/>
      <c r="N1597" s="49"/>
    </row>
    <row r="1598">
      <c r="L1598" s="49"/>
      <c r="M1598" s="49"/>
      <c r="N1598" s="49"/>
    </row>
    <row r="1599">
      <c r="L1599" s="49"/>
      <c r="M1599" s="49"/>
      <c r="N1599" s="49"/>
    </row>
    <row r="1600">
      <c r="L1600" s="49"/>
      <c r="M1600" s="49"/>
      <c r="N1600" s="49"/>
    </row>
    <row r="1601">
      <c r="L1601" s="49"/>
      <c r="M1601" s="49"/>
      <c r="N1601" s="49"/>
    </row>
    <row r="1602">
      <c r="L1602" s="49"/>
      <c r="M1602" s="49"/>
      <c r="N1602" s="49"/>
    </row>
    <row r="1603">
      <c r="L1603" s="49"/>
      <c r="M1603" s="49"/>
      <c r="N1603" s="49"/>
    </row>
    <row r="1604">
      <c r="L1604" s="49"/>
      <c r="M1604" s="49"/>
      <c r="N1604" s="49"/>
    </row>
    <row r="1605">
      <c r="L1605" s="49"/>
      <c r="M1605" s="49"/>
      <c r="N1605" s="49"/>
    </row>
    <row r="1606">
      <c r="L1606" s="49"/>
      <c r="M1606" s="49"/>
      <c r="N1606" s="49"/>
    </row>
    <row r="1607">
      <c r="L1607" s="49"/>
      <c r="M1607" s="49"/>
      <c r="N1607" s="49"/>
    </row>
    <row r="1608">
      <c r="L1608" s="49"/>
      <c r="M1608" s="49"/>
      <c r="N1608" s="49"/>
    </row>
    <row r="1609">
      <c r="L1609" s="49"/>
      <c r="M1609" s="49"/>
      <c r="N1609" s="49"/>
    </row>
    <row r="1610">
      <c r="L1610" s="49"/>
      <c r="M1610" s="49"/>
      <c r="N1610" s="49"/>
    </row>
    <row r="1611">
      <c r="L1611" s="49"/>
      <c r="M1611" s="49"/>
      <c r="N1611" s="49"/>
    </row>
    <row r="1612">
      <c r="L1612" s="49"/>
      <c r="M1612" s="49"/>
      <c r="N1612" s="49"/>
    </row>
    <row r="1613">
      <c r="L1613" s="49"/>
      <c r="M1613" s="49"/>
      <c r="N1613" s="49"/>
    </row>
    <row r="1614">
      <c r="L1614" s="49"/>
      <c r="M1614" s="49"/>
      <c r="N1614" s="49"/>
    </row>
    <row r="1615">
      <c r="L1615" s="49"/>
      <c r="M1615" s="49"/>
      <c r="N1615" s="49"/>
    </row>
    <row r="1616">
      <c r="L1616" s="49"/>
      <c r="M1616" s="49"/>
      <c r="N1616" s="49"/>
    </row>
    <row r="1617">
      <c r="L1617" s="49"/>
      <c r="M1617" s="49"/>
      <c r="N1617" s="49"/>
    </row>
    <row r="1618">
      <c r="L1618" s="49"/>
      <c r="M1618" s="49"/>
      <c r="N1618" s="49"/>
    </row>
    <row r="1619">
      <c r="L1619" s="49"/>
      <c r="M1619" s="49"/>
      <c r="N1619" s="49"/>
    </row>
    <row r="1620">
      <c r="L1620" s="49"/>
      <c r="M1620" s="49"/>
      <c r="N1620" s="49"/>
    </row>
    <row r="1621">
      <c r="L1621" s="49"/>
      <c r="M1621" s="49"/>
      <c r="N1621" s="49"/>
    </row>
    <row r="1622">
      <c r="L1622" s="49"/>
      <c r="M1622" s="49"/>
      <c r="N1622" s="49"/>
    </row>
    <row r="1623">
      <c r="L1623" s="49"/>
      <c r="M1623" s="49"/>
      <c r="N1623" s="49"/>
    </row>
    <row r="1624">
      <c r="L1624" s="49"/>
      <c r="M1624" s="49"/>
      <c r="N1624" s="49"/>
    </row>
    <row r="1625">
      <c r="L1625" s="49"/>
      <c r="M1625" s="49"/>
      <c r="N1625" s="49"/>
    </row>
    <row r="1626">
      <c r="L1626" s="49"/>
      <c r="M1626" s="49"/>
      <c r="N1626" s="49"/>
    </row>
    <row r="1627">
      <c r="L1627" s="49"/>
      <c r="M1627" s="49"/>
      <c r="N1627" s="49"/>
    </row>
    <row r="1628">
      <c r="L1628" s="49"/>
      <c r="M1628" s="49"/>
      <c r="N1628" s="49"/>
    </row>
    <row r="1629">
      <c r="L1629" s="49"/>
      <c r="M1629" s="49"/>
      <c r="N1629" s="49"/>
    </row>
    <row r="1630">
      <c r="L1630" s="49"/>
      <c r="M1630" s="49"/>
      <c r="N1630" s="49"/>
    </row>
    <row r="1631">
      <c r="L1631" s="49"/>
      <c r="M1631" s="49"/>
      <c r="N1631" s="49"/>
    </row>
    <row r="1632">
      <c r="L1632" s="49"/>
      <c r="M1632" s="49"/>
      <c r="N1632" s="49"/>
    </row>
    <row r="1633">
      <c r="L1633" s="49"/>
      <c r="M1633" s="49"/>
      <c r="N1633" s="49"/>
    </row>
    <row r="1634">
      <c r="L1634" s="49"/>
      <c r="M1634" s="49"/>
      <c r="N1634" s="49"/>
    </row>
    <row r="1635">
      <c r="L1635" s="49"/>
      <c r="M1635" s="49"/>
      <c r="N1635" s="49"/>
    </row>
    <row r="1636">
      <c r="L1636" s="49"/>
      <c r="M1636" s="49"/>
      <c r="N1636" s="49"/>
    </row>
    <row r="1637">
      <c r="L1637" s="49"/>
      <c r="M1637" s="49"/>
      <c r="N1637" s="49"/>
    </row>
    <row r="1638">
      <c r="L1638" s="49"/>
      <c r="M1638" s="49"/>
      <c r="N1638" s="49"/>
    </row>
    <row r="1639">
      <c r="L1639" s="49"/>
      <c r="M1639" s="49"/>
      <c r="N1639" s="49"/>
    </row>
    <row r="1640">
      <c r="L1640" s="49"/>
      <c r="M1640" s="49"/>
      <c r="N1640" s="49"/>
    </row>
    <row r="1641">
      <c r="L1641" s="49"/>
      <c r="M1641" s="49"/>
      <c r="N1641" s="49"/>
    </row>
    <row r="1642">
      <c r="L1642" s="49"/>
      <c r="M1642" s="49"/>
      <c r="N1642" s="49"/>
    </row>
    <row r="1643">
      <c r="L1643" s="49"/>
      <c r="M1643" s="49"/>
      <c r="N1643" s="49"/>
    </row>
    <row r="1644">
      <c r="L1644" s="49"/>
      <c r="M1644" s="49"/>
      <c r="N1644" s="49"/>
    </row>
    <row r="1645">
      <c r="L1645" s="49"/>
      <c r="M1645" s="49"/>
      <c r="N1645" s="49"/>
    </row>
    <row r="1646">
      <c r="L1646" s="49"/>
      <c r="M1646" s="49"/>
      <c r="N1646" s="49"/>
    </row>
    <row r="1647">
      <c r="L1647" s="49"/>
      <c r="M1647" s="49"/>
      <c r="N1647" s="49"/>
    </row>
    <row r="1648">
      <c r="L1648" s="49"/>
      <c r="M1648" s="49"/>
      <c r="N1648" s="49"/>
    </row>
    <row r="1649">
      <c r="L1649" s="49"/>
      <c r="M1649" s="49"/>
      <c r="N1649" s="49"/>
    </row>
    <row r="1650">
      <c r="L1650" s="49"/>
      <c r="M1650" s="49"/>
      <c r="N1650" s="49"/>
    </row>
    <row r="1651">
      <c r="L1651" s="49"/>
      <c r="M1651" s="49"/>
      <c r="N1651" s="49"/>
    </row>
    <row r="1652">
      <c r="L1652" s="49"/>
      <c r="M1652" s="49"/>
      <c r="N1652" s="49"/>
    </row>
    <row r="1653">
      <c r="L1653" s="49"/>
      <c r="M1653" s="49"/>
      <c r="N1653" s="49"/>
    </row>
    <row r="1654">
      <c r="L1654" s="49"/>
      <c r="M1654" s="49"/>
      <c r="N1654" s="49"/>
    </row>
    <row r="1655">
      <c r="L1655" s="49"/>
      <c r="M1655" s="49"/>
      <c r="N1655" s="49"/>
    </row>
    <row r="1656">
      <c r="L1656" s="49"/>
      <c r="M1656" s="49"/>
      <c r="N1656" s="49"/>
    </row>
    <row r="1657">
      <c r="L1657" s="49"/>
      <c r="M1657" s="49"/>
      <c r="N1657" s="49"/>
    </row>
    <row r="1658">
      <c r="L1658" s="49"/>
      <c r="M1658" s="49"/>
      <c r="N1658" s="49"/>
    </row>
    <row r="1659">
      <c r="L1659" s="49"/>
      <c r="M1659" s="49"/>
      <c r="N1659" s="49"/>
    </row>
    <row r="1660">
      <c r="L1660" s="49"/>
      <c r="M1660" s="49"/>
      <c r="N1660" s="49"/>
    </row>
    <row r="1661">
      <c r="L1661" s="49"/>
      <c r="M1661" s="49"/>
      <c r="N1661" s="49"/>
    </row>
    <row r="1662">
      <c r="L1662" s="49"/>
      <c r="M1662" s="49"/>
      <c r="N1662" s="49"/>
    </row>
    <row r="1663">
      <c r="L1663" s="49"/>
      <c r="M1663" s="49"/>
      <c r="N1663" s="49"/>
    </row>
    <row r="1664">
      <c r="L1664" s="49"/>
      <c r="M1664" s="49"/>
      <c r="N1664" s="49"/>
    </row>
    <row r="1665">
      <c r="L1665" s="49"/>
      <c r="M1665" s="49"/>
      <c r="N1665" s="49"/>
    </row>
    <row r="1666">
      <c r="L1666" s="49"/>
      <c r="M1666" s="49"/>
      <c r="N1666" s="49"/>
    </row>
    <row r="1667">
      <c r="L1667" s="49"/>
      <c r="M1667" s="49"/>
      <c r="N1667" s="49"/>
    </row>
    <row r="1668">
      <c r="L1668" s="49"/>
      <c r="M1668" s="49"/>
      <c r="N1668" s="49"/>
    </row>
    <row r="1669">
      <c r="L1669" s="49"/>
      <c r="M1669" s="49"/>
      <c r="N1669" s="49"/>
    </row>
    <row r="1670">
      <c r="L1670" s="49"/>
      <c r="M1670" s="49"/>
      <c r="N1670" s="49"/>
    </row>
    <row r="1671">
      <c r="L1671" s="49"/>
      <c r="M1671" s="49"/>
      <c r="N1671" s="49"/>
    </row>
    <row r="1672">
      <c r="L1672" s="49"/>
      <c r="M1672" s="49"/>
      <c r="N1672" s="49"/>
    </row>
    <row r="1673">
      <c r="L1673" s="49"/>
      <c r="M1673" s="49"/>
      <c r="N1673" s="49"/>
    </row>
    <row r="1674">
      <c r="L1674" s="49"/>
      <c r="M1674" s="49"/>
      <c r="N1674" s="49"/>
    </row>
    <row r="1675">
      <c r="L1675" s="49"/>
      <c r="M1675" s="49"/>
      <c r="N1675" s="49"/>
    </row>
    <row r="1676">
      <c r="L1676" s="49"/>
      <c r="M1676" s="49"/>
      <c r="N1676" s="49"/>
    </row>
    <row r="1677">
      <c r="L1677" s="49"/>
      <c r="M1677" s="49"/>
      <c r="N1677" s="49"/>
    </row>
    <row r="1678">
      <c r="L1678" s="49"/>
      <c r="M1678" s="49"/>
      <c r="N1678" s="49"/>
    </row>
    <row r="1679">
      <c r="L1679" s="49"/>
      <c r="M1679" s="49"/>
      <c r="N1679" s="49"/>
    </row>
    <row r="1680">
      <c r="L1680" s="49"/>
      <c r="M1680" s="49"/>
      <c r="N1680" s="49"/>
    </row>
    <row r="1681">
      <c r="L1681" s="49"/>
      <c r="M1681" s="49"/>
      <c r="N1681" s="49"/>
    </row>
    <row r="1682">
      <c r="L1682" s="49"/>
      <c r="M1682" s="49"/>
      <c r="N1682" s="49"/>
    </row>
    <row r="1683">
      <c r="L1683" s="49"/>
      <c r="M1683" s="49"/>
      <c r="N1683" s="49"/>
    </row>
    <row r="1684">
      <c r="L1684" s="49"/>
      <c r="M1684" s="49"/>
      <c r="N1684" s="49"/>
    </row>
    <row r="1685">
      <c r="L1685" s="49"/>
      <c r="M1685" s="49"/>
      <c r="N1685" s="49"/>
    </row>
    <row r="1686">
      <c r="L1686" s="49"/>
      <c r="M1686" s="49"/>
      <c r="N1686" s="49"/>
    </row>
    <row r="1687">
      <c r="L1687" s="49"/>
      <c r="M1687" s="49"/>
      <c r="N1687" s="49"/>
    </row>
    <row r="1688">
      <c r="L1688" s="1"/>
      <c r="M1688" s="1"/>
      <c r="N1688" s="1"/>
    </row>
    <row r="1689">
      <c r="L1689" s="1"/>
      <c r="M1689" s="1"/>
      <c r="N1689" s="1"/>
    </row>
    <row r="1690">
      <c r="L1690" s="1"/>
      <c r="M1690" s="1"/>
      <c r="N1690" s="1"/>
    </row>
    <row r="1691">
      <c r="L1691" s="49"/>
      <c r="M1691" s="49"/>
      <c r="N1691" s="49"/>
    </row>
    <row r="1692">
      <c r="L1692" s="49"/>
      <c r="M1692" s="49"/>
      <c r="N1692" s="49"/>
    </row>
    <row r="1693">
      <c r="L1693" s="49"/>
      <c r="M1693" s="49"/>
      <c r="N1693" s="49"/>
    </row>
    <row r="1694">
      <c r="L1694" s="49"/>
      <c r="M1694" s="49"/>
      <c r="N1694" s="49"/>
    </row>
    <row r="1695">
      <c r="L1695" s="49"/>
      <c r="M1695" s="49"/>
      <c r="N1695" s="49"/>
    </row>
    <row r="1696">
      <c r="L1696" s="49"/>
      <c r="M1696" s="49"/>
      <c r="N1696" s="49"/>
    </row>
    <row r="1697">
      <c r="L1697" s="49"/>
      <c r="M1697" s="49"/>
      <c r="N1697" s="49"/>
    </row>
    <row r="1698">
      <c r="L1698" s="49"/>
      <c r="M1698" s="49"/>
      <c r="N1698" s="49"/>
    </row>
    <row r="1699">
      <c r="L1699" s="49"/>
      <c r="M1699" s="49"/>
      <c r="N1699" s="49"/>
    </row>
    <row r="1700">
      <c r="L1700" s="49"/>
      <c r="M1700" s="49"/>
      <c r="N1700" s="49"/>
    </row>
    <row r="1701">
      <c r="L1701" s="49"/>
      <c r="M1701" s="49"/>
      <c r="N1701" s="49"/>
    </row>
    <row r="1702">
      <c r="L1702" s="49"/>
      <c r="M1702" s="49"/>
      <c r="N1702" s="49"/>
    </row>
    <row r="1703">
      <c r="L1703" s="49"/>
      <c r="M1703" s="49"/>
      <c r="N1703" s="49"/>
    </row>
    <row r="1704">
      <c r="L1704" s="49"/>
      <c r="M1704" s="49"/>
      <c r="N1704" s="49"/>
    </row>
    <row r="1705">
      <c r="L1705" s="49"/>
      <c r="M1705" s="49"/>
      <c r="N1705" s="49"/>
    </row>
    <row r="1706">
      <c r="L1706" s="49"/>
      <c r="M1706" s="49"/>
      <c r="N1706" s="49"/>
    </row>
    <row r="1707">
      <c r="L1707" s="49"/>
      <c r="M1707" s="49"/>
      <c r="N1707" s="49"/>
    </row>
    <row r="1708">
      <c r="L1708" s="49"/>
      <c r="M1708" s="49"/>
      <c r="N1708" s="49"/>
    </row>
    <row r="1709">
      <c r="L1709" s="49"/>
      <c r="M1709" s="49"/>
      <c r="N1709" s="49"/>
    </row>
    <row r="1710">
      <c r="L1710" s="49"/>
      <c r="M1710" s="49"/>
      <c r="N1710" s="49"/>
    </row>
    <row r="1711">
      <c r="L1711" s="49"/>
      <c r="M1711" s="49"/>
      <c r="N1711" s="49"/>
    </row>
    <row r="1712">
      <c r="L1712" s="49"/>
      <c r="M1712" s="49"/>
      <c r="N1712" s="49"/>
    </row>
    <row r="1713">
      <c r="L1713" s="49"/>
      <c r="M1713" s="49"/>
      <c r="N1713" s="49"/>
    </row>
    <row r="1714">
      <c r="L1714" s="49"/>
      <c r="M1714" s="49"/>
      <c r="N1714" s="49"/>
    </row>
    <row r="1715">
      <c r="L1715" s="49"/>
      <c r="M1715" s="49"/>
      <c r="N1715" s="49"/>
    </row>
    <row r="1716">
      <c r="L1716" s="49"/>
      <c r="M1716" s="49"/>
      <c r="N1716" s="49"/>
    </row>
    <row r="1717">
      <c r="L1717" s="49"/>
      <c r="M1717" s="49"/>
      <c r="N1717" s="49"/>
    </row>
    <row r="1718">
      <c r="L1718" s="49"/>
      <c r="M1718" s="49"/>
      <c r="N1718" s="49"/>
    </row>
    <row r="1719">
      <c r="L1719" s="49"/>
      <c r="M1719" s="49"/>
      <c r="N1719" s="49"/>
    </row>
    <row r="1720">
      <c r="L1720" s="49"/>
      <c r="M1720" s="49"/>
      <c r="N1720" s="49"/>
    </row>
    <row r="1721">
      <c r="L1721" s="49"/>
      <c r="M1721" s="49"/>
      <c r="N1721" s="49"/>
    </row>
    <row r="1722">
      <c r="L1722" s="49"/>
      <c r="M1722" s="49"/>
      <c r="N1722" s="49"/>
    </row>
    <row r="1723">
      <c r="L1723" s="49"/>
      <c r="M1723" s="49"/>
      <c r="N1723" s="49"/>
    </row>
    <row r="1724">
      <c r="L1724" s="49"/>
      <c r="M1724" s="49"/>
      <c r="N1724" s="49"/>
    </row>
    <row r="1725">
      <c r="L1725" s="49"/>
      <c r="M1725" s="49"/>
      <c r="N1725" s="49"/>
    </row>
    <row r="1726">
      <c r="L1726" s="49"/>
      <c r="M1726" s="49"/>
      <c r="N1726" s="49"/>
    </row>
    <row r="1727">
      <c r="L1727" s="49"/>
      <c r="M1727" s="49"/>
      <c r="N1727" s="49"/>
    </row>
    <row r="1728">
      <c r="L1728" s="49"/>
      <c r="M1728" s="49"/>
      <c r="N1728" s="49"/>
    </row>
    <row r="1729">
      <c r="L1729" s="49"/>
      <c r="M1729" s="49"/>
      <c r="N1729" s="49"/>
    </row>
    <row r="1730">
      <c r="L1730" s="49"/>
      <c r="M1730" s="49"/>
      <c r="N1730" s="49"/>
    </row>
    <row r="1731">
      <c r="L1731" s="49"/>
      <c r="M1731" s="49"/>
      <c r="N1731" s="49"/>
    </row>
    <row r="1732">
      <c r="L1732" s="49"/>
      <c r="M1732" s="49"/>
      <c r="N1732" s="49"/>
    </row>
    <row r="1733">
      <c r="L1733" s="49"/>
      <c r="M1733" s="49"/>
      <c r="N1733" s="49"/>
    </row>
    <row r="1734">
      <c r="L1734" s="49"/>
      <c r="M1734" s="49"/>
      <c r="N1734" s="49"/>
    </row>
    <row r="1735">
      <c r="L1735" s="49"/>
      <c r="M1735" s="49"/>
      <c r="N1735" s="49"/>
    </row>
    <row r="1736">
      <c r="L1736" s="49"/>
      <c r="M1736" s="49"/>
      <c r="N1736" s="49"/>
    </row>
    <row r="1737">
      <c r="L1737" s="49"/>
      <c r="M1737" s="49"/>
      <c r="N1737" s="49"/>
    </row>
    <row r="1738">
      <c r="L1738" s="49"/>
      <c r="M1738" s="49"/>
      <c r="N1738" s="49"/>
    </row>
    <row r="1739">
      <c r="L1739" s="49"/>
      <c r="M1739" s="49"/>
      <c r="N1739" s="49"/>
    </row>
    <row r="1740">
      <c r="L1740" s="49"/>
      <c r="M1740" s="49"/>
      <c r="N1740" s="49"/>
    </row>
    <row r="1741">
      <c r="L1741" s="49"/>
      <c r="M1741" s="49"/>
      <c r="N1741" s="49"/>
    </row>
    <row r="1742">
      <c r="L1742" s="49"/>
      <c r="M1742" s="49"/>
      <c r="N1742" s="49"/>
    </row>
    <row r="1743">
      <c r="L1743" s="49"/>
      <c r="M1743" s="49"/>
      <c r="N1743" s="49"/>
    </row>
    <row r="1744">
      <c r="L1744" s="49"/>
      <c r="M1744" s="49"/>
      <c r="N1744" s="49"/>
    </row>
    <row r="1745">
      <c r="L1745" s="49"/>
      <c r="M1745" s="49"/>
      <c r="N1745" s="49"/>
    </row>
    <row r="1746">
      <c r="L1746" s="49"/>
      <c r="M1746" s="49"/>
      <c r="N1746" s="49"/>
    </row>
    <row r="1747">
      <c r="L1747" s="49"/>
      <c r="M1747" s="49"/>
      <c r="N1747" s="49"/>
    </row>
    <row r="1748">
      <c r="L1748" s="49"/>
      <c r="M1748" s="49"/>
      <c r="N1748" s="49"/>
    </row>
    <row r="1749">
      <c r="L1749" s="49"/>
      <c r="M1749" s="49"/>
      <c r="N1749" s="49"/>
    </row>
    <row r="1750">
      <c r="L1750" s="49"/>
      <c r="M1750" s="49"/>
      <c r="N1750" s="49"/>
    </row>
    <row r="1751">
      <c r="L1751" s="49"/>
      <c r="M1751" s="49"/>
      <c r="N1751" s="49"/>
    </row>
    <row r="1752">
      <c r="L1752" s="49"/>
      <c r="M1752" s="49"/>
      <c r="N1752" s="49"/>
    </row>
    <row r="1753">
      <c r="L1753" s="49"/>
      <c r="M1753" s="49"/>
      <c r="N1753" s="49"/>
    </row>
    <row r="1754">
      <c r="L1754" s="49"/>
      <c r="M1754" s="49"/>
      <c r="N1754" s="49"/>
    </row>
    <row r="1755">
      <c r="L1755" s="49"/>
      <c r="M1755" s="49"/>
      <c r="N1755" s="49"/>
    </row>
    <row r="1756">
      <c r="L1756" s="49"/>
      <c r="M1756" s="49"/>
      <c r="N1756" s="49"/>
    </row>
    <row r="1757">
      <c r="L1757" s="49"/>
      <c r="M1757" s="49"/>
      <c r="N1757" s="49"/>
    </row>
    <row r="1758">
      <c r="L1758" s="49"/>
      <c r="M1758" s="49"/>
      <c r="N1758" s="49"/>
    </row>
    <row r="1759">
      <c r="L1759" s="49"/>
      <c r="M1759" s="49"/>
      <c r="N1759" s="49"/>
    </row>
    <row r="1760">
      <c r="L1760" s="49"/>
      <c r="M1760" s="49"/>
      <c r="N1760" s="49"/>
    </row>
    <row r="1761">
      <c r="L1761" s="49"/>
      <c r="M1761" s="49"/>
      <c r="N1761" s="49"/>
    </row>
    <row r="1762">
      <c r="L1762" s="49"/>
      <c r="M1762" s="49"/>
      <c r="N1762" s="49"/>
    </row>
    <row r="1763">
      <c r="L1763" s="49"/>
      <c r="M1763" s="49"/>
      <c r="N1763" s="49"/>
    </row>
    <row r="1764">
      <c r="L1764" s="49"/>
      <c r="M1764" s="49"/>
      <c r="N1764" s="49"/>
    </row>
    <row r="1765">
      <c r="L1765" s="49"/>
      <c r="M1765" s="49"/>
      <c r="N1765" s="49"/>
    </row>
    <row r="1766">
      <c r="L1766" s="49"/>
      <c r="M1766" s="49"/>
      <c r="N1766" s="49"/>
    </row>
    <row r="1767">
      <c r="L1767" s="49"/>
      <c r="M1767" s="49"/>
      <c r="N1767" s="49"/>
    </row>
    <row r="1768">
      <c r="L1768" s="49"/>
      <c r="M1768" s="49"/>
      <c r="N1768" s="49"/>
    </row>
    <row r="1769">
      <c r="L1769" s="49"/>
      <c r="M1769" s="49"/>
      <c r="N1769" s="49"/>
    </row>
    <row r="1770">
      <c r="L1770" s="49"/>
      <c r="M1770" s="49"/>
      <c r="N1770" s="49"/>
    </row>
    <row r="1771">
      <c r="L1771" s="49"/>
      <c r="M1771" s="49"/>
      <c r="N1771" s="49"/>
    </row>
    <row r="1772">
      <c r="L1772" s="49"/>
      <c r="M1772" s="49"/>
      <c r="N1772" s="49"/>
    </row>
    <row r="1773">
      <c r="L1773" s="49"/>
      <c r="M1773" s="49"/>
      <c r="N1773" s="49"/>
    </row>
    <row r="1774">
      <c r="L1774" s="49"/>
      <c r="M1774" s="49"/>
      <c r="N1774" s="49"/>
    </row>
    <row r="1775">
      <c r="L1775" s="49"/>
      <c r="M1775" s="49"/>
      <c r="N1775" s="49"/>
    </row>
    <row r="1776">
      <c r="L1776" s="49"/>
      <c r="M1776" s="49"/>
      <c r="N1776" s="49"/>
    </row>
    <row r="1777">
      <c r="L1777" s="49"/>
      <c r="M1777" s="49"/>
      <c r="N1777" s="49"/>
    </row>
    <row r="1778">
      <c r="L1778" s="49"/>
      <c r="M1778" s="49"/>
      <c r="N1778" s="49"/>
    </row>
    <row r="1779">
      <c r="L1779" s="49"/>
      <c r="M1779" s="49"/>
      <c r="N1779" s="49"/>
    </row>
    <row r="1780">
      <c r="L1780" s="49"/>
      <c r="M1780" s="49"/>
      <c r="N1780" s="49"/>
    </row>
    <row r="1781">
      <c r="L1781" s="49"/>
      <c r="M1781" s="49"/>
      <c r="N1781" s="49"/>
    </row>
    <row r="1782">
      <c r="L1782" s="49"/>
      <c r="M1782" s="49"/>
      <c r="N1782" s="49"/>
    </row>
    <row r="1783">
      <c r="L1783" s="49"/>
      <c r="M1783" s="49"/>
      <c r="N1783" s="49"/>
    </row>
    <row r="1784">
      <c r="L1784" s="49"/>
      <c r="M1784" s="49"/>
      <c r="N1784" s="49"/>
    </row>
    <row r="1785">
      <c r="L1785" s="49"/>
      <c r="M1785" s="49"/>
      <c r="N1785" s="49"/>
    </row>
    <row r="1786">
      <c r="L1786" s="49"/>
      <c r="M1786" s="49"/>
      <c r="N1786" s="49"/>
    </row>
    <row r="1787">
      <c r="L1787" s="49"/>
      <c r="M1787" s="49"/>
      <c r="N1787" s="49"/>
    </row>
    <row r="1788">
      <c r="L1788" s="49"/>
      <c r="M1788" s="49"/>
      <c r="N1788" s="49"/>
    </row>
    <row r="1789">
      <c r="L1789" s="49"/>
      <c r="M1789" s="49"/>
      <c r="N1789" s="49"/>
    </row>
    <row r="1790">
      <c r="L1790" s="49"/>
      <c r="M1790" s="49"/>
      <c r="N1790" s="49"/>
    </row>
    <row r="1791">
      <c r="L1791" s="49"/>
      <c r="M1791" s="49"/>
      <c r="N1791" s="49"/>
    </row>
    <row r="1792">
      <c r="L1792" s="49"/>
      <c r="M1792" s="49"/>
      <c r="N1792" s="49"/>
    </row>
    <row r="1793">
      <c r="L1793" s="49"/>
      <c r="M1793" s="49"/>
      <c r="N1793" s="49"/>
    </row>
    <row r="1794">
      <c r="L1794" s="49"/>
      <c r="M1794" s="49"/>
      <c r="N1794" s="49"/>
    </row>
    <row r="1795">
      <c r="L1795" s="49"/>
      <c r="M1795" s="49"/>
      <c r="N1795" s="49"/>
    </row>
    <row r="1796">
      <c r="L1796" s="49"/>
      <c r="M1796" s="49"/>
      <c r="N1796" s="49"/>
    </row>
    <row r="1797">
      <c r="L1797" s="49"/>
      <c r="M1797" s="49"/>
      <c r="N1797" s="49"/>
    </row>
    <row r="1798">
      <c r="L1798" s="49"/>
      <c r="M1798" s="49"/>
      <c r="N1798" s="49"/>
    </row>
    <row r="1799">
      <c r="L1799" s="49"/>
      <c r="M1799" s="49"/>
      <c r="N1799" s="49"/>
    </row>
    <row r="1800">
      <c r="L1800" s="49"/>
      <c r="M1800" s="49"/>
      <c r="N1800" s="49"/>
    </row>
    <row r="1801">
      <c r="L1801" s="49"/>
      <c r="M1801" s="49"/>
      <c r="N1801" s="49"/>
    </row>
    <row r="1802">
      <c r="L1802" s="49"/>
      <c r="M1802" s="49"/>
      <c r="N1802" s="49"/>
    </row>
    <row r="1803">
      <c r="L1803" s="49"/>
      <c r="M1803" s="49"/>
      <c r="N1803" s="49"/>
    </row>
    <row r="1804">
      <c r="L1804" s="49"/>
      <c r="M1804" s="49"/>
      <c r="N1804" s="49"/>
    </row>
    <row r="1805">
      <c r="L1805" s="49"/>
      <c r="M1805" s="49"/>
      <c r="N1805" s="49"/>
    </row>
    <row r="1806">
      <c r="L1806" s="49"/>
      <c r="M1806" s="49"/>
      <c r="N1806" s="49"/>
    </row>
    <row r="1807">
      <c r="L1807" s="49"/>
      <c r="M1807" s="49"/>
      <c r="N1807" s="49"/>
    </row>
    <row r="1808">
      <c r="L1808" s="49"/>
      <c r="M1808" s="49"/>
      <c r="N1808" s="49"/>
    </row>
    <row r="1809">
      <c r="L1809" s="49"/>
      <c r="M1809" s="49"/>
      <c r="N1809" s="49"/>
    </row>
    <row r="1810">
      <c r="L1810" s="49"/>
      <c r="M1810" s="49"/>
      <c r="N1810" s="49"/>
    </row>
    <row r="1811">
      <c r="L1811" s="49"/>
      <c r="M1811" s="49"/>
      <c r="N1811" s="49"/>
    </row>
    <row r="1812">
      <c r="L1812" s="49"/>
      <c r="M1812" s="49"/>
      <c r="N1812" s="49"/>
    </row>
    <row r="1813">
      <c r="L1813" s="49"/>
      <c r="M1813" s="49"/>
      <c r="N1813" s="49"/>
    </row>
    <row r="1814">
      <c r="L1814" s="49"/>
      <c r="M1814" s="49"/>
      <c r="N1814" s="49"/>
    </row>
    <row r="1815">
      <c r="L1815" s="49"/>
      <c r="M1815" s="49"/>
      <c r="N1815" s="49"/>
    </row>
    <row r="1816">
      <c r="L1816" s="49"/>
      <c r="M1816" s="49"/>
      <c r="N1816" s="49"/>
    </row>
    <row r="1817">
      <c r="L1817" s="49"/>
      <c r="M1817" s="49"/>
      <c r="N1817" s="49"/>
    </row>
    <row r="1818">
      <c r="L1818" s="49"/>
      <c r="M1818" s="49"/>
      <c r="N1818" s="49"/>
    </row>
    <row r="1819">
      <c r="L1819" s="49"/>
      <c r="M1819" s="49"/>
      <c r="N1819" s="49"/>
    </row>
    <row r="1820">
      <c r="L1820" s="49"/>
      <c r="M1820" s="49"/>
      <c r="N1820" s="49"/>
    </row>
    <row r="1821">
      <c r="L1821" s="49"/>
      <c r="M1821" s="49"/>
      <c r="N1821" s="49"/>
    </row>
    <row r="1822">
      <c r="L1822" s="49"/>
      <c r="M1822" s="49"/>
      <c r="N1822" s="49"/>
    </row>
    <row r="1823">
      <c r="L1823" s="49"/>
      <c r="M1823" s="49"/>
      <c r="N1823" s="49"/>
    </row>
    <row r="1824">
      <c r="L1824" s="49"/>
      <c r="M1824" s="49"/>
      <c r="N1824" s="49"/>
    </row>
    <row r="1825">
      <c r="L1825" s="49"/>
      <c r="M1825" s="49"/>
      <c r="N1825" s="49"/>
    </row>
    <row r="1826">
      <c r="L1826" s="49"/>
      <c r="M1826" s="49"/>
      <c r="N1826" s="49"/>
    </row>
    <row r="1827">
      <c r="L1827" s="49"/>
      <c r="M1827" s="49"/>
      <c r="N1827" s="49"/>
    </row>
    <row r="1828">
      <c r="L1828" s="49"/>
      <c r="M1828" s="49"/>
      <c r="N1828" s="49"/>
    </row>
    <row r="1829">
      <c r="L1829" s="49"/>
      <c r="M1829" s="49"/>
      <c r="N1829" s="49"/>
    </row>
    <row r="1830">
      <c r="L1830" s="49"/>
      <c r="M1830" s="49"/>
      <c r="N1830" s="49"/>
    </row>
    <row r="1831">
      <c r="L1831" s="49"/>
      <c r="M1831" s="49"/>
      <c r="N1831" s="49"/>
    </row>
    <row r="1832">
      <c r="L1832" s="49"/>
      <c r="M1832" s="49"/>
      <c r="N1832" s="49"/>
    </row>
    <row r="1833">
      <c r="L1833" s="49"/>
      <c r="M1833" s="49"/>
      <c r="N1833" s="49"/>
    </row>
    <row r="1834">
      <c r="L1834" s="49"/>
      <c r="M1834" s="49"/>
      <c r="N1834" s="49"/>
    </row>
    <row r="1835">
      <c r="L1835" s="49"/>
      <c r="M1835" s="49"/>
      <c r="N1835" s="49"/>
    </row>
    <row r="1836">
      <c r="L1836" s="49"/>
      <c r="M1836" s="49"/>
      <c r="N1836" s="49"/>
    </row>
    <row r="1837">
      <c r="L1837" s="49"/>
      <c r="M1837" s="49"/>
      <c r="N1837" s="49"/>
    </row>
    <row r="1838">
      <c r="L1838" s="49"/>
      <c r="M1838" s="49"/>
      <c r="N1838" s="49"/>
    </row>
    <row r="1839">
      <c r="L1839" s="49"/>
      <c r="M1839" s="49"/>
      <c r="N1839" s="49"/>
    </row>
    <row r="1840">
      <c r="L1840" s="49"/>
      <c r="M1840" s="49"/>
      <c r="N1840" s="49"/>
    </row>
    <row r="1841">
      <c r="L1841" s="49"/>
      <c r="M1841" s="49"/>
      <c r="N1841" s="49"/>
    </row>
    <row r="1842">
      <c r="L1842" s="49"/>
      <c r="M1842" s="49"/>
      <c r="N1842" s="49"/>
    </row>
    <row r="1843">
      <c r="L1843" s="49"/>
      <c r="M1843" s="49"/>
      <c r="N1843" s="49"/>
    </row>
    <row r="1844">
      <c r="L1844" s="49"/>
      <c r="M1844" s="49"/>
      <c r="N1844" s="49"/>
    </row>
    <row r="1845">
      <c r="L1845" s="49"/>
      <c r="M1845" s="49"/>
      <c r="N1845" s="49"/>
    </row>
    <row r="1846">
      <c r="L1846" s="49"/>
      <c r="M1846" s="49"/>
      <c r="N1846" s="49"/>
    </row>
    <row r="1847">
      <c r="L1847" s="49"/>
      <c r="M1847" s="49"/>
      <c r="N1847" s="49"/>
    </row>
    <row r="1848">
      <c r="L1848" s="49"/>
      <c r="M1848" s="49"/>
      <c r="N1848" s="49"/>
    </row>
    <row r="1849">
      <c r="L1849" s="49"/>
      <c r="M1849" s="49"/>
      <c r="N1849" s="49"/>
    </row>
    <row r="1850">
      <c r="L1850" s="49"/>
      <c r="M1850" s="49"/>
      <c r="N1850" s="49"/>
    </row>
    <row r="1851">
      <c r="L1851" s="49"/>
      <c r="M1851" s="49"/>
      <c r="N1851" s="49"/>
    </row>
    <row r="1852">
      <c r="L1852" s="49"/>
      <c r="M1852" s="49"/>
      <c r="N1852" s="49"/>
    </row>
    <row r="1853">
      <c r="L1853" s="49"/>
      <c r="M1853" s="49"/>
      <c r="N1853" s="49"/>
    </row>
    <row r="1854">
      <c r="L1854" s="49"/>
      <c r="M1854" s="49"/>
      <c r="N1854" s="49"/>
    </row>
    <row r="1855">
      <c r="L1855" s="49"/>
      <c r="M1855" s="49"/>
      <c r="N1855" s="49"/>
    </row>
    <row r="1856">
      <c r="L1856" s="49"/>
      <c r="M1856" s="49"/>
      <c r="N1856" s="49"/>
    </row>
    <row r="1857">
      <c r="L1857" s="49"/>
      <c r="M1857" s="49"/>
      <c r="N1857" s="49"/>
    </row>
    <row r="1858">
      <c r="L1858" s="49"/>
      <c r="M1858" s="49"/>
      <c r="N1858" s="49"/>
    </row>
    <row r="1859">
      <c r="L1859" s="49"/>
      <c r="M1859" s="49"/>
      <c r="N1859" s="49"/>
    </row>
    <row r="1860">
      <c r="L1860" s="49"/>
      <c r="M1860" s="49"/>
      <c r="N1860" s="49"/>
    </row>
    <row r="1861">
      <c r="L1861" s="49"/>
      <c r="M1861" s="49"/>
      <c r="N1861" s="49"/>
    </row>
    <row r="1862">
      <c r="L1862" s="49"/>
      <c r="M1862" s="49"/>
      <c r="N1862" s="49"/>
    </row>
    <row r="1863">
      <c r="L1863" s="49"/>
      <c r="M1863" s="49"/>
      <c r="N1863" s="49"/>
    </row>
    <row r="1864">
      <c r="L1864" s="49"/>
      <c r="M1864" s="49"/>
      <c r="N1864" s="49"/>
    </row>
    <row r="1865">
      <c r="L1865" s="49"/>
      <c r="M1865" s="49"/>
      <c r="N1865" s="49"/>
    </row>
    <row r="1866">
      <c r="L1866" s="49"/>
      <c r="M1866" s="49"/>
      <c r="N1866" s="49"/>
    </row>
    <row r="1867">
      <c r="L1867" s="49"/>
      <c r="M1867" s="49"/>
      <c r="N1867" s="49"/>
    </row>
    <row r="1868">
      <c r="L1868" s="49"/>
      <c r="M1868" s="49"/>
      <c r="N1868" s="49"/>
    </row>
    <row r="1869">
      <c r="L1869" s="49"/>
      <c r="M1869" s="49"/>
      <c r="N1869" s="49"/>
    </row>
    <row r="1870">
      <c r="L1870" s="49"/>
      <c r="M1870" s="49"/>
      <c r="N1870" s="49"/>
    </row>
    <row r="1871">
      <c r="L1871" s="49"/>
      <c r="M1871" s="49"/>
      <c r="N1871" s="49"/>
    </row>
    <row r="1872">
      <c r="L1872" s="49"/>
      <c r="M1872" s="49"/>
      <c r="N1872" s="49"/>
    </row>
    <row r="1873">
      <c r="L1873" s="49"/>
      <c r="M1873" s="49"/>
      <c r="N1873" s="49"/>
    </row>
    <row r="1874">
      <c r="L1874" s="49"/>
      <c r="M1874" s="49"/>
      <c r="N1874" s="49"/>
    </row>
    <row r="1875">
      <c r="L1875" s="49"/>
      <c r="M1875" s="49"/>
      <c r="N1875" s="49"/>
    </row>
    <row r="1876">
      <c r="L1876" s="49"/>
      <c r="M1876" s="49"/>
      <c r="N1876" s="49"/>
    </row>
    <row r="1877">
      <c r="L1877" s="49"/>
      <c r="M1877" s="49"/>
      <c r="N1877" s="49"/>
    </row>
    <row r="1878">
      <c r="L1878" s="49"/>
      <c r="M1878" s="49"/>
      <c r="N1878" s="49"/>
    </row>
    <row r="1879">
      <c r="L1879" s="49"/>
      <c r="M1879" s="49"/>
      <c r="N1879" s="49"/>
    </row>
    <row r="1880">
      <c r="L1880" s="49"/>
      <c r="M1880" s="49"/>
      <c r="N1880" s="49"/>
    </row>
    <row r="1881">
      <c r="L1881" s="49"/>
      <c r="M1881" s="49"/>
      <c r="N1881" s="49"/>
    </row>
    <row r="1882">
      <c r="L1882" s="49"/>
      <c r="M1882" s="49"/>
      <c r="N1882" s="49"/>
    </row>
    <row r="1883">
      <c r="L1883" s="49"/>
      <c r="M1883" s="49"/>
      <c r="N1883" s="49"/>
    </row>
    <row r="1884">
      <c r="L1884" s="49"/>
      <c r="M1884" s="49"/>
      <c r="N1884" s="49"/>
    </row>
    <row r="1885">
      <c r="L1885" s="49"/>
      <c r="M1885" s="49"/>
      <c r="N1885" s="49"/>
    </row>
    <row r="1886">
      <c r="L1886" s="49"/>
      <c r="M1886" s="49"/>
      <c r="N1886" s="49"/>
    </row>
    <row r="1887">
      <c r="L1887" s="49"/>
      <c r="M1887" s="49"/>
      <c r="N1887" s="49"/>
    </row>
    <row r="1888">
      <c r="L1888" s="49"/>
      <c r="M1888" s="49"/>
      <c r="N1888" s="49"/>
    </row>
    <row r="1889">
      <c r="L1889" s="49"/>
      <c r="M1889" s="49"/>
      <c r="N1889" s="49"/>
    </row>
    <row r="1890">
      <c r="L1890" s="49"/>
      <c r="M1890" s="49"/>
      <c r="N1890" s="49"/>
    </row>
    <row r="1891">
      <c r="L1891" s="49"/>
      <c r="M1891" s="49"/>
      <c r="N1891" s="49"/>
    </row>
    <row r="1892">
      <c r="L1892" s="49"/>
      <c r="M1892" s="49"/>
      <c r="N1892" s="49"/>
    </row>
    <row r="1893">
      <c r="L1893" s="49"/>
      <c r="M1893" s="49"/>
      <c r="N1893" s="49"/>
    </row>
    <row r="1894">
      <c r="L1894" s="49"/>
      <c r="M1894" s="49"/>
      <c r="N1894" s="49"/>
    </row>
    <row r="1895">
      <c r="L1895" s="49"/>
      <c r="M1895" s="49"/>
      <c r="N1895" s="49"/>
    </row>
    <row r="1896">
      <c r="L1896" s="49"/>
      <c r="M1896" s="49"/>
      <c r="N1896" s="49"/>
    </row>
    <row r="1897">
      <c r="L1897" s="49"/>
      <c r="M1897" s="49"/>
      <c r="N1897" s="49"/>
    </row>
    <row r="1898">
      <c r="L1898" s="49"/>
      <c r="M1898" s="49"/>
      <c r="N1898" s="49"/>
    </row>
    <row r="1899">
      <c r="L1899" s="49"/>
      <c r="M1899" s="49"/>
      <c r="N1899" s="49"/>
    </row>
    <row r="1900">
      <c r="L1900" s="49"/>
      <c r="M1900" s="49"/>
      <c r="N1900" s="49"/>
    </row>
    <row r="1901">
      <c r="L1901" s="49"/>
      <c r="M1901" s="49"/>
      <c r="N1901" s="49"/>
    </row>
    <row r="1902">
      <c r="L1902" s="49"/>
      <c r="M1902" s="49"/>
      <c r="N1902" s="49"/>
    </row>
    <row r="1903">
      <c r="L1903" s="49"/>
      <c r="M1903" s="49"/>
      <c r="N1903" s="49"/>
    </row>
    <row r="1904">
      <c r="L1904" s="49"/>
      <c r="M1904" s="49"/>
      <c r="N1904" s="49"/>
    </row>
    <row r="1905">
      <c r="L1905" s="49"/>
      <c r="M1905" s="49"/>
      <c r="N1905" s="49"/>
    </row>
    <row r="1906">
      <c r="L1906" s="49"/>
      <c r="M1906" s="49"/>
      <c r="N1906" s="49"/>
    </row>
    <row r="1907">
      <c r="L1907" s="49"/>
      <c r="M1907" s="49"/>
      <c r="N1907" s="49"/>
    </row>
    <row r="1908">
      <c r="L1908" s="49"/>
      <c r="M1908" s="49"/>
      <c r="N1908" s="49"/>
    </row>
    <row r="1909">
      <c r="L1909" s="49"/>
      <c r="M1909" s="49"/>
      <c r="N1909" s="49"/>
    </row>
    <row r="1910">
      <c r="L1910" s="49"/>
      <c r="M1910" s="49"/>
      <c r="N1910" s="49"/>
    </row>
    <row r="1911">
      <c r="L1911" s="49"/>
      <c r="M1911" s="49"/>
      <c r="N1911" s="49"/>
    </row>
    <row r="1912">
      <c r="L1912" s="49"/>
      <c r="M1912" s="49"/>
      <c r="N1912" s="49"/>
    </row>
    <row r="1913">
      <c r="L1913" s="49"/>
      <c r="M1913" s="49"/>
      <c r="N1913" s="49"/>
    </row>
    <row r="1914">
      <c r="L1914" s="49"/>
      <c r="M1914" s="49"/>
      <c r="N1914" s="49"/>
    </row>
    <row r="1915">
      <c r="L1915" s="49"/>
      <c r="M1915" s="49"/>
      <c r="N1915" s="49"/>
    </row>
    <row r="1916">
      <c r="L1916" s="49"/>
      <c r="M1916" s="49"/>
      <c r="N1916" s="49"/>
    </row>
    <row r="1917">
      <c r="L1917" s="49"/>
      <c r="M1917" s="49"/>
      <c r="N1917" s="49"/>
    </row>
    <row r="1918">
      <c r="L1918" s="49"/>
      <c r="M1918" s="49"/>
      <c r="N1918" s="49"/>
    </row>
    <row r="1919">
      <c r="L1919" s="49"/>
      <c r="M1919" s="49"/>
      <c r="N1919" s="49"/>
    </row>
    <row r="1920">
      <c r="L1920" s="49"/>
      <c r="M1920" s="49"/>
      <c r="N1920" s="49"/>
    </row>
    <row r="1921">
      <c r="L1921" s="49"/>
      <c r="M1921" s="49"/>
      <c r="N1921" s="49"/>
    </row>
    <row r="1922">
      <c r="L1922" s="49"/>
      <c r="M1922" s="49"/>
      <c r="N1922" s="49"/>
    </row>
    <row r="1923">
      <c r="L1923" s="49"/>
      <c r="M1923" s="49"/>
      <c r="N1923" s="49"/>
    </row>
    <row r="1924">
      <c r="L1924" s="49"/>
      <c r="M1924" s="49"/>
      <c r="N1924" s="49"/>
    </row>
    <row r="1925">
      <c r="L1925" s="49"/>
      <c r="M1925" s="49"/>
      <c r="N1925" s="49"/>
    </row>
    <row r="1926">
      <c r="L1926" s="49"/>
      <c r="M1926" s="49"/>
      <c r="N1926" s="49"/>
    </row>
    <row r="1927">
      <c r="L1927" s="49"/>
      <c r="M1927" s="49"/>
      <c r="N1927" s="49"/>
    </row>
    <row r="1928">
      <c r="L1928" s="49"/>
      <c r="M1928" s="49"/>
      <c r="N1928" s="49"/>
    </row>
    <row r="1929">
      <c r="L1929" s="49"/>
      <c r="M1929" s="49"/>
      <c r="N1929" s="49"/>
    </row>
    <row r="1930">
      <c r="L1930" s="49"/>
      <c r="M1930" s="49"/>
      <c r="N1930" s="49"/>
    </row>
    <row r="1931">
      <c r="L1931" s="49"/>
      <c r="M1931" s="49"/>
      <c r="N1931" s="49"/>
    </row>
    <row r="1932">
      <c r="L1932" s="49"/>
      <c r="M1932" s="49"/>
      <c r="N1932" s="49"/>
    </row>
    <row r="1933">
      <c r="L1933" s="49"/>
      <c r="M1933" s="49"/>
      <c r="N1933" s="49"/>
    </row>
    <row r="1934">
      <c r="L1934" s="49"/>
      <c r="M1934" s="49"/>
      <c r="N1934" s="49"/>
    </row>
    <row r="1935">
      <c r="L1935" s="49"/>
      <c r="M1935" s="49"/>
      <c r="N1935" s="49"/>
    </row>
    <row r="1936">
      <c r="L1936" s="49"/>
      <c r="M1936" s="49"/>
      <c r="N1936" s="49"/>
    </row>
    <row r="1937">
      <c r="L1937" s="49"/>
      <c r="M1937" s="49"/>
      <c r="N1937" s="49"/>
    </row>
    <row r="1938">
      <c r="L1938" s="49"/>
      <c r="M1938" s="49"/>
      <c r="N1938" s="49"/>
    </row>
    <row r="1939">
      <c r="L1939" s="49"/>
      <c r="M1939" s="49"/>
      <c r="N1939" s="49"/>
    </row>
    <row r="1940">
      <c r="L1940" s="49"/>
      <c r="M1940" s="49"/>
      <c r="N1940" s="49"/>
    </row>
    <row r="1941">
      <c r="L1941" s="49"/>
      <c r="M1941" s="49"/>
      <c r="N1941" s="49"/>
    </row>
    <row r="1942">
      <c r="L1942" s="49"/>
      <c r="M1942" s="49"/>
      <c r="N1942" s="49"/>
    </row>
    <row r="1943">
      <c r="L1943" s="49"/>
      <c r="M1943" s="49"/>
      <c r="N1943" s="49"/>
    </row>
    <row r="1944">
      <c r="L1944" s="49"/>
      <c r="M1944" s="49"/>
      <c r="N1944" s="49"/>
    </row>
    <row r="1945">
      <c r="L1945" s="49"/>
      <c r="M1945" s="49"/>
      <c r="N1945" s="49"/>
    </row>
    <row r="1946">
      <c r="L1946" s="49"/>
      <c r="M1946" s="49"/>
      <c r="N1946" s="49"/>
    </row>
    <row r="1947">
      <c r="L1947" s="49"/>
      <c r="M1947" s="49"/>
      <c r="N1947" s="49"/>
    </row>
    <row r="1948">
      <c r="L1948" s="49"/>
      <c r="M1948" s="49"/>
      <c r="N1948" s="49"/>
    </row>
    <row r="1949">
      <c r="L1949" s="49"/>
      <c r="M1949" s="49"/>
      <c r="N1949" s="49"/>
    </row>
    <row r="1950">
      <c r="L1950" s="49"/>
      <c r="M1950" s="49"/>
      <c r="N1950" s="49"/>
    </row>
    <row r="1951">
      <c r="L1951" s="49"/>
      <c r="M1951" s="49"/>
      <c r="N1951" s="49"/>
    </row>
    <row r="1952">
      <c r="L1952" s="49"/>
      <c r="M1952" s="49"/>
      <c r="N1952" s="49"/>
    </row>
    <row r="1953">
      <c r="L1953" s="49"/>
      <c r="M1953" s="49"/>
      <c r="N1953" s="49"/>
    </row>
    <row r="1954">
      <c r="L1954" s="49"/>
      <c r="M1954" s="49"/>
      <c r="N1954" s="49"/>
    </row>
    <row r="1955">
      <c r="L1955" s="49"/>
      <c r="M1955" s="49"/>
      <c r="N1955" s="49"/>
    </row>
    <row r="1956">
      <c r="L1956" s="49"/>
      <c r="M1956" s="49"/>
      <c r="N1956" s="49"/>
    </row>
    <row r="1957">
      <c r="L1957" s="49"/>
      <c r="M1957" s="49"/>
      <c r="N1957" s="49"/>
    </row>
    <row r="1958">
      <c r="L1958" s="49"/>
      <c r="M1958" s="49"/>
      <c r="N1958" s="49"/>
    </row>
    <row r="1959">
      <c r="L1959" s="49"/>
      <c r="M1959" s="49"/>
      <c r="N1959" s="49"/>
    </row>
    <row r="1960">
      <c r="L1960" s="49"/>
      <c r="M1960" s="49"/>
      <c r="N1960" s="49"/>
    </row>
    <row r="1961">
      <c r="L1961" s="49"/>
      <c r="M1961" s="49"/>
      <c r="N1961" s="49"/>
    </row>
    <row r="1962">
      <c r="L1962" s="49"/>
      <c r="M1962" s="49"/>
      <c r="N1962" s="49"/>
    </row>
    <row r="1963">
      <c r="L1963" s="49"/>
      <c r="M1963" s="49"/>
      <c r="N1963" s="49"/>
    </row>
    <row r="1964">
      <c r="L1964" s="49"/>
      <c r="M1964" s="49"/>
      <c r="N1964" s="49"/>
    </row>
    <row r="1965">
      <c r="L1965" s="49"/>
      <c r="M1965" s="49"/>
      <c r="N1965" s="49"/>
    </row>
    <row r="1966">
      <c r="L1966" s="49"/>
      <c r="M1966" s="49"/>
      <c r="N1966" s="49"/>
    </row>
    <row r="1967">
      <c r="L1967" s="49"/>
      <c r="M1967" s="49"/>
      <c r="N1967" s="49"/>
    </row>
    <row r="1968">
      <c r="L1968" s="49"/>
      <c r="M1968" s="49"/>
      <c r="N1968" s="49"/>
    </row>
    <row r="1969">
      <c r="L1969" s="49"/>
      <c r="M1969" s="49"/>
      <c r="N1969" s="49"/>
    </row>
    <row r="1970">
      <c r="L1970" s="49"/>
      <c r="M1970" s="49"/>
      <c r="N1970" s="49"/>
    </row>
    <row r="1971">
      <c r="L1971" s="49"/>
      <c r="M1971" s="49"/>
      <c r="N1971" s="49"/>
    </row>
    <row r="1972">
      <c r="L1972" s="49"/>
      <c r="M1972" s="49"/>
      <c r="N1972" s="49"/>
    </row>
    <row r="1973">
      <c r="L1973" s="49"/>
      <c r="M1973" s="49"/>
      <c r="N1973" s="49"/>
    </row>
    <row r="1974">
      <c r="L1974" s="49"/>
      <c r="M1974" s="49"/>
      <c r="N1974" s="49"/>
    </row>
    <row r="1975">
      <c r="L1975" s="49"/>
      <c r="M1975" s="49"/>
      <c r="N1975" s="49"/>
    </row>
    <row r="1976">
      <c r="L1976" s="49"/>
      <c r="M1976" s="49"/>
      <c r="N1976" s="49"/>
    </row>
    <row r="1977">
      <c r="L1977" s="49"/>
      <c r="M1977" s="49"/>
      <c r="N1977" s="49"/>
    </row>
    <row r="1978">
      <c r="L1978" s="49"/>
      <c r="M1978" s="49"/>
      <c r="N1978" s="49"/>
    </row>
    <row r="1979">
      <c r="L1979" s="49"/>
      <c r="M1979" s="49"/>
      <c r="N1979" s="49"/>
    </row>
    <row r="1980">
      <c r="L1980" s="49"/>
      <c r="M1980" s="49"/>
      <c r="N1980" s="49"/>
    </row>
    <row r="1981">
      <c r="L1981" s="49"/>
      <c r="M1981" s="49"/>
      <c r="N1981" s="49"/>
    </row>
    <row r="1982">
      <c r="L1982" s="49"/>
      <c r="M1982" s="49"/>
      <c r="N1982" s="49"/>
    </row>
    <row r="1983">
      <c r="L1983" s="49"/>
      <c r="M1983" s="49"/>
      <c r="N1983" s="49"/>
    </row>
    <row r="1984">
      <c r="L1984" s="49"/>
      <c r="M1984" s="49"/>
      <c r="N1984" s="49"/>
    </row>
    <row r="1985">
      <c r="L1985" s="49"/>
      <c r="M1985" s="49"/>
      <c r="N1985" s="49"/>
    </row>
    <row r="1986">
      <c r="L1986" s="49"/>
      <c r="M1986" s="49"/>
      <c r="N1986" s="49"/>
    </row>
    <row r="1987">
      <c r="L1987" s="49"/>
      <c r="M1987" s="49"/>
      <c r="N1987" s="49"/>
    </row>
    <row r="1988">
      <c r="L1988" s="49"/>
      <c r="M1988" s="49"/>
      <c r="N1988" s="49"/>
    </row>
    <row r="1989">
      <c r="L1989" s="49"/>
      <c r="M1989" s="49"/>
      <c r="N1989" s="49"/>
    </row>
    <row r="1990">
      <c r="L1990" s="49"/>
      <c r="M1990" s="49"/>
      <c r="N1990" s="49"/>
    </row>
    <row r="1991">
      <c r="L1991" s="49"/>
      <c r="M1991" s="49"/>
      <c r="N1991" s="49"/>
    </row>
    <row r="1992">
      <c r="L1992" s="49"/>
      <c r="M1992" s="49"/>
      <c r="N1992" s="49"/>
    </row>
    <row r="1993">
      <c r="L1993" s="49"/>
      <c r="M1993" s="49"/>
      <c r="N1993" s="49"/>
    </row>
    <row r="1994">
      <c r="L1994" s="49"/>
      <c r="M1994" s="49"/>
      <c r="N1994" s="49"/>
    </row>
    <row r="1995">
      <c r="L1995" s="49"/>
      <c r="M1995" s="49"/>
      <c r="N1995" s="49"/>
    </row>
    <row r="1996">
      <c r="L1996" s="49"/>
      <c r="M1996" s="49"/>
      <c r="N1996" s="49"/>
    </row>
    <row r="1997">
      <c r="L1997" s="49"/>
      <c r="M1997" s="49"/>
      <c r="N1997" s="49"/>
    </row>
    <row r="1998">
      <c r="L1998" s="49"/>
      <c r="M1998" s="49"/>
      <c r="N1998" s="49"/>
    </row>
    <row r="1999">
      <c r="L1999" s="49"/>
      <c r="M1999" s="49"/>
      <c r="N1999" s="49"/>
    </row>
    <row r="2000">
      <c r="L2000" s="49"/>
      <c r="M2000" s="49"/>
      <c r="N2000" s="49"/>
    </row>
    <row r="2001">
      <c r="L2001" s="49"/>
      <c r="M2001" s="49"/>
      <c r="N2001" s="49"/>
    </row>
    <row r="2002">
      <c r="L2002" s="49"/>
      <c r="M2002" s="49"/>
      <c r="N2002" s="49"/>
    </row>
    <row r="2003">
      <c r="L2003" s="49"/>
      <c r="M2003" s="49"/>
      <c r="N2003" s="49"/>
    </row>
    <row r="2004">
      <c r="L2004" s="49"/>
      <c r="M2004" s="49"/>
      <c r="N2004" s="49"/>
    </row>
    <row r="2005">
      <c r="L2005" s="49"/>
      <c r="M2005" s="49"/>
      <c r="N2005" s="49"/>
    </row>
    <row r="2006">
      <c r="L2006" s="49"/>
      <c r="M2006" s="49"/>
      <c r="N2006" s="49"/>
    </row>
    <row r="2007">
      <c r="L2007" s="49"/>
      <c r="M2007" s="49"/>
      <c r="N2007" s="49"/>
    </row>
    <row r="2008">
      <c r="L2008" s="49"/>
      <c r="M2008" s="49"/>
      <c r="N2008" s="49"/>
    </row>
    <row r="2009">
      <c r="L2009" s="49"/>
      <c r="M2009" s="49"/>
      <c r="N2009" s="49"/>
    </row>
    <row r="2010">
      <c r="L2010" s="49"/>
      <c r="M2010" s="49"/>
      <c r="N2010" s="49"/>
    </row>
    <row r="2011">
      <c r="L2011" s="49"/>
      <c r="M2011" s="49"/>
      <c r="N2011" s="49"/>
    </row>
    <row r="2012">
      <c r="L2012" s="49"/>
      <c r="M2012" s="49"/>
      <c r="N2012" s="49"/>
    </row>
    <row r="2013">
      <c r="L2013" s="49"/>
      <c r="M2013" s="49"/>
      <c r="N2013" s="49"/>
    </row>
    <row r="2014">
      <c r="L2014" s="49"/>
      <c r="M2014" s="49"/>
      <c r="N2014" s="49"/>
    </row>
    <row r="2015">
      <c r="L2015" s="49"/>
      <c r="M2015" s="49"/>
      <c r="N2015" s="49"/>
    </row>
    <row r="2016">
      <c r="L2016" s="49"/>
      <c r="M2016" s="49"/>
      <c r="N2016" s="49"/>
    </row>
    <row r="2017">
      <c r="L2017" s="49"/>
      <c r="M2017" s="49"/>
      <c r="N2017" s="49"/>
    </row>
    <row r="2018">
      <c r="L2018" s="49"/>
      <c r="M2018" s="49"/>
      <c r="N2018" s="49"/>
    </row>
    <row r="2019">
      <c r="L2019" s="49"/>
      <c r="M2019" s="49"/>
      <c r="N2019" s="49"/>
    </row>
    <row r="2020">
      <c r="L2020" s="49"/>
      <c r="M2020" s="49"/>
      <c r="N2020" s="49"/>
    </row>
    <row r="2021">
      <c r="L2021" s="49"/>
      <c r="M2021" s="49"/>
      <c r="N2021" s="49"/>
    </row>
    <row r="2022">
      <c r="L2022" s="49"/>
      <c r="M2022" s="49"/>
      <c r="N2022" s="49"/>
    </row>
    <row r="2023">
      <c r="L2023" s="49"/>
      <c r="M2023" s="49"/>
      <c r="N2023" s="49"/>
    </row>
    <row r="2024">
      <c r="L2024" s="49"/>
      <c r="M2024" s="49"/>
      <c r="N2024" s="49"/>
    </row>
    <row r="2025">
      <c r="L2025" s="49"/>
      <c r="M2025" s="49"/>
      <c r="N2025" s="49"/>
    </row>
    <row r="2026">
      <c r="L2026" s="49"/>
      <c r="M2026" s="49"/>
      <c r="N2026" s="49"/>
    </row>
    <row r="2027">
      <c r="L2027" s="49"/>
      <c r="M2027" s="49"/>
      <c r="N2027" s="49"/>
    </row>
    <row r="2028">
      <c r="L2028" s="49"/>
      <c r="M2028" s="49"/>
      <c r="N2028" s="49"/>
    </row>
    <row r="2029">
      <c r="L2029" s="49"/>
      <c r="M2029" s="49"/>
      <c r="N2029" s="49"/>
    </row>
    <row r="2030">
      <c r="L2030" s="49"/>
      <c r="M2030" s="49"/>
      <c r="N2030" s="49"/>
    </row>
    <row r="2031">
      <c r="L2031" s="49"/>
      <c r="M2031" s="49"/>
      <c r="N2031" s="49"/>
    </row>
    <row r="2032">
      <c r="L2032" s="49"/>
      <c r="M2032" s="49"/>
      <c r="N2032" s="49"/>
    </row>
    <row r="2033">
      <c r="L2033" s="49"/>
      <c r="M2033" s="49"/>
      <c r="N2033" s="49"/>
    </row>
    <row r="2034">
      <c r="L2034" s="49"/>
      <c r="M2034" s="49"/>
      <c r="N2034" s="49"/>
    </row>
    <row r="2035">
      <c r="L2035" s="49"/>
      <c r="M2035" s="49"/>
      <c r="N2035" s="49"/>
    </row>
    <row r="2036">
      <c r="L2036" s="49"/>
      <c r="M2036" s="49"/>
      <c r="N2036" s="49"/>
    </row>
    <row r="2037">
      <c r="L2037" s="49"/>
      <c r="M2037" s="49"/>
      <c r="N2037" s="49"/>
    </row>
    <row r="2038">
      <c r="L2038" s="49"/>
      <c r="M2038" s="49"/>
      <c r="N2038" s="49"/>
    </row>
    <row r="2039">
      <c r="L2039" s="49"/>
      <c r="M2039" s="49"/>
      <c r="N2039" s="49"/>
    </row>
    <row r="2040">
      <c r="L2040" s="49"/>
      <c r="M2040" s="49"/>
      <c r="N2040" s="49"/>
    </row>
    <row r="2041">
      <c r="L2041" s="49"/>
      <c r="M2041" s="49"/>
      <c r="N2041" s="49"/>
    </row>
    <row r="2042">
      <c r="L2042" s="49"/>
      <c r="M2042" s="49"/>
      <c r="N2042" s="49"/>
    </row>
    <row r="2043">
      <c r="L2043" s="49"/>
      <c r="M2043" s="49"/>
      <c r="N2043" s="49"/>
    </row>
    <row r="2044">
      <c r="L2044" s="49"/>
      <c r="M2044" s="49"/>
      <c r="N2044" s="49"/>
    </row>
    <row r="2045">
      <c r="L2045" s="49"/>
      <c r="M2045" s="49"/>
      <c r="N2045" s="49"/>
    </row>
    <row r="2046">
      <c r="L2046" s="49"/>
      <c r="M2046" s="49"/>
      <c r="N2046" s="49"/>
    </row>
    <row r="2047">
      <c r="L2047" s="49"/>
      <c r="M2047" s="49"/>
      <c r="N2047" s="49"/>
    </row>
    <row r="2048">
      <c r="L2048" s="49"/>
      <c r="M2048" s="49"/>
      <c r="N2048" s="49"/>
    </row>
    <row r="2049">
      <c r="L2049" s="49"/>
      <c r="M2049" s="49"/>
      <c r="N2049" s="49"/>
    </row>
    <row r="2050">
      <c r="L2050" s="49"/>
      <c r="M2050" s="49"/>
      <c r="N2050" s="49"/>
    </row>
    <row r="2051">
      <c r="L2051" s="49"/>
      <c r="M2051" s="49"/>
      <c r="N2051" s="49"/>
    </row>
    <row r="2052">
      <c r="L2052" s="49"/>
      <c r="M2052" s="49"/>
      <c r="N2052" s="49"/>
    </row>
    <row r="2053">
      <c r="L2053" s="49"/>
      <c r="M2053" s="49"/>
      <c r="N2053" s="49"/>
    </row>
    <row r="2054">
      <c r="L2054" s="49"/>
      <c r="M2054" s="49"/>
      <c r="N2054" s="49"/>
    </row>
    <row r="2055">
      <c r="L2055" s="49"/>
      <c r="M2055" s="49"/>
      <c r="N2055" s="49"/>
    </row>
    <row r="2056">
      <c r="L2056" s="49"/>
      <c r="M2056" s="49"/>
      <c r="N2056" s="49"/>
    </row>
    <row r="2057">
      <c r="L2057" s="49"/>
      <c r="M2057" s="49"/>
      <c r="N2057" s="49"/>
    </row>
    <row r="2058">
      <c r="L2058" s="49"/>
      <c r="M2058" s="49"/>
      <c r="N2058" s="49"/>
    </row>
    <row r="2059">
      <c r="L2059" s="49"/>
      <c r="M2059" s="49"/>
      <c r="N2059" s="49"/>
    </row>
    <row r="2060">
      <c r="L2060" s="49"/>
      <c r="M2060" s="49"/>
      <c r="N2060" s="49"/>
    </row>
    <row r="2061">
      <c r="L2061" s="49"/>
      <c r="M2061" s="49"/>
      <c r="N2061" s="49"/>
    </row>
    <row r="2062">
      <c r="L2062" s="49"/>
      <c r="M2062" s="49"/>
      <c r="N2062" s="49"/>
    </row>
    <row r="2063">
      <c r="L2063" s="49"/>
      <c r="M2063" s="49"/>
      <c r="N2063" s="49"/>
    </row>
    <row r="2064">
      <c r="L2064" s="49"/>
      <c r="M2064" s="49"/>
      <c r="N2064" s="49"/>
    </row>
    <row r="2065">
      <c r="L2065" s="49"/>
      <c r="M2065" s="49"/>
      <c r="N2065" s="49"/>
    </row>
    <row r="2066">
      <c r="L2066" s="49"/>
      <c r="M2066" s="49"/>
      <c r="N2066" s="49"/>
    </row>
    <row r="2067">
      <c r="L2067" s="49"/>
      <c r="M2067" s="49"/>
      <c r="N2067" s="49"/>
    </row>
    <row r="2068">
      <c r="L2068" s="49"/>
      <c r="M2068" s="49"/>
      <c r="N2068" s="49"/>
    </row>
    <row r="2069">
      <c r="L2069" s="49"/>
      <c r="M2069" s="49"/>
      <c r="N2069" s="49"/>
    </row>
    <row r="2070">
      <c r="L2070" s="49"/>
      <c r="M2070" s="49"/>
      <c r="N2070" s="49"/>
    </row>
    <row r="2071">
      <c r="L2071" s="49"/>
      <c r="M2071" s="49"/>
      <c r="N2071" s="49"/>
    </row>
    <row r="2072">
      <c r="L2072" s="49"/>
      <c r="M2072" s="49"/>
      <c r="N2072" s="49"/>
    </row>
    <row r="2073">
      <c r="L2073" s="49"/>
      <c r="M2073" s="49"/>
      <c r="N2073" s="49"/>
    </row>
    <row r="2074">
      <c r="L2074" s="49"/>
      <c r="M2074" s="49"/>
      <c r="N2074" s="49"/>
    </row>
    <row r="2075">
      <c r="L2075" s="49"/>
      <c r="M2075" s="49"/>
      <c r="N2075" s="49"/>
    </row>
    <row r="2076">
      <c r="L2076" s="49"/>
      <c r="M2076" s="49"/>
      <c r="N2076" s="49"/>
    </row>
    <row r="2077">
      <c r="L2077" s="49"/>
      <c r="M2077" s="49"/>
      <c r="N2077" s="49"/>
    </row>
    <row r="2078">
      <c r="L2078" s="49"/>
      <c r="M2078" s="49"/>
      <c r="N2078" s="49"/>
    </row>
    <row r="2079">
      <c r="L2079" s="49"/>
      <c r="M2079" s="49"/>
      <c r="N2079" s="49"/>
    </row>
    <row r="2080">
      <c r="L2080" s="49"/>
      <c r="M2080" s="49"/>
      <c r="N2080" s="49"/>
    </row>
    <row r="2081">
      <c r="L2081" s="49"/>
      <c r="M2081" s="49"/>
      <c r="N2081" s="49"/>
    </row>
    <row r="2082">
      <c r="L2082" s="49"/>
      <c r="M2082" s="49"/>
      <c r="N2082" s="49"/>
    </row>
    <row r="2083">
      <c r="L2083" s="49"/>
      <c r="M2083" s="49"/>
      <c r="N2083" s="49"/>
    </row>
    <row r="2084">
      <c r="L2084" s="49"/>
      <c r="M2084" s="49"/>
      <c r="N2084" s="49"/>
    </row>
    <row r="2085">
      <c r="L2085" s="49"/>
      <c r="M2085" s="49"/>
      <c r="N2085" s="49"/>
    </row>
    <row r="2086">
      <c r="L2086" s="49"/>
      <c r="M2086" s="49"/>
      <c r="N2086" s="49"/>
    </row>
    <row r="2087">
      <c r="L2087" s="49"/>
      <c r="M2087" s="49"/>
      <c r="N2087" s="49"/>
    </row>
    <row r="2088">
      <c r="L2088" s="49"/>
      <c r="M2088" s="49"/>
      <c r="N2088" s="49"/>
    </row>
    <row r="2089">
      <c r="L2089" s="49"/>
      <c r="M2089" s="49"/>
      <c r="N2089" s="49"/>
    </row>
    <row r="2090">
      <c r="L2090" s="49"/>
      <c r="M2090" s="49"/>
      <c r="N2090" s="49"/>
    </row>
    <row r="2091">
      <c r="L2091" s="49"/>
      <c r="M2091" s="49"/>
      <c r="N2091" s="49"/>
    </row>
    <row r="2092">
      <c r="L2092" s="49"/>
      <c r="M2092" s="49"/>
      <c r="N2092" s="49"/>
    </row>
    <row r="2093">
      <c r="L2093" s="49"/>
      <c r="M2093" s="49"/>
      <c r="N2093" s="49"/>
    </row>
    <row r="2094">
      <c r="L2094" s="49"/>
      <c r="M2094" s="49"/>
      <c r="N2094" s="49"/>
    </row>
    <row r="2095">
      <c r="L2095" s="49"/>
      <c r="M2095" s="49"/>
      <c r="N2095" s="49"/>
    </row>
    <row r="2096">
      <c r="L2096" s="49"/>
      <c r="M2096" s="49"/>
      <c r="N2096" s="49"/>
    </row>
    <row r="2097">
      <c r="L2097" s="49"/>
      <c r="M2097" s="49"/>
      <c r="N2097" s="49"/>
    </row>
    <row r="2098">
      <c r="L2098" s="49"/>
      <c r="M2098" s="49"/>
      <c r="N2098" s="49"/>
    </row>
    <row r="2099">
      <c r="L2099" s="49"/>
      <c r="M2099" s="49"/>
      <c r="N2099" s="49"/>
    </row>
    <row r="2100">
      <c r="L2100" s="49"/>
      <c r="M2100" s="49"/>
      <c r="N2100" s="49"/>
    </row>
    <row r="2101">
      <c r="L2101" s="49"/>
      <c r="M2101" s="49"/>
      <c r="N2101" s="49"/>
    </row>
    <row r="2102">
      <c r="L2102" s="49"/>
      <c r="M2102" s="49"/>
      <c r="N2102" s="49"/>
    </row>
    <row r="2103">
      <c r="L2103" s="49"/>
      <c r="M2103" s="49"/>
      <c r="N2103" s="49"/>
    </row>
    <row r="2104">
      <c r="L2104" s="49"/>
      <c r="M2104" s="49"/>
      <c r="N2104" s="49"/>
    </row>
    <row r="2105">
      <c r="L2105" s="49"/>
      <c r="M2105" s="49"/>
      <c r="N2105" s="49"/>
    </row>
    <row r="2106">
      <c r="L2106" s="49"/>
      <c r="M2106" s="49"/>
      <c r="N2106" s="49"/>
    </row>
    <row r="2107">
      <c r="L2107" s="49"/>
      <c r="M2107" s="49"/>
      <c r="N2107" s="49"/>
    </row>
    <row r="2108">
      <c r="L2108" s="49"/>
      <c r="M2108" s="49"/>
      <c r="N2108" s="49"/>
    </row>
    <row r="2109">
      <c r="L2109" s="49"/>
      <c r="M2109" s="49"/>
      <c r="N2109" s="49"/>
    </row>
    <row r="2110">
      <c r="L2110" s="49"/>
      <c r="M2110" s="49"/>
      <c r="N2110" s="49"/>
    </row>
    <row r="2111">
      <c r="L2111" s="49"/>
      <c r="M2111" s="49"/>
      <c r="N2111" s="49"/>
    </row>
    <row r="2112">
      <c r="L2112" s="49"/>
      <c r="M2112" s="49"/>
      <c r="N2112" s="49"/>
    </row>
    <row r="2113">
      <c r="L2113" s="49"/>
      <c r="M2113" s="49"/>
      <c r="N2113" s="49"/>
    </row>
    <row r="2114">
      <c r="L2114" s="49"/>
      <c r="M2114" s="49"/>
      <c r="N2114" s="49"/>
    </row>
    <row r="2115">
      <c r="L2115" s="49"/>
      <c r="M2115" s="49"/>
      <c r="N2115" s="49"/>
    </row>
    <row r="2116">
      <c r="L2116" s="49"/>
      <c r="M2116" s="49"/>
      <c r="N2116" s="49"/>
    </row>
    <row r="2117">
      <c r="L2117" s="49"/>
      <c r="M2117" s="49"/>
      <c r="N2117" s="49"/>
    </row>
    <row r="2118">
      <c r="L2118" s="49"/>
      <c r="M2118" s="49"/>
      <c r="N2118" s="49"/>
    </row>
    <row r="2119">
      <c r="L2119" s="49"/>
      <c r="M2119" s="49"/>
      <c r="N2119" s="49"/>
    </row>
    <row r="2120">
      <c r="L2120" s="49"/>
      <c r="M2120" s="49"/>
      <c r="N2120" s="49"/>
    </row>
    <row r="2121">
      <c r="L2121" s="49"/>
      <c r="M2121" s="49"/>
      <c r="N2121" s="49"/>
    </row>
    <row r="2122">
      <c r="L2122" s="49"/>
      <c r="M2122" s="49"/>
      <c r="N2122" s="49"/>
    </row>
    <row r="2123">
      <c r="L2123" s="49"/>
      <c r="M2123" s="49"/>
      <c r="N2123" s="49"/>
    </row>
    <row r="2124">
      <c r="L2124" s="49"/>
      <c r="M2124" s="49"/>
      <c r="N2124" s="49"/>
    </row>
    <row r="2125">
      <c r="L2125" s="49"/>
      <c r="M2125" s="49"/>
      <c r="N2125" s="49"/>
    </row>
    <row r="2126">
      <c r="L2126" s="49"/>
      <c r="M2126" s="49"/>
      <c r="N2126" s="49"/>
    </row>
    <row r="2127">
      <c r="L2127" s="49"/>
      <c r="M2127" s="49"/>
      <c r="N2127" s="49"/>
    </row>
    <row r="2128">
      <c r="L2128" s="49"/>
      <c r="M2128" s="49"/>
      <c r="N2128" s="49"/>
    </row>
    <row r="2129">
      <c r="L2129" s="49"/>
      <c r="M2129" s="49"/>
      <c r="N2129" s="49"/>
    </row>
    <row r="2130">
      <c r="L2130" s="49"/>
      <c r="M2130" s="49"/>
      <c r="N2130" s="49"/>
    </row>
    <row r="2131">
      <c r="L2131" s="49"/>
      <c r="M2131" s="49"/>
      <c r="N2131" s="49"/>
    </row>
    <row r="2132">
      <c r="L2132" s="49"/>
      <c r="M2132" s="49"/>
      <c r="N2132" s="49"/>
    </row>
    <row r="2133">
      <c r="L2133" s="49"/>
      <c r="M2133" s="49"/>
      <c r="N2133" s="49"/>
    </row>
    <row r="2134">
      <c r="L2134" s="49"/>
      <c r="M2134" s="49"/>
      <c r="N2134" s="49"/>
    </row>
    <row r="2135">
      <c r="L2135" s="49"/>
      <c r="M2135" s="49"/>
      <c r="N2135" s="49"/>
    </row>
    <row r="2136">
      <c r="L2136" s="49"/>
      <c r="M2136" s="49"/>
      <c r="N2136" s="49"/>
    </row>
    <row r="2137">
      <c r="L2137" s="49"/>
      <c r="M2137" s="49"/>
      <c r="N2137" s="49"/>
    </row>
    <row r="2138">
      <c r="L2138" s="49"/>
      <c r="M2138" s="49"/>
      <c r="N2138" s="49"/>
    </row>
    <row r="2139">
      <c r="L2139" s="49"/>
      <c r="M2139" s="49"/>
      <c r="N2139" s="49"/>
    </row>
    <row r="2140">
      <c r="L2140" s="49"/>
      <c r="M2140" s="49"/>
      <c r="N2140" s="49"/>
    </row>
    <row r="2141">
      <c r="L2141" s="49"/>
      <c r="M2141" s="49"/>
      <c r="N2141" s="49"/>
    </row>
    <row r="2142">
      <c r="L2142" s="49"/>
      <c r="M2142" s="49"/>
      <c r="N2142" s="49"/>
    </row>
    <row r="2143">
      <c r="L2143" s="49"/>
      <c r="M2143" s="49"/>
      <c r="N2143" s="49"/>
    </row>
    <row r="2144">
      <c r="L2144" s="49"/>
      <c r="M2144" s="49"/>
      <c r="N2144" s="49"/>
    </row>
    <row r="2145">
      <c r="L2145" s="49"/>
      <c r="M2145" s="49"/>
      <c r="N2145" s="49"/>
    </row>
    <row r="2146">
      <c r="L2146" s="49"/>
      <c r="M2146" s="49"/>
      <c r="N2146" s="49"/>
    </row>
    <row r="2147">
      <c r="L2147" s="49"/>
      <c r="M2147" s="49"/>
      <c r="N2147" s="49"/>
    </row>
    <row r="2148">
      <c r="L2148" s="49"/>
      <c r="M2148" s="49"/>
      <c r="N2148" s="49"/>
    </row>
    <row r="2149">
      <c r="L2149" s="49"/>
      <c r="M2149" s="49"/>
      <c r="N2149" s="49"/>
    </row>
    <row r="2150">
      <c r="L2150" s="49"/>
      <c r="M2150" s="49"/>
      <c r="N2150" s="49"/>
    </row>
    <row r="2151">
      <c r="L2151" s="49"/>
      <c r="M2151" s="49"/>
      <c r="N2151" s="49"/>
    </row>
    <row r="2152">
      <c r="L2152" s="49"/>
      <c r="M2152" s="49"/>
      <c r="N2152" s="49"/>
    </row>
    <row r="2153">
      <c r="L2153" s="49"/>
      <c r="M2153" s="49"/>
      <c r="N2153" s="49"/>
    </row>
    <row r="2154">
      <c r="L2154" s="49"/>
      <c r="M2154" s="49"/>
      <c r="N2154" s="49"/>
    </row>
    <row r="2155">
      <c r="L2155" s="49"/>
      <c r="M2155" s="49"/>
      <c r="N2155" s="49"/>
    </row>
    <row r="2156">
      <c r="L2156" s="49"/>
      <c r="M2156" s="49"/>
      <c r="N2156" s="49"/>
    </row>
    <row r="2157">
      <c r="L2157" s="49"/>
      <c r="M2157" s="49"/>
      <c r="N2157" s="49"/>
    </row>
    <row r="2158">
      <c r="L2158" s="49"/>
      <c r="M2158" s="49"/>
      <c r="N2158" s="49"/>
    </row>
    <row r="2159">
      <c r="L2159" s="49"/>
      <c r="M2159" s="49"/>
      <c r="N2159" s="49"/>
    </row>
    <row r="2160">
      <c r="L2160" s="49"/>
      <c r="M2160" s="49"/>
      <c r="N2160" s="49"/>
    </row>
    <row r="2161">
      <c r="L2161" s="49"/>
      <c r="M2161" s="49"/>
      <c r="N2161" s="49"/>
    </row>
    <row r="2162">
      <c r="L2162" s="49"/>
      <c r="M2162" s="49"/>
      <c r="N2162" s="49"/>
    </row>
    <row r="2163">
      <c r="L2163" s="49"/>
      <c r="M2163" s="49"/>
      <c r="N2163" s="49"/>
    </row>
    <row r="2164">
      <c r="L2164" s="49"/>
      <c r="M2164" s="49"/>
      <c r="N2164" s="49"/>
    </row>
    <row r="2165">
      <c r="L2165" s="49"/>
      <c r="M2165" s="49"/>
      <c r="N2165" s="49"/>
    </row>
    <row r="2166">
      <c r="L2166" s="49"/>
      <c r="M2166" s="49"/>
      <c r="N2166" s="49"/>
    </row>
    <row r="2167">
      <c r="L2167" s="49"/>
      <c r="M2167" s="49"/>
      <c r="N2167" s="49"/>
    </row>
    <row r="2168">
      <c r="L2168" s="49"/>
      <c r="M2168" s="49"/>
      <c r="N2168" s="49"/>
    </row>
    <row r="2169">
      <c r="L2169" s="49"/>
      <c r="M2169" s="49"/>
      <c r="N2169" s="49"/>
    </row>
    <row r="2170">
      <c r="L2170" s="49"/>
      <c r="M2170" s="49"/>
      <c r="N2170" s="49"/>
    </row>
    <row r="2171">
      <c r="L2171" s="49"/>
      <c r="M2171" s="49"/>
      <c r="N2171" s="49"/>
    </row>
    <row r="2172">
      <c r="L2172" s="49"/>
      <c r="M2172" s="49"/>
      <c r="N2172" s="49"/>
    </row>
    <row r="2173">
      <c r="L2173" s="49"/>
      <c r="M2173" s="49"/>
      <c r="N2173" s="49"/>
    </row>
    <row r="2174">
      <c r="L2174" s="49"/>
      <c r="M2174" s="49"/>
      <c r="N2174" s="49"/>
    </row>
    <row r="2175">
      <c r="L2175" s="49"/>
      <c r="M2175" s="49"/>
      <c r="N2175" s="49"/>
    </row>
    <row r="2176">
      <c r="L2176" s="49"/>
      <c r="M2176" s="49"/>
      <c r="N2176" s="49"/>
    </row>
    <row r="2177">
      <c r="L2177" s="49"/>
      <c r="M2177" s="49"/>
      <c r="N2177" s="49"/>
    </row>
    <row r="2178">
      <c r="L2178" s="49"/>
      <c r="M2178" s="49"/>
      <c r="N2178" s="49"/>
    </row>
    <row r="2179">
      <c r="L2179" s="49"/>
      <c r="M2179" s="49"/>
      <c r="N2179" s="49"/>
    </row>
    <row r="2180">
      <c r="L2180" s="49"/>
      <c r="M2180" s="49"/>
      <c r="N2180" s="49"/>
    </row>
    <row r="2181">
      <c r="L2181" s="49"/>
      <c r="M2181" s="49"/>
      <c r="N2181" s="49"/>
    </row>
    <row r="2182">
      <c r="L2182" s="49"/>
      <c r="M2182" s="49"/>
      <c r="N2182" s="49"/>
    </row>
    <row r="2183">
      <c r="L2183" s="49"/>
      <c r="M2183" s="49"/>
      <c r="N2183" s="49"/>
    </row>
    <row r="2184">
      <c r="L2184" s="49"/>
      <c r="M2184" s="49"/>
      <c r="N2184" s="49"/>
    </row>
    <row r="2185">
      <c r="L2185" s="49"/>
      <c r="M2185" s="49"/>
      <c r="N2185" s="49"/>
    </row>
    <row r="2186">
      <c r="L2186" s="49"/>
      <c r="M2186" s="49"/>
      <c r="N2186" s="49"/>
    </row>
    <row r="2187">
      <c r="L2187" s="49"/>
      <c r="M2187" s="49"/>
      <c r="N2187" s="49"/>
    </row>
    <row r="2188">
      <c r="L2188" s="49"/>
      <c r="M2188" s="49"/>
      <c r="N2188" s="49"/>
    </row>
    <row r="2189">
      <c r="L2189" s="49"/>
      <c r="M2189" s="49"/>
      <c r="N2189" s="49"/>
    </row>
    <row r="2190">
      <c r="L2190" s="49"/>
      <c r="M2190" s="49"/>
      <c r="N2190" s="49"/>
    </row>
    <row r="2191">
      <c r="L2191" s="49"/>
      <c r="M2191" s="49"/>
      <c r="N2191" s="49"/>
    </row>
    <row r="2192">
      <c r="L2192" s="49"/>
      <c r="M2192" s="49"/>
      <c r="N2192" s="49"/>
    </row>
    <row r="2193">
      <c r="L2193" s="49"/>
      <c r="M2193" s="49"/>
      <c r="N2193" s="49"/>
    </row>
    <row r="2194">
      <c r="L2194" s="49"/>
      <c r="M2194" s="49"/>
      <c r="N2194" s="49"/>
    </row>
    <row r="2195">
      <c r="L2195" s="49"/>
      <c r="M2195" s="49"/>
      <c r="N2195" s="49"/>
    </row>
    <row r="2196">
      <c r="L2196" s="49"/>
      <c r="M2196" s="49"/>
      <c r="N2196" s="49"/>
    </row>
    <row r="2197">
      <c r="L2197" s="49"/>
      <c r="M2197" s="49"/>
      <c r="N2197" s="49"/>
    </row>
    <row r="2198">
      <c r="L2198" s="49"/>
      <c r="M2198" s="49"/>
      <c r="N2198" s="49"/>
    </row>
    <row r="2199">
      <c r="L2199" s="49"/>
      <c r="M2199" s="49"/>
      <c r="N2199" s="49"/>
    </row>
    <row r="2200">
      <c r="L2200" s="49"/>
      <c r="M2200" s="49"/>
      <c r="N2200" s="49"/>
    </row>
    <row r="2201">
      <c r="L2201" s="49"/>
      <c r="M2201" s="49"/>
      <c r="N2201" s="49"/>
    </row>
    <row r="2202">
      <c r="L2202" s="49"/>
      <c r="M2202" s="49"/>
      <c r="N2202" s="49"/>
    </row>
    <row r="2203">
      <c r="L2203" s="49"/>
      <c r="M2203" s="49"/>
      <c r="N2203" s="49"/>
    </row>
    <row r="2204">
      <c r="L2204" s="49"/>
      <c r="M2204" s="49"/>
      <c r="N2204" s="49"/>
    </row>
    <row r="2205">
      <c r="L2205" s="49"/>
      <c r="M2205" s="49"/>
      <c r="N2205" s="49"/>
    </row>
    <row r="2206">
      <c r="L2206" s="49"/>
      <c r="M2206" s="49"/>
      <c r="N2206" s="49"/>
    </row>
    <row r="2207">
      <c r="L2207" s="49"/>
      <c r="M2207" s="49"/>
      <c r="N2207" s="49"/>
    </row>
    <row r="2208">
      <c r="L2208" s="49"/>
      <c r="M2208" s="49"/>
      <c r="N2208" s="49"/>
    </row>
    <row r="2209">
      <c r="L2209" s="49"/>
      <c r="M2209" s="49"/>
      <c r="N2209" s="49"/>
    </row>
    <row r="2210">
      <c r="L2210" s="49"/>
      <c r="M2210" s="49"/>
      <c r="N2210" s="49"/>
    </row>
    <row r="2211">
      <c r="L2211" s="49"/>
      <c r="M2211" s="49"/>
      <c r="N2211" s="49"/>
    </row>
    <row r="2212">
      <c r="L2212" s="49"/>
      <c r="M2212" s="49"/>
      <c r="N2212" s="49"/>
    </row>
    <row r="2213">
      <c r="L2213" s="49"/>
      <c r="M2213" s="49"/>
      <c r="N2213" s="49"/>
    </row>
    <row r="2214">
      <c r="L2214" s="49"/>
      <c r="M2214" s="49"/>
      <c r="N2214" s="49"/>
    </row>
    <row r="2215">
      <c r="L2215" s="49"/>
      <c r="M2215" s="49"/>
      <c r="N2215" s="49"/>
    </row>
    <row r="2216">
      <c r="L2216" s="49"/>
      <c r="M2216" s="49"/>
      <c r="N2216" s="49"/>
    </row>
    <row r="2217">
      <c r="L2217" s="49"/>
      <c r="M2217" s="49"/>
      <c r="N2217" s="49"/>
    </row>
    <row r="2218">
      <c r="L2218" s="49"/>
      <c r="M2218" s="49"/>
      <c r="N2218" s="49"/>
    </row>
    <row r="2219">
      <c r="L2219" s="49"/>
      <c r="M2219" s="49"/>
      <c r="N2219" s="49"/>
    </row>
    <row r="2220">
      <c r="L2220" s="49"/>
      <c r="M2220" s="49"/>
      <c r="N2220" s="49"/>
    </row>
    <row r="2221">
      <c r="L2221" s="49"/>
      <c r="M2221" s="49"/>
      <c r="N2221" s="49"/>
    </row>
    <row r="2222">
      <c r="L2222" s="49"/>
      <c r="M2222" s="49"/>
      <c r="N2222" s="49"/>
    </row>
    <row r="2223">
      <c r="L2223" s="49"/>
      <c r="M2223" s="49"/>
      <c r="N2223" s="49"/>
    </row>
    <row r="2224">
      <c r="L2224" s="49"/>
      <c r="M2224" s="49"/>
      <c r="N2224" s="49"/>
    </row>
    <row r="2225">
      <c r="L2225" s="49"/>
      <c r="M2225" s="49"/>
      <c r="N2225" s="49"/>
    </row>
    <row r="2226">
      <c r="L2226" s="49"/>
      <c r="M2226" s="49"/>
      <c r="N2226" s="49"/>
    </row>
    <row r="2227">
      <c r="L2227" s="49"/>
      <c r="M2227" s="49"/>
      <c r="N2227" s="49"/>
    </row>
    <row r="2228">
      <c r="L2228" s="49"/>
      <c r="M2228" s="49"/>
      <c r="N2228" s="49"/>
    </row>
    <row r="2229">
      <c r="L2229" s="49"/>
      <c r="M2229" s="49"/>
      <c r="N2229" s="49"/>
    </row>
    <row r="2230">
      <c r="L2230" s="49"/>
      <c r="M2230" s="49"/>
      <c r="N2230" s="49"/>
    </row>
    <row r="2231">
      <c r="L2231" s="49"/>
      <c r="M2231" s="49"/>
      <c r="N2231" s="49"/>
    </row>
    <row r="2232">
      <c r="L2232" s="49"/>
      <c r="M2232" s="49"/>
      <c r="N2232" s="49"/>
    </row>
    <row r="2233">
      <c r="L2233" s="49"/>
      <c r="M2233" s="49"/>
      <c r="N2233" s="49"/>
    </row>
    <row r="2234">
      <c r="L2234" s="49"/>
      <c r="M2234" s="49"/>
      <c r="N2234" s="49"/>
    </row>
    <row r="2235">
      <c r="L2235" s="49"/>
      <c r="M2235" s="49"/>
      <c r="N2235" s="49"/>
    </row>
    <row r="2236">
      <c r="L2236" s="49"/>
      <c r="M2236" s="49"/>
      <c r="N2236" s="49"/>
    </row>
    <row r="2237">
      <c r="L2237" s="49"/>
      <c r="M2237" s="49"/>
      <c r="N2237" s="49"/>
    </row>
    <row r="2238">
      <c r="L2238" s="49"/>
      <c r="M2238" s="49"/>
      <c r="N2238" s="49"/>
    </row>
    <row r="2239">
      <c r="L2239" s="49"/>
      <c r="M2239" s="49"/>
      <c r="N2239" s="49"/>
    </row>
    <row r="2240">
      <c r="L2240" s="49"/>
      <c r="M2240" s="49"/>
      <c r="N2240" s="49"/>
    </row>
    <row r="2241">
      <c r="L2241" s="49"/>
      <c r="M2241" s="49"/>
      <c r="N2241" s="49"/>
    </row>
    <row r="2242">
      <c r="L2242" s="49"/>
      <c r="M2242" s="49"/>
      <c r="N2242" s="49"/>
    </row>
    <row r="2243">
      <c r="L2243" s="49"/>
      <c r="M2243" s="49"/>
      <c r="N2243" s="49"/>
    </row>
    <row r="2244">
      <c r="L2244" s="49"/>
      <c r="M2244" s="49"/>
      <c r="N2244" s="49"/>
    </row>
    <row r="2245">
      <c r="L2245" s="49"/>
      <c r="M2245" s="49"/>
      <c r="N2245" s="49"/>
    </row>
    <row r="2246">
      <c r="L2246" s="49"/>
      <c r="M2246" s="49"/>
      <c r="N2246" s="49"/>
    </row>
    <row r="2247">
      <c r="L2247" s="49"/>
      <c r="M2247" s="49"/>
      <c r="N2247" s="49"/>
    </row>
    <row r="2248">
      <c r="L2248" s="49"/>
      <c r="M2248" s="49"/>
      <c r="N2248" s="49"/>
    </row>
    <row r="2249">
      <c r="L2249" s="49"/>
      <c r="M2249" s="49"/>
      <c r="N2249" s="49"/>
    </row>
    <row r="2250">
      <c r="L2250" s="49"/>
      <c r="M2250" s="49"/>
      <c r="N2250" s="49"/>
    </row>
    <row r="2251">
      <c r="L2251" s="49"/>
      <c r="M2251" s="49"/>
      <c r="N2251" s="49"/>
    </row>
    <row r="2252">
      <c r="L2252" s="49"/>
      <c r="M2252" s="49"/>
      <c r="N2252" s="49"/>
    </row>
    <row r="2253">
      <c r="L2253" s="49"/>
      <c r="M2253" s="49"/>
      <c r="N2253" s="49"/>
    </row>
    <row r="2254">
      <c r="L2254" s="49"/>
      <c r="M2254" s="49"/>
      <c r="N2254" s="49"/>
    </row>
    <row r="2255">
      <c r="L2255" s="49"/>
      <c r="M2255" s="49"/>
      <c r="N2255" s="49"/>
    </row>
    <row r="2256">
      <c r="L2256" s="49"/>
      <c r="M2256" s="49"/>
      <c r="N2256" s="49"/>
    </row>
    <row r="2257">
      <c r="L2257" s="49"/>
      <c r="M2257" s="49"/>
      <c r="N2257" s="49"/>
    </row>
    <row r="2258">
      <c r="L2258" s="49"/>
      <c r="M2258" s="49"/>
      <c r="N2258" s="49"/>
    </row>
    <row r="2259">
      <c r="L2259" s="49"/>
      <c r="M2259" s="49"/>
      <c r="N2259" s="49"/>
    </row>
    <row r="2260">
      <c r="L2260" s="49"/>
      <c r="M2260" s="49"/>
      <c r="N2260" s="49"/>
    </row>
    <row r="2261">
      <c r="L2261" s="49"/>
      <c r="M2261" s="49"/>
      <c r="N2261" s="49"/>
    </row>
    <row r="2262">
      <c r="L2262" s="49"/>
      <c r="M2262" s="49"/>
      <c r="N2262" s="49"/>
    </row>
    <row r="2263">
      <c r="L2263" s="49"/>
      <c r="M2263" s="49"/>
      <c r="N2263" s="49"/>
    </row>
    <row r="2264">
      <c r="L2264" s="49"/>
      <c r="M2264" s="49"/>
      <c r="N2264" s="49"/>
    </row>
    <row r="2265">
      <c r="L2265" s="49"/>
      <c r="M2265" s="49"/>
      <c r="N2265" s="49"/>
    </row>
    <row r="2266">
      <c r="L2266" s="49"/>
      <c r="M2266" s="49"/>
      <c r="N2266" s="49"/>
    </row>
    <row r="2267">
      <c r="L2267" s="49"/>
      <c r="M2267" s="49"/>
      <c r="N2267" s="49"/>
    </row>
    <row r="2268">
      <c r="L2268" s="49"/>
      <c r="M2268" s="49"/>
      <c r="N2268" s="49"/>
    </row>
    <row r="2269">
      <c r="L2269" s="49"/>
      <c r="M2269" s="49"/>
      <c r="N2269" s="49"/>
    </row>
    <row r="2270">
      <c r="L2270" s="49"/>
      <c r="M2270" s="49"/>
      <c r="N2270" s="49"/>
    </row>
    <row r="2271">
      <c r="L2271" s="49"/>
      <c r="M2271" s="49"/>
      <c r="N2271" s="49"/>
    </row>
    <row r="2272">
      <c r="L2272" s="49"/>
      <c r="M2272" s="49"/>
      <c r="N2272" s="49"/>
    </row>
    <row r="2273">
      <c r="L2273" s="49"/>
      <c r="M2273" s="49"/>
      <c r="N2273" s="49"/>
    </row>
    <row r="2274">
      <c r="L2274" s="49"/>
      <c r="M2274" s="49"/>
      <c r="N2274" s="49"/>
    </row>
    <row r="2275">
      <c r="L2275" s="49"/>
      <c r="M2275" s="49"/>
      <c r="N2275" s="49"/>
    </row>
    <row r="2276">
      <c r="L2276" s="49"/>
      <c r="M2276" s="49"/>
      <c r="N2276" s="49"/>
    </row>
    <row r="2277">
      <c r="L2277" s="49"/>
      <c r="M2277" s="49"/>
      <c r="N2277" s="49"/>
    </row>
    <row r="2278">
      <c r="L2278" s="49"/>
      <c r="M2278" s="49"/>
      <c r="N2278" s="49"/>
    </row>
    <row r="2279">
      <c r="L2279" s="49"/>
      <c r="M2279" s="49"/>
      <c r="N2279" s="49"/>
    </row>
    <row r="2280">
      <c r="L2280" s="49"/>
      <c r="M2280" s="49"/>
      <c r="N2280" s="49"/>
    </row>
    <row r="2281">
      <c r="L2281" s="49"/>
      <c r="M2281" s="49"/>
      <c r="N2281" s="49"/>
    </row>
    <row r="2282">
      <c r="L2282" s="49"/>
      <c r="M2282" s="49"/>
      <c r="N2282" s="49"/>
    </row>
    <row r="2283">
      <c r="L2283" s="49"/>
      <c r="M2283" s="49"/>
      <c r="N2283" s="49"/>
    </row>
    <row r="2284">
      <c r="L2284" s="49"/>
      <c r="M2284" s="49"/>
      <c r="N2284" s="49"/>
    </row>
    <row r="2285">
      <c r="L2285" s="49"/>
      <c r="M2285" s="49"/>
      <c r="N2285" s="49"/>
    </row>
    <row r="2286">
      <c r="L2286" s="49"/>
      <c r="M2286" s="49"/>
      <c r="N2286" s="49"/>
    </row>
    <row r="2287">
      <c r="L2287" s="49"/>
      <c r="M2287" s="49"/>
      <c r="N2287" s="49"/>
    </row>
    <row r="2288">
      <c r="L2288" s="49"/>
      <c r="M2288" s="49"/>
      <c r="N2288" s="49"/>
    </row>
    <row r="2289">
      <c r="L2289" s="49"/>
      <c r="M2289" s="49"/>
      <c r="N2289" s="49"/>
    </row>
    <row r="2290">
      <c r="L2290" s="49"/>
      <c r="M2290" s="49"/>
      <c r="N2290" s="49"/>
    </row>
    <row r="2291">
      <c r="L2291" s="49"/>
      <c r="M2291" s="49"/>
      <c r="N2291" s="49"/>
    </row>
    <row r="2292">
      <c r="L2292" s="49"/>
      <c r="M2292" s="49"/>
      <c r="N2292" s="49"/>
    </row>
    <row r="2293">
      <c r="L2293" s="49"/>
      <c r="M2293" s="49"/>
      <c r="N2293" s="49"/>
    </row>
    <row r="2294">
      <c r="L2294" s="49"/>
      <c r="M2294" s="49"/>
      <c r="N2294" s="49"/>
    </row>
    <row r="2295">
      <c r="L2295" s="49"/>
      <c r="M2295" s="49"/>
      <c r="N2295" s="49"/>
    </row>
    <row r="2296">
      <c r="L2296" s="49"/>
      <c r="M2296" s="49"/>
      <c r="N2296" s="49"/>
    </row>
    <row r="2297">
      <c r="L2297" s="49"/>
      <c r="M2297" s="49"/>
      <c r="N2297" s="49"/>
    </row>
    <row r="2298">
      <c r="L2298" s="49"/>
      <c r="M2298" s="49"/>
      <c r="N2298" s="49"/>
    </row>
    <row r="2299">
      <c r="L2299" s="49"/>
      <c r="M2299" s="49"/>
      <c r="N2299" s="49"/>
    </row>
    <row r="2300">
      <c r="L2300" s="49"/>
      <c r="M2300" s="49"/>
      <c r="N2300" s="49"/>
    </row>
    <row r="2301">
      <c r="L2301" s="49"/>
      <c r="M2301" s="49"/>
      <c r="N2301" s="49"/>
    </row>
    <row r="2302">
      <c r="L2302" s="49"/>
      <c r="M2302" s="49"/>
      <c r="N2302" s="49"/>
    </row>
    <row r="2303">
      <c r="L2303" s="49"/>
      <c r="M2303" s="49"/>
      <c r="N2303" s="49"/>
    </row>
    <row r="2304">
      <c r="L2304" s="49"/>
      <c r="M2304" s="49"/>
      <c r="N2304" s="49"/>
    </row>
    <row r="2305">
      <c r="L2305" s="49"/>
      <c r="M2305" s="49"/>
      <c r="N2305" s="49"/>
    </row>
    <row r="2306">
      <c r="L2306" s="49"/>
      <c r="M2306" s="49"/>
      <c r="N2306" s="49"/>
    </row>
    <row r="2307">
      <c r="L2307" s="49"/>
      <c r="M2307" s="49"/>
      <c r="N2307" s="49"/>
    </row>
    <row r="2308">
      <c r="L2308" s="49"/>
      <c r="M2308" s="49"/>
      <c r="N2308" s="49"/>
    </row>
    <row r="2309">
      <c r="L2309" s="49"/>
      <c r="M2309" s="49"/>
      <c r="N2309" s="49"/>
    </row>
    <row r="2310">
      <c r="L2310" s="49"/>
      <c r="M2310" s="49"/>
      <c r="N2310" s="49"/>
    </row>
    <row r="2311">
      <c r="L2311" s="49"/>
      <c r="M2311" s="49"/>
      <c r="N2311" s="49"/>
    </row>
    <row r="2312">
      <c r="L2312" s="49"/>
      <c r="M2312" s="49"/>
      <c r="N2312" s="49"/>
    </row>
    <row r="2313">
      <c r="L2313" s="49"/>
      <c r="M2313" s="49"/>
      <c r="N2313" s="49"/>
    </row>
    <row r="2314">
      <c r="L2314" s="49"/>
      <c r="M2314" s="49"/>
      <c r="N2314" s="49"/>
    </row>
    <row r="2315">
      <c r="L2315" s="49"/>
      <c r="M2315" s="49"/>
      <c r="N2315" s="49"/>
    </row>
    <row r="2316">
      <c r="L2316" s="49"/>
      <c r="M2316" s="49"/>
      <c r="N2316" s="49"/>
    </row>
    <row r="2317">
      <c r="L2317" s="49"/>
      <c r="M2317" s="49"/>
      <c r="N2317" s="49"/>
    </row>
    <row r="2318">
      <c r="L2318" s="49"/>
      <c r="M2318" s="49"/>
      <c r="N2318" s="49"/>
    </row>
    <row r="2319">
      <c r="L2319" s="49"/>
      <c r="M2319" s="49"/>
      <c r="N2319" s="49"/>
    </row>
    <row r="2320">
      <c r="L2320" s="49"/>
      <c r="M2320" s="49"/>
      <c r="N2320" s="49"/>
    </row>
    <row r="2321">
      <c r="L2321" s="49"/>
      <c r="M2321" s="49"/>
      <c r="N2321" s="49"/>
    </row>
    <row r="2322">
      <c r="L2322" s="49"/>
      <c r="M2322" s="49"/>
      <c r="N2322" s="49"/>
    </row>
    <row r="2323">
      <c r="L2323" s="49"/>
      <c r="M2323" s="49"/>
      <c r="N2323" s="49"/>
    </row>
    <row r="2324">
      <c r="L2324" s="49"/>
      <c r="M2324" s="49"/>
      <c r="N2324" s="49"/>
    </row>
    <row r="2325">
      <c r="L2325" s="49"/>
      <c r="M2325" s="49"/>
      <c r="N2325" s="49"/>
    </row>
    <row r="2326">
      <c r="L2326" s="49"/>
      <c r="M2326" s="49"/>
      <c r="N2326" s="49"/>
    </row>
    <row r="2327">
      <c r="L2327" s="49"/>
      <c r="M2327" s="49"/>
      <c r="N2327" s="49"/>
    </row>
    <row r="2328">
      <c r="L2328" s="49"/>
      <c r="M2328" s="49"/>
      <c r="N2328" s="49"/>
    </row>
    <row r="2329">
      <c r="L2329" s="49"/>
      <c r="M2329" s="49"/>
      <c r="N2329" s="49"/>
    </row>
    <row r="2330">
      <c r="L2330" s="49"/>
      <c r="M2330" s="49"/>
      <c r="N2330" s="49"/>
    </row>
    <row r="2331">
      <c r="L2331" s="49"/>
      <c r="M2331" s="49"/>
      <c r="N2331" s="49"/>
    </row>
    <row r="2332">
      <c r="L2332" s="49"/>
      <c r="M2332" s="49"/>
      <c r="N2332" s="49"/>
    </row>
    <row r="2333">
      <c r="L2333" s="49"/>
      <c r="M2333" s="49"/>
      <c r="N2333" s="49"/>
    </row>
    <row r="2334">
      <c r="L2334" s="49"/>
      <c r="M2334" s="49"/>
      <c r="N2334" s="49"/>
    </row>
    <row r="2335">
      <c r="L2335" s="49"/>
      <c r="M2335" s="49"/>
      <c r="N2335" s="49"/>
    </row>
    <row r="2336">
      <c r="L2336" s="49"/>
      <c r="M2336" s="49"/>
      <c r="N2336" s="49"/>
    </row>
    <row r="2337">
      <c r="L2337" s="49"/>
      <c r="M2337" s="49"/>
      <c r="N2337" s="49"/>
    </row>
    <row r="2338">
      <c r="L2338" s="49"/>
      <c r="M2338" s="49"/>
      <c r="N2338" s="49"/>
    </row>
    <row r="2339">
      <c r="L2339" s="49"/>
      <c r="M2339" s="49"/>
      <c r="N2339" s="49"/>
    </row>
    <row r="2340">
      <c r="L2340" s="49"/>
      <c r="M2340" s="49"/>
      <c r="N2340" s="49"/>
    </row>
    <row r="2341">
      <c r="L2341" s="49"/>
      <c r="M2341" s="49"/>
      <c r="N2341" s="49"/>
    </row>
    <row r="2342">
      <c r="L2342" s="49"/>
      <c r="M2342" s="49"/>
      <c r="N2342" s="49"/>
    </row>
    <row r="2343">
      <c r="L2343" s="49"/>
      <c r="M2343" s="49"/>
      <c r="N2343" s="49"/>
    </row>
    <row r="2344">
      <c r="L2344" s="49"/>
      <c r="M2344" s="49"/>
      <c r="N2344" s="49"/>
    </row>
    <row r="2345">
      <c r="L2345" s="49"/>
      <c r="M2345" s="49"/>
      <c r="N2345" s="49"/>
    </row>
    <row r="2346">
      <c r="L2346" s="49"/>
      <c r="M2346" s="49"/>
      <c r="N2346" s="49"/>
    </row>
    <row r="2347">
      <c r="L2347" s="49"/>
      <c r="M2347" s="49"/>
      <c r="N2347" s="49"/>
    </row>
    <row r="2348">
      <c r="L2348" s="49"/>
      <c r="M2348" s="49"/>
      <c r="N2348" s="49"/>
    </row>
    <row r="2349">
      <c r="L2349" s="49"/>
      <c r="M2349" s="49"/>
      <c r="N2349" s="49"/>
    </row>
    <row r="2350">
      <c r="L2350" s="49"/>
      <c r="M2350" s="49"/>
      <c r="N2350" s="49"/>
    </row>
    <row r="2351">
      <c r="L2351" s="49"/>
      <c r="M2351" s="49"/>
      <c r="N2351" s="49"/>
    </row>
    <row r="2352">
      <c r="L2352" s="49"/>
      <c r="M2352" s="49"/>
      <c r="N2352" s="49"/>
    </row>
    <row r="2353">
      <c r="L2353" s="49"/>
      <c r="M2353" s="49"/>
      <c r="N2353" s="49"/>
    </row>
    <row r="2354">
      <c r="L2354" s="49"/>
      <c r="M2354" s="49"/>
      <c r="N2354" s="49"/>
    </row>
    <row r="2355">
      <c r="L2355" s="49"/>
      <c r="M2355" s="49"/>
      <c r="N2355" s="49"/>
    </row>
    <row r="2356">
      <c r="L2356" s="49"/>
      <c r="M2356" s="49"/>
      <c r="N2356" s="49"/>
    </row>
    <row r="2357">
      <c r="L2357" s="49"/>
      <c r="M2357" s="49"/>
      <c r="N2357" s="49"/>
    </row>
    <row r="2358">
      <c r="L2358" s="49"/>
      <c r="M2358" s="49"/>
      <c r="N2358" s="49"/>
    </row>
    <row r="2359">
      <c r="L2359" s="49"/>
      <c r="M2359" s="49"/>
      <c r="N2359" s="49"/>
    </row>
    <row r="2360">
      <c r="L2360" s="49"/>
      <c r="M2360" s="49"/>
      <c r="N2360" s="49"/>
    </row>
    <row r="2361">
      <c r="L2361" s="49"/>
      <c r="M2361" s="49"/>
      <c r="N2361" s="49"/>
    </row>
    <row r="2362">
      <c r="L2362" s="49"/>
      <c r="M2362" s="49"/>
      <c r="N2362" s="49"/>
    </row>
    <row r="2363">
      <c r="L2363" s="49"/>
      <c r="M2363" s="49"/>
      <c r="N2363" s="49"/>
    </row>
    <row r="2364">
      <c r="L2364" s="49"/>
      <c r="M2364" s="49"/>
      <c r="N2364" s="49"/>
    </row>
    <row r="2365">
      <c r="L2365" s="49"/>
      <c r="M2365" s="49"/>
      <c r="N2365" s="49"/>
    </row>
    <row r="2366">
      <c r="L2366" s="49"/>
      <c r="M2366" s="49"/>
      <c r="N2366" s="49"/>
    </row>
    <row r="2367">
      <c r="L2367" s="49"/>
      <c r="M2367" s="49"/>
      <c r="N2367" s="49"/>
    </row>
    <row r="2368">
      <c r="L2368" s="49"/>
      <c r="M2368" s="49"/>
      <c r="N2368" s="49"/>
    </row>
    <row r="2369">
      <c r="L2369" s="49"/>
      <c r="M2369" s="49"/>
      <c r="N2369" s="49"/>
    </row>
    <row r="2370">
      <c r="L2370" s="49"/>
      <c r="M2370" s="49"/>
      <c r="N2370" s="49"/>
    </row>
    <row r="2371">
      <c r="L2371" s="49"/>
      <c r="M2371" s="49"/>
      <c r="N2371" s="49"/>
    </row>
    <row r="2372">
      <c r="L2372" s="49"/>
      <c r="M2372" s="49"/>
      <c r="N2372" s="49"/>
    </row>
    <row r="2373">
      <c r="L2373" s="49"/>
      <c r="M2373" s="49"/>
      <c r="N2373" s="49"/>
    </row>
    <row r="2374">
      <c r="L2374" s="49"/>
      <c r="M2374" s="49"/>
      <c r="N2374" s="49"/>
    </row>
    <row r="2375">
      <c r="L2375" s="49"/>
      <c r="M2375" s="49"/>
      <c r="N2375" s="49"/>
    </row>
    <row r="2376">
      <c r="L2376" s="49"/>
      <c r="M2376" s="49"/>
      <c r="N2376" s="49"/>
    </row>
    <row r="2377">
      <c r="L2377" s="49"/>
      <c r="M2377" s="49"/>
      <c r="N2377" s="49"/>
    </row>
    <row r="2378">
      <c r="L2378" s="49"/>
      <c r="M2378" s="49"/>
      <c r="N2378" s="49"/>
    </row>
    <row r="2379">
      <c r="L2379" s="49"/>
      <c r="M2379" s="49"/>
      <c r="N2379" s="49"/>
    </row>
    <row r="2380">
      <c r="L2380" s="49"/>
      <c r="M2380" s="49"/>
      <c r="N2380" s="49"/>
    </row>
    <row r="2381">
      <c r="L2381" s="49"/>
      <c r="M2381" s="49"/>
      <c r="N2381" s="49"/>
    </row>
    <row r="2382">
      <c r="L2382" s="49"/>
      <c r="M2382" s="49"/>
      <c r="N2382" s="49"/>
    </row>
    <row r="2383">
      <c r="L2383" s="49"/>
      <c r="M2383" s="49"/>
      <c r="N2383" s="49"/>
    </row>
    <row r="2384">
      <c r="L2384" s="49"/>
      <c r="M2384" s="49"/>
      <c r="N2384" s="49"/>
    </row>
    <row r="2385">
      <c r="L2385" s="49"/>
      <c r="M2385" s="49"/>
      <c r="N2385" s="49"/>
    </row>
    <row r="2386">
      <c r="L2386" s="49"/>
      <c r="M2386" s="49"/>
      <c r="N2386" s="49"/>
    </row>
    <row r="2387">
      <c r="L2387" s="49"/>
      <c r="M2387" s="49"/>
      <c r="N2387" s="49"/>
    </row>
    <row r="2388">
      <c r="L2388" s="49"/>
      <c r="M2388" s="49"/>
      <c r="N2388" s="49"/>
    </row>
    <row r="2389">
      <c r="L2389" s="49"/>
      <c r="M2389" s="49"/>
      <c r="N2389" s="49"/>
    </row>
    <row r="2390">
      <c r="L2390" s="49"/>
      <c r="M2390" s="49"/>
      <c r="N2390" s="49"/>
    </row>
    <row r="2391">
      <c r="L2391" s="49"/>
      <c r="M2391" s="49"/>
      <c r="N2391" s="49"/>
    </row>
    <row r="2392">
      <c r="L2392" s="49"/>
      <c r="M2392" s="49"/>
      <c r="N2392" s="49"/>
    </row>
    <row r="2393">
      <c r="L2393" s="49"/>
      <c r="M2393" s="49"/>
      <c r="N2393" s="49"/>
    </row>
    <row r="2394">
      <c r="L2394" s="49"/>
      <c r="M2394" s="49"/>
      <c r="N2394" s="49"/>
    </row>
    <row r="2395">
      <c r="L2395" s="49"/>
      <c r="M2395" s="49"/>
      <c r="N2395" s="49"/>
    </row>
    <row r="2396">
      <c r="L2396" s="49"/>
      <c r="M2396" s="49"/>
      <c r="N2396" s="49"/>
    </row>
    <row r="2397">
      <c r="L2397" s="49"/>
      <c r="M2397" s="49"/>
      <c r="N2397" s="49"/>
    </row>
    <row r="2398">
      <c r="L2398" s="49"/>
      <c r="M2398" s="49"/>
      <c r="N2398" s="49"/>
    </row>
    <row r="2399">
      <c r="L2399" s="49"/>
      <c r="M2399" s="49"/>
      <c r="N2399" s="49"/>
    </row>
    <row r="2400">
      <c r="L2400" s="49"/>
      <c r="M2400" s="49"/>
      <c r="N2400" s="49"/>
    </row>
    <row r="2401">
      <c r="L2401" s="49"/>
      <c r="M2401" s="49"/>
      <c r="N2401" s="49"/>
    </row>
    <row r="2402">
      <c r="L2402" s="49"/>
      <c r="M2402" s="49"/>
      <c r="N2402" s="49"/>
    </row>
    <row r="2403">
      <c r="L2403" s="49"/>
      <c r="M2403" s="49"/>
      <c r="N2403" s="49"/>
    </row>
    <row r="2404">
      <c r="L2404" s="49"/>
      <c r="M2404" s="49"/>
      <c r="N2404" s="49"/>
    </row>
    <row r="2405">
      <c r="L2405" s="49"/>
      <c r="M2405" s="49"/>
      <c r="N2405" s="49"/>
    </row>
    <row r="2406">
      <c r="L2406" s="49"/>
      <c r="M2406" s="49"/>
      <c r="N2406" s="49"/>
    </row>
    <row r="2407">
      <c r="L2407" s="49"/>
      <c r="M2407" s="49"/>
      <c r="N2407" s="49"/>
    </row>
    <row r="2408">
      <c r="L2408" s="49"/>
      <c r="M2408" s="49"/>
      <c r="N2408" s="49"/>
    </row>
    <row r="2409">
      <c r="L2409" s="49"/>
      <c r="M2409" s="49"/>
      <c r="N2409" s="49"/>
    </row>
    <row r="2410">
      <c r="L2410" s="49"/>
      <c r="M2410" s="49"/>
      <c r="N2410" s="49"/>
    </row>
    <row r="2411">
      <c r="L2411" s="49"/>
      <c r="M2411" s="49"/>
      <c r="N2411" s="49"/>
    </row>
    <row r="2412">
      <c r="L2412" s="49"/>
      <c r="M2412" s="49"/>
      <c r="N2412" s="49"/>
    </row>
    <row r="2413">
      <c r="L2413" s="49"/>
      <c r="M2413" s="49"/>
      <c r="N2413" s="49"/>
    </row>
    <row r="2414">
      <c r="L2414" s="49"/>
      <c r="M2414" s="49"/>
      <c r="N2414" s="49"/>
    </row>
    <row r="2415">
      <c r="L2415" s="49"/>
      <c r="M2415" s="49"/>
      <c r="N2415" s="49"/>
    </row>
    <row r="2416">
      <c r="L2416" s="49"/>
      <c r="M2416" s="49"/>
      <c r="N2416" s="49"/>
    </row>
    <row r="2417">
      <c r="L2417" s="49"/>
      <c r="M2417" s="49"/>
      <c r="N2417" s="49"/>
    </row>
    <row r="2418">
      <c r="L2418" s="49"/>
      <c r="M2418" s="49"/>
      <c r="N2418" s="49"/>
    </row>
    <row r="2419">
      <c r="L2419" s="49"/>
      <c r="M2419" s="49"/>
      <c r="N2419" s="49"/>
    </row>
    <row r="2420">
      <c r="L2420" s="49"/>
      <c r="M2420" s="49"/>
      <c r="N2420" s="49"/>
    </row>
    <row r="2421">
      <c r="L2421" s="49"/>
      <c r="M2421" s="49"/>
      <c r="N2421" s="49"/>
    </row>
    <row r="2422">
      <c r="L2422" s="49"/>
      <c r="M2422" s="49"/>
      <c r="N2422" s="49"/>
    </row>
    <row r="2423">
      <c r="L2423" s="49"/>
      <c r="M2423" s="49"/>
      <c r="N2423" s="49"/>
    </row>
    <row r="2424">
      <c r="L2424" s="49"/>
      <c r="M2424" s="49"/>
      <c r="N2424" s="49"/>
    </row>
    <row r="2425">
      <c r="L2425" s="49"/>
      <c r="M2425" s="49"/>
      <c r="N2425" s="49"/>
    </row>
    <row r="2426">
      <c r="L2426" s="49"/>
      <c r="M2426" s="49"/>
      <c r="N2426" s="49"/>
    </row>
    <row r="2427">
      <c r="L2427" s="49"/>
      <c r="M2427" s="49"/>
      <c r="N2427" s="49"/>
    </row>
    <row r="2428">
      <c r="L2428" s="49"/>
      <c r="M2428" s="49"/>
      <c r="N2428" s="49"/>
    </row>
    <row r="2429">
      <c r="L2429" s="49"/>
      <c r="M2429" s="49"/>
      <c r="N2429" s="49"/>
    </row>
    <row r="2430">
      <c r="L2430" s="49"/>
      <c r="M2430" s="49"/>
      <c r="N2430" s="49"/>
    </row>
    <row r="2431">
      <c r="L2431" s="49"/>
      <c r="M2431" s="49"/>
      <c r="N2431" s="49"/>
    </row>
    <row r="2432">
      <c r="L2432" s="49"/>
      <c r="M2432" s="49"/>
      <c r="N2432" s="49"/>
    </row>
    <row r="2433">
      <c r="L2433" s="49"/>
      <c r="M2433" s="49"/>
      <c r="N2433" s="49"/>
    </row>
    <row r="2434">
      <c r="L2434" s="49"/>
      <c r="M2434" s="49"/>
      <c r="N2434" s="49"/>
    </row>
    <row r="2435">
      <c r="L2435" s="49"/>
      <c r="M2435" s="49"/>
      <c r="N2435" s="49"/>
    </row>
    <row r="2436">
      <c r="L2436" s="49"/>
      <c r="M2436" s="49"/>
      <c r="N2436" s="49"/>
    </row>
    <row r="2437">
      <c r="L2437" s="49"/>
      <c r="M2437" s="49"/>
      <c r="N2437" s="49"/>
    </row>
    <row r="2438">
      <c r="L2438" s="49"/>
      <c r="M2438" s="49"/>
      <c r="N2438" s="49"/>
    </row>
    <row r="2439">
      <c r="L2439" s="49"/>
      <c r="M2439" s="49"/>
      <c r="N2439" s="49"/>
    </row>
    <row r="2440">
      <c r="L2440" s="49"/>
      <c r="M2440" s="49"/>
      <c r="N2440" s="49"/>
    </row>
    <row r="2441">
      <c r="L2441" s="49"/>
      <c r="M2441" s="49"/>
      <c r="N2441" s="49"/>
    </row>
    <row r="2442">
      <c r="L2442" s="49"/>
      <c r="M2442" s="49"/>
      <c r="N2442" s="49"/>
    </row>
    <row r="2443">
      <c r="L2443" s="49"/>
      <c r="M2443" s="49"/>
      <c r="N2443" s="49"/>
    </row>
    <row r="2444">
      <c r="L2444" s="49"/>
      <c r="M2444" s="49"/>
      <c r="N2444" s="49"/>
    </row>
    <row r="2445">
      <c r="L2445" s="49"/>
      <c r="M2445" s="49"/>
      <c r="N2445" s="49"/>
    </row>
    <row r="2446">
      <c r="L2446" s="49"/>
      <c r="M2446" s="49"/>
      <c r="N2446" s="49"/>
    </row>
    <row r="2447">
      <c r="L2447" s="49"/>
      <c r="M2447" s="49"/>
      <c r="N2447" s="49"/>
    </row>
    <row r="2448">
      <c r="L2448" s="49"/>
      <c r="M2448" s="49"/>
      <c r="N2448" s="49"/>
    </row>
    <row r="2449">
      <c r="L2449" s="49"/>
      <c r="M2449" s="49"/>
      <c r="N2449" s="49"/>
    </row>
    <row r="2450">
      <c r="L2450" s="49"/>
      <c r="M2450" s="49"/>
      <c r="N2450" s="49"/>
    </row>
    <row r="2451">
      <c r="L2451" s="49"/>
      <c r="M2451" s="49"/>
      <c r="N2451" s="49"/>
    </row>
    <row r="2452">
      <c r="L2452" s="49"/>
      <c r="M2452" s="49"/>
      <c r="N2452" s="49"/>
    </row>
    <row r="2453">
      <c r="L2453" s="49"/>
      <c r="M2453" s="49"/>
      <c r="N2453" s="49"/>
    </row>
    <row r="2454">
      <c r="L2454" s="49"/>
      <c r="M2454" s="49"/>
      <c r="N2454" s="49"/>
    </row>
    <row r="2455">
      <c r="L2455" s="49"/>
      <c r="M2455" s="49"/>
      <c r="N2455" s="49"/>
    </row>
    <row r="2456">
      <c r="L2456" s="49"/>
      <c r="M2456" s="49"/>
      <c r="N2456" s="49"/>
    </row>
    <row r="2457">
      <c r="L2457" s="49"/>
      <c r="M2457" s="49"/>
      <c r="N2457" s="49"/>
    </row>
    <row r="2458">
      <c r="L2458" s="49"/>
      <c r="M2458" s="49"/>
      <c r="N2458" s="49"/>
    </row>
    <row r="2459">
      <c r="L2459" s="49"/>
      <c r="M2459" s="49"/>
      <c r="N2459" s="49"/>
    </row>
    <row r="2460">
      <c r="L2460" s="49"/>
      <c r="M2460" s="49"/>
      <c r="N2460" s="49"/>
    </row>
    <row r="2461">
      <c r="L2461" s="49"/>
      <c r="M2461" s="49"/>
      <c r="N2461" s="49"/>
    </row>
    <row r="2462">
      <c r="L2462" s="49"/>
      <c r="M2462" s="49"/>
      <c r="N2462" s="49"/>
    </row>
    <row r="2463">
      <c r="L2463" s="49"/>
      <c r="M2463" s="49"/>
      <c r="N2463" s="49"/>
    </row>
    <row r="2464">
      <c r="L2464" s="49"/>
      <c r="M2464" s="49"/>
      <c r="N2464" s="49"/>
    </row>
    <row r="2465">
      <c r="L2465" s="49"/>
      <c r="M2465" s="49"/>
      <c r="N2465" s="49"/>
    </row>
    <row r="2466">
      <c r="L2466" s="49"/>
      <c r="M2466" s="49"/>
      <c r="N2466" s="49"/>
    </row>
    <row r="2467">
      <c r="L2467" s="49"/>
      <c r="M2467" s="49"/>
      <c r="N2467" s="49"/>
    </row>
    <row r="2468">
      <c r="L2468" s="49"/>
      <c r="M2468" s="49"/>
      <c r="N2468" s="49"/>
    </row>
    <row r="2469">
      <c r="L2469" s="49"/>
      <c r="M2469" s="49"/>
      <c r="N2469" s="49"/>
    </row>
    <row r="2470">
      <c r="L2470" s="49"/>
      <c r="M2470" s="49"/>
      <c r="N2470" s="49"/>
    </row>
    <row r="2471">
      <c r="L2471" s="49"/>
      <c r="M2471" s="49"/>
      <c r="N2471" s="49"/>
    </row>
    <row r="2472">
      <c r="L2472" s="49"/>
      <c r="M2472" s="49"/>
      <c r="N2472" s="49"/>
    </row>
    <row r="2473">
      <c r="L2473" s="49"/>
      <c r="M2473" s="49"/>
      <c r="N2473" s="49"/>
    </row>
    <row r="2474">
      <c r="L2474" s="49"/>
      <c r="M2474" s="49"/>
      <c r="N2474" s="49"/>
    </row>
    <row r="2475">
      <c r="L2475" s="49"/>
      <c r="M2475" s="49"/>
      <c r="N2475" s="49"/>
    </row>
    <row r="2476">
      <c r="L2476" s="49"/>
      <c r="M2476" s="49"/>
      <c r="N2476" s="49"/>
    </row>
    <row r="2477">
      <c r="L2477" s="49"/>
      <c r="M2477" s="49"/>
      <c r="N2477" s="49"/>
    </row>
    <row r="2478">
      <c r="L2478" s="49"/>
      <c r="M2478" s="49"/>
      <c r="N2478" s="49"/>
    </row>
    <row r="2479">
      <c r="L2479" s="49"/>
      <c r="M2479" s="49"/>
      <c r="N2479" s="49"/>
    </row>
    <row r="2480">
      <c r="L2480" s="49"/>
      <c r="M2480" s="49"/>
      <c r="N2480" s="49"/>
    </row>
    <row r="2481">
      <c r="L2481" s="49"/>
      <c r="M2481" s="49"/>
      <c r="N2481" s="49"/>
    </row>
    <row r="2482">
      <c r="L2482" s="49"/>
      <c r="M2482" s="49"/>
      <c r="N2482" s="49"/>
    </row>
    <row r="2483">
      <c r="L2483" s="49"/>
      <c r="M2483" s="49"/>
      <c r="N2483" s="49"/>
    </row>
    <row r="2484">
      <c r="L2484" s="49"/>
      <c r="M2484" s="49"/>
      <c r="N2484" s="49"/>
    </row>
    <row r="2485">
      <c r="L2485" s="49"/>
      <c r="M2485" s="49"/>
      <c r="N2485" s="49"/>
    </row>
    <row r="2486">
      <c r="L2486" s="49"/>
      <c r="M2486" s="49"/>
      <c r="N2486" s="49"/>
    </row>
    <row r="2487">
      <c r="L2487" s="49"/>
      <c r="M2487" s="49"/>
      <c r="N2487" s="49"/>
    </row>
    <row r="2488">
      <c r="L2488" s="49"/>
      <c r="M2488" s="49"/>
      <c r="N2488" s="49"/>
    </row>
    <row r="2489">
      <c r="L2489" s="49"/>
      <c r="M2489" s="49"/>
      <c r="N2489" s="49"/>
    </row>
    <row r="2490">
      <c r="L2490" s="49"/>
      <c r="M2490" s="49"/>
      <c r="N2490" s="49"/>
    </row>
    <row r="2491">
      <c r="L2491" s="49"/>
      <c r="M2491" s="49"/>
      <c r="N2491" s="49"/>
    </row>
    <row r="2492">
      <c r="L2492" s="49"/>
      <c r="M2492" s="49"/>
      <c r="N2492" s="49"/>
    </row>
    <row r="2493">
      <c r="L2493" s="49"/>
      <c r="M2493" s="49"/>
      <c r="N2493" s="49"/>
    </row>
    <row r="2494">
      <c r="L2494" s="49"/>
      <c r="M2494" s="49"/>
      <c r="N2494" s="49"/>
    </row>
    <row r="2495">
      <c r="L2495" s="49"/>
      <c r="M2495" s="49"/>
      <c r="N2495" s="49"/>
    </row>
    <row r="2496">
      <c r="L2496" s="49"/>
      <c r="M2496" s="49"/>
      <c r="N2496" s="49"/>
    </row>
    <row r="2497">
      <c r="L2497" s="49"/>
      <c r="M2497" s="49"/>
      <c r="N2497" s="49"/>
    </row>
    <row r="2498">
      <c r="L2498" s="49"/>
      <c r="M2498" s="49"/>
      <c r="N2498" s="49"/>
    </row>
    <row r="2499">
      <c r="L2499" s="49"/>
      <c r="M2499" s="49"/>
      <c r="N2499" s="49"/>
    </row>
    <row r="2500">
      <c r="L2500" s="49"/>
      <c r="M2500" s="49"/>
      <c r="N2500" s="49"/>
    </row>
    <row r="2501">
      <c r="L2501" s="49"/>
      <c r="M2501" s="49"/>
      <c r="N2501" s="49"/>
    </row>
    <row r="2502">
      <c r="L2502" s="49"/>
      <c r="M2502" s="49"/>
      <c r="N2502" s="49"/>
    </row>
    <row r="2503">
      <c r="L2503" s="49"/>
      <c r="M2503" s="49"/>
      <c r="N2503" s="49"/>
    </row>
    <row r="2504">
      <c r="L2504" s="49"/>
      <c r="M2504" s="49"/>
      <c r="N2504" s="49"/>
    </row>
    <row r="2505">
      <c r="L2505" s="49"/>
      <c r="M2505" s="49"/>
      <c r="N2505" s="49"/>
    </row>
    <row r="2506">
      <c r="L2506" s="49"/>
      <c r="M2506" s="49"/>
      <c r="N2506" s="49"/>
    </row>
    <row r="2507">
      <c r="L2507" s="49"/>
      <c r="M2507" s="49"/>
      <c r="N2507" s="49"/>
    </row>
    <row r="2508">
      <c r="L2508" s="49"/>
      <c r="M2508" s="49"/>
      <c r="N2508" s="49"/>
    </row>
    <row r="2509">
      <c r="L2509" s="49"/>
      <c r="M2509" s="49"/>
      <c r="N2509" s="49"/>
    </row>
    <row r="2510">
      <c r="L2510" s="49"/>
      <c r="M2510" s="49"/>
      <c r="N2510" s="49"/>
    </row>
    <row r="2511">
      <c r="L2511" s="49"/>
      <c r="M2511" s="49"/>
      <c r="N2511" s="49"/>
    </row>
    <row r="2512">
      <c r="L2512" s="49"/>
      <c r="M2512" s="49"/>
      <c r="N2512" s="49"/>
    </row>
    <row r="2513">
      <c r="L2513" s="49"/>
      <c r="M2513" s="49"/>
      <c r="N2513" s="49"/>
    </row>
    <row r="2514">
      <c r="L2514" s="49"/>
      <c r="M2514" s="49"/>
      <c r="N2514" s="49"/>
    </row>
    <row r="2515">
      <c r="L2515" s="49"/>
      <c r="M2515" s="49"/>
      <c r="N2515" s="49"/>
    </row>
    <row r="2516">
      <c r="L2516" s="49"/>
      <c r="M2516" s="49"/>
      <c r="N2516" s="49"/>
    </row>
    <row r="2517">
      <c r="L2517" s="49"/>
      <c r="M2517" s="49"/>
      <c r="N2517" s="49"/>
    </row>
    <row r="2518">
      <c r="L2518" s="49"/>
      <c r="M2518" s="49"/>
      <c r="N2518" s="49"/>
    </row>
    <row r="2519">
      <c r="L2519" s="49"/>
      <c r="M2519" s="49"/>
      <c r="N2519" s="49"/>
    </row>
    <row r="2520">
      <c r="L2520" s="49"/>
      <c r="M2520" s="49"/>
      <c r="N2520" s="49"/>
    </row>
    <row r="2521">
      <c r="L2521" s="49"/>
      <c r="M2521" s="49"/>
      <c r="N2521" s="49"/>
    </row>
    <row r="2522">
      <c r="L2522" s="49"/>
      <c r="M2522" s="49"/>
      <c r="N2522" s="49"/>
    </row>
    <row r="2523">
      <c r="L2523" s="49"/>
      <c r="M2523" s="49"/>
      <c r="N2523" s="49"/>
    </row>
    <row r="2524">
      <c r="L2524" s="49"/>
      <c r="M2524" s="49"/>
      <c r="N2524" s="49"/>
    </row>
    <row r="2525">
      <c r="L2525" s="49"/>
      <c r="M2525" s="49"/>
      <c r="N2525" s="49"/>
    </row>
    <row r="2526">
      <c r="L2526" s="49"/>
      <c r="M2526" s="49"/>
      <c r="N2526" s="49"/>
    </row>
    <row r="2527">
      <c r="L2527" s="49"/>
      <c r="M2527" s="49"/>
      <c r="N2527" s="49"/>
    </row>
    <row r="2528">
      <c r="L2528" s="49"/>
      <c r="M2528" s="49"/>
      <c r="N2528" s="49"/>
    </row>
    <row r="2529">
      <c r="L2529" s="49"/>
      <c r="M2529" s="49"/>
      <c r="N2529" s="49"/>
    </row>
    <row r="2530">
      <c r="L2530" s="49"/>
      <c r="M2530" s="49"/>
      <c r="N2530" s="49"/>
    </row>
    <row r="2531">
      <c r="L2531" s="49"/>
      <c r="M2531" s="49"/>
      <c r="N2531" s="49"/>
    </row>
    <row r="2532">
      <c r="L2532" s="49"/>
      <c r="M2532" s="49"/>
      <c r="N2532" s="49"/>
    </row>
    <row r="2533">
      <c r="L2533" s="49"/>
      <c r="M2533" s="49"/>
      <c r="N2533" s="49"/>
    </row>
    <row r="2534">
      <c r="L2534" s="49"/>
      <c r="M2534" s="49"/>
      <c r="N2534" s="49"/>
    </row>
    <row r="2535">
      <c r="L2535" s="49"/>
      <c r="M2535" s="49"/>
      <c r="N2535" s="49"/>
    </row>
    <row r="2536">
      <c r="L2536" s="49"/>
      <c r="M2536" s="49"/>
      <c r="N2536" s="49"/>
    </row>
    <row r="2537">
      <c r="L2537" s="49"/>
      <c r="M2537" s="49"/>
      <c r="N2537" s="49"/>
    </row>
    <row r="2538">
      <c r="L2538" s="49"/>
      <c r="M2538" s="49"/>
      <c r="N2538" s="49"/>
    </row>
    <row r="2539">
      <c r="L2539" s="49"/>
      <c r="M2539" s="49"/>
      <c r="N2539" s="49"/>
    </row>
    <row r="2540">
      <c r="L2540" s="49"/>
      <c r="M2540" s="49"/>
      <c r="N2540" s="49"/>
    </row>
    <row r="2541">
      <c r="L2541" s="49"/>
      <c r="M2541" s="49"/>
      <c r="N2541" s="49"/>
    </row>
    <row r="2542">
      <c r="L2542" s="49"/>
      <c r="M2542" s="49"/>
      <c r="N2542" s="49"/>
    </row>
    <row r="2543">
      <c r="L2543" s="49"/>
      <c r="M2543" s="49"/>
      <c r="N2543" s="49"/>
    </row>
    <row r="2544">
      <c r="L2544" s="49"/>
      <c r="M2544" s="49"/>
      <c r="N2544" s="49"/>
    </row>
    <row r="2545">
      <c r="L2545" s="49"/>
      <c r="M2545" s="49"/>
      <c r="N2545" s="49"/>
    </row>
    <row r="2546">
      <c r="L2546" s="49"/>
      <c r="M2546" s="49"/>
      <c r="N2546" s="49"/>
    </row>
    <row r="2547">
      <c r="L2547" s="49"/>
      <c r="M2547" s="49"/>
      <c r="N2547" s="49"/>
    </row>
    <row r="2548">
      <c r="L2548" s="49"/>
      <c r="M2548" s="49"/>
      <c r="N2548" s="49"/>
    </row>
    <row r="2549">
      <c r="L2549" s="49"/>
      <c r="M2549" s="49"/>
      <c r="N2549" s="49"/>
    </row>
    <row r="2550">
      <c r="L2550" s="49"/>
      <c r="M2550" s="49"/>
      <c r="N2550" s="49"/>
    </row>
    <row r="2551">
      <c r="L2551" s="49"/>
      <c r="M2551" s="49"/>
      <c r="N2551" s="49"/>
    </row>
    <row r="2552">
      <c r="L2552" s="49"/>
      <c r="M2552" s="49"/>
      <c r="N2552" s="49"/>
    </row>
    <row r="2553">
      <c r="L2553" s="49"/>
      <c r="M2553" s="49"/>
      <c r="N2553" s="49"/>
    </row>
    <row r="2554">
      <c r="L2554" s="49"/>
      <c r="M2554" s="49"/>
      <c r="N2554" s="49"/>
    </row>
    <row r="2555">
      <c r="L2555" s="49"/>
      <c r="M2555" s="49"/>
      <c r="N2555" s="49"/>
    </row>
    <row r="2556">
      <c r="L2556" s="49"/>
      <c r="M2556" s="49"/>
      <c r="N2556" s="49"/>
    </row>
    <row r="2557">
      <c r="L2557" s="49"/>
      <c r="M2557" s="49"/>
      <c r="N2557" s="49"/>
    </row>
    <row r="2558">
      <c r="L2558" s="49"/>
      <c r="M2558" s="49"/>
      <c r="N2558" s="49"/>
    </row>
    <row r="2559">
      <c r="L2559" s="49"/>
      <c r="M2559" s="49"/>
      <c r="N2559" s="49"/>
    </row>
    <row r="2560">
      <c r="L2560" s="49"/>
      <c r="M2560" s="49"/>
      <c r="N2560" s="49"/>
    </row>
    <row r="2561">
      <c r="L2561" s="49"/>
      <c r="M2561" s="49"/>
      <c r="N2561" s="49"/>
    </row>
    <row r="2562">
      <c r="L2562" s="49"/>
      <c r="M2562" s="49"/>
      <c r="N2562" s="49"/>
    </row>
    <row r="2563">
      <c r="L2563" s="49"/>
      <c r="M2563" s="49"/>
      <c r="N2563" s="49"/>
    </row>
    <row r="2564">
      <c r="L2564" s="49"/>
      <c r="M2564" s="49"/>
      <c r="N2564" s="49"/>
    </row>
    <row r="2565">
      <c r="L2565" s="49"/>
      <c r="M2565" s="49"/>
      <c r="N2565" s="49"/>
    </row>
    <row r="2566">
      <c r="L2566" s="49"/>
      <c r="M2566" s="49"/>
      <c r="N2566" s="49"/>
    </row>
    <row r="2567">
      <c r="L2567" s="49"/>
      <c r="M2567" s="49"/>
      <c r="N2567" s="49"/>
    </row>
    <row r="2568">
      <c r="L2568" s="49"/>
      <c r="M2568" s="49"/>
      <c r="N2568" s="49"/>
    </row>
    <row r="2569">
      <c r="L2569" s="49"/>
      <c r="M2569" s="49"/>
      <c r="N2569" s="49"/>
    </row>
    <row r="2570">
      <c r="L2570" s="49"/>
      <c r="M2570" s="49"/>
      <c r="N2570" s="49"/>
    </row>
    <row r="2571">
      <c r="L2571" s="49"/>
      <c r="M2571" s="49"/>
      <c r="N2571" s="49"/>
    </row>
    <row r="2572">
      <c r="L2572" s="49"/>
      <c r="M2572" s="49"/>
      <c r="N2572" s="49"/>
    </row>
    <row r="2573">
      <c r="L2573" s="49"/>
      <c r="M2573" s="49"/>
      <c r="N2573" s="49"/>
    </row>
    <row r="2574">
      <c r="L2574" s="49"/>
      <c r="M2574" s="49"/>
      <c r="N2574" s="49"/>
    </row>
    <row r="2575">
      <c r="L2575" s="49"/>
      <c r="M2575" s="49"/>
      <c r="N2575" s="49"/>
    </row>
    <row r="2576">
      <c r="L2576" s="49"/>
      <c r="M2576" s="49"/>
      <c r="N2576" s="49"/>
    </row>
    <row r="2577">
      <c r="L2577" s="49"/>
      <c r="M2577" s="49"/>
      <c r="N2577" s="49"/>
    </row>
    <row r="2578">
      <c r="L2578" s="49"/>
      <c r="M2578" s="49"/>
      <c r="N2578" s="49"/>
    </row>
    <row r="2579">
      <c r="L2579" s="49"/>
      <c r="M2579" s="49"/>
      <c r="N2579" s="49"/>
    </row>
    <row r="2580">
      <c r="L2580" s="49"/>
      <c r="M2580" s="49"/>
      <c r="N2580" s="49"/>
    </row>
    <row r="2581">
      <c r="L2581" s="49"/>
      <c r="M2581" s="49"/>
      <c r="N2581" s="49"/>
    </row>
    <row r="2582">
      <c r="L2582" s="49"/>
      <c r="M2582" s="49"/>
      <c r="N2582" s="49"/>
    </row>
    <row r="2583">
      <c r="L2583" s="49"/>
      <c r="M2583" s="49"/>
      <c r="N2583" s="49"/>
    </row>
    <row r="2584">
      <c r="L2584" s="49"/>
      <c r="M2584" s="49"/>
      <c r="N2584" s="49"/>
    </row>
    <row r="2585">
      <c r="L2585" s="49"/>
      <c r="M2585" s="49"/>
      <c r="N2585" s="49"/>
    </row>
    <row r="2586">
      <c r="L2586" s="49"/>
      <c r="M2586" s="49"/>
      <c r="N2586" s="49"/>
    </row>
    <row r="2587">
      <c r="L2587" s="49"/>
      <c r="M2587" s="49"/>
      <c r="N2587" s="49"/>
    </row>
    <row r="2588">
      <c r="L2588" s="49"/>
      <c r="M2588" s="49"/>
      <c r="N2588" s="49"/>
    </row>
    <row r="2589">
      <c r="L2589" s="49"/>
      <c r="M2589" s="49"/>
      <c r="N2589" s="49"/>
    </row>
    <row r="2590">
      <c r="L2590" s="49"/>
      <c r="M2590" s="49"/>
      <c r="N2590" s="49"/>
    </row>
    <row r="2591">
      <c r="L2591" s="49"/>
      <c r="M2591" s="49"/>
      <c r="N2591" s="49"/>
    </row>
    <row r="2592">
      <c r="L2592" s="49"/>
      <c r="M2592" s="49"/>
      <c r="N2592" s="49"/>
    </row>
    <row r="2593">
      <c r="L2593" s="49"/>
      <c r="M2593" s="49"/>
      <c r="N2593" s="49"/>
    </row>
    <row r="2594">
      <c r="L2594" s="49"/>
      <c r="M2594" s="49"/>
      <c r="N2594" s="49"/>
    </row>
    <row r="2595">
      <c r="L2595" s="49"/>
      <c r="M2595" s="49"/>
      <c r="N2595" s="49"/>
    </row>
    <row r="2596">
      <c r="L2596" s="49"/>
      <c r="M2596" s="49"/>
      <c r="N2596" s="49"/>
    </row>
    <row r="2597">
      <c r="L2597" s="49"/>
      <c r="M2597" s="49"/>
      <c r="N2597" s="49"/>
    </row>
    <row r="2598">
      <c r="L2598" s="49"/>
      <c r="M2598" s="49"/>
      <c r="N2598" s="49"/>
    </row>
    <row r="2599">
      <c r="L2599" s="49"/>
      <c r="M2599" s="49"/>
      <c r="N2599" s="49"/>
    </row>
    <row r="2600">
      <c r="L2600" s="49"/>
      <c r="M2600" s="49"/>
      <c r="N2600" s="49"/>
    </row>
    <row r="2601">
      <c r="L2601" s="49"/>
      <c r="M2601" s="49"/>
      <c r="N2601" s="49"/>
    </row>
    <row r="2602">
      <c r="L2602" s="49"/>
      <c r="M2602" s="49"/>
      <c r="N2602" s="49"/>
    </row>
    <row r="2603">
      <c r="L2603" s="49"/>
      <c r="M2603" s="49"/>
      <c r="N2603" s="49"/>
    </row>
    <row r="2604">
      <c r="L2604" s="49"/>
      <c r="M2604" s="49"/>
      <c r="N2604" s="49"/>
    </row>
    <row r="2605">
      <c r="L2605" s="49"/>
      <c r="M2605" s="49"/>
      <c r="N2605" s="49"/>
    </row>
    <row r="2606">
      <c r="L2606" s="49"/>
      <c r="M2606" s="49"/>
      <c r="N2606" s="49"/>
    </row>
    <row r="2607">
      <c r="L2607" s="49"/>
      <c r="M2607" s="49"/>
      <c r="N2607" s="49"/>
    </row>
    <row r="2608">
      <c r="L2608" s="49"/>
      <c r="M2608" s="49"/>
      <c r="N2608" s="49"/>
    </row>
    <row r="2609">
      <c r="L2609" s="49"/>
      <c r="M2609" s="49"/>
      <c r="N2609" s="49"/>
      <c r="S2609" s="41"/>
      <c r="T2609" s="50"/>
    </row>
    <row r="2610">
      <c r="L2610" s="49"/>
      <c r="M2610" s="49"/>
      <c r="N2610" s="49"/>
      <c r="S2610" s="41"/>
      <c r="T2610" s="45"/>
    </row>
    <row r="2611">
      <c r="L2611" s="49"/>
      <c r="M2611" s="49"/>
      <c r="N2611" s="49"/>
      <c r="S2611" s="41"/>
      <c r="T2611" s="50"/>
    </row>
    <row r="2612">
      <c r="L2612" s="49"/>
      <c r="M2612" s="49"/>
      <c r="N2612" s="49"/>
      <c r="S2612" s="41"/>
      <c r="T2612" s="45"/>
    </row>
    <row r="2613">
      <c r="L2613" s="49"/>
      <c r="M2613" s="49"/>
      <c r="N2613" s="49"/>
      <c r="S2613" s="41"/>
      <c r="T2613" s="45"/>
    </row>
    <row r="2614">
      <c r="L2614" s="49"/>
      <c r="M2614" s="49"/>
      <c r="N2614" s="49"/>
      <c r="S2614" s="41"/>
      <c r="T2614" s="45"/>
    </row>
    <row r="2615">
      <c r="L2615" s="49"/>
      <c r="M2615" s="49"/>
      <c r="N2615" s="49"/>
      <c r="S2615" s="41"/>
      <c r="T2615" s="50"/>
    </row>
    <row r="2616">
      <c r="L2616" s="49"/>
      <c r="M2616" s="49"/>
      <c r="N2616" s="49"/>
      <c r="S2616" s="41"/>
      <c r="T2616" s="45"/>
    </row>
    <row r="2617">
      <c r="L2617" s="49"/>
      <c r="M2617" s="49"/>
      <c r="N2617" s="49"/>
      <c r="S2617" s="41"/>
      <c r="T2617" s="45"/>
    </row>
    <row r="2618">
      <c r="L2618" s="49"/>
      <c r="M2618" s="49"/>
      <c r="N2618" s="49"/>
      <c r="S2618" s="41"/>
      <c r="T2618" s="50"/>
    </row>
    <row r="2619">
      <c r="L2619" s="49"/>
      <c r="M2619" s="49"/>
      <c r="N2619" s="49"/>
      <c r="S2619" s="41"/>
      <c r="T2619" s="15"/>
    </row>
    <row r="2620">
      <c r="L2620" s="49"/>
      <c r="M2620" s="49"/>
      <c r="N2620" s="49"/>
      <c r="S2620" s="41"/>
      <c r="T2620" s="45"/>
    </row>
    <row r="2621">
      <c r="L2621" s="49"/>
      <c r="M2621" s="49"/>
      <c r="N2621" s="49"/>
      <c r="S2621" s="41"/>
      <c r="T2621" s="45"/>
    </row>
    <row r="2622">
      <c r="L2622" s="49"/>
      <c r="M2622" s="49"/>
      <c r="N2622" s="49"/>
      <c r="S2622" s="41"/>
      <c r="T2622" s="45"/>
    </row>
    <row r="2623">
      <c r="L2623" s="49"/>
      <c r="M2623" s="49"/>
      <c r="N2623" s="49"/>
      <c r="S2623" s="41"/>
      <c r="T2623" s="45"/>
    </row>
    <row r="2624">
      <c r="L2624" s="49"/>
      <c r="M2624" s="49"/>
      <c r="N2624" s="49"/>
      <c r="S2624" s="41"/>
      <c r="T2624" s="45"/>
    </row>
    <row r="2625">
      <c r="L2625" s="49"/>
      <c r="M2625" s="49"/>
      <c r="N2625" s="49"/>
      <c r="S2625" s="41"/>
      <c r="T2625" s="45"/>
    </row>
    <row r="2626">
      <c r="L2626" s="49"/>
      <c r="M2626" s="49"/>
      <c r="N2626" s="49"/>
      <c r="S2626" s="58"/>
      <c r="T2626" s="45"/>
    </row>
    <row r="2627">
      <c r="L2627" s="49"/>
      <c r="M2627" s="49"/>
      <c r="N2627" s="49"/>
      <c r="S2627" s="58"/>
      <c r="T2627" s="45"/>
    </row>
    <row r="2628">
      <c r="L2628" s="49"/>
      <c r="M2628" s="49"/>
      <c r="N2628" s="49"/>
      <c r="S2628" s="58"/>
      <c r="T2628" s="45"/>
    </row>
    <row r="2629">
      <c r="L2629" s="49"/>
      <c r="M2629" s="49"/>
      <c r="N2629" s="49"/>
      <c r="S2629" s="58"/>
      <c r="T2629" s="59"/>
    </row>
    <row r="2630">
      <c r="L2630" s="49"/>
      <c r="M2630" s="49"/>
      <c r="N2630" s="49"/>
      <c r="S2630" s="41"/>
      <c r="T2630" s="60"/>
    </row>
    <row r="2631">
      <c r="L2631" s="49"/>
      <c r="M2631" s="49"/>
      <c r="N2631" s="49"/>
      <c r="S2631" s="41"/>
      <c r="T2631" s="60"/>
    </row>
    <row r="2632">
      <c r="L2632" s="49"/>
      <c r="M2632" s="49"/>
      <c r="N2632" s="49"/>
      <c r="S2632" s="41"/>
      <c r="T2632" s="61"/>
    </row>
    <row r="2633">
      <c r="L2633" s="49"/>
      <c r="M2633" s="49"/>
      <c r="N2633" s="49"/>
      <c r="S2633" s="41"/>
      <c r="T2633" s="59"/>
    </row>
    <row r="2634">
      <c r="L2634" s="49"/>
      <c r="M2634" s="49"/>
      <c r="N2634" s="49"/>
      <c r="S2634" s="41"/>
      <c r="T2634" s="45"/>
    </row>
    <row r="2635">
      <c r="L2635" s="49"/>
      <c r="M2635" s="49"/>
      <c r="N2635" s="49"/>
      <c r="S2635" s="41"/>
      <c r="T2635" s="45"/>
    </row>
    <row r="2636">
      <c r="L2636" s="49"/>
      <c r="M2636" s="49"/>
      <c r="N2636" s="49"/>
      <c r="S2636" s="41"/>
      <c r="T2636" s="59"/>
    </row>
    <row r="2637">
      <c r="L2637" s="49"/>
      <c r="M2637" s="49"/>
      <c r="N2637" s="49"/>
      <c r="S2637" s="41"/>
      <c r="T2637" s="59"/>
    </row>
    <row r="2638">
      <c r="L2638" s="49"/>
      <c r="M2638" s="49"/>
      <c r="N2638" s="49"/>
      <c r="S2638" s="41"/>
      <c r="T2638" s="59"/>
    </row>
    <row r="2639">
      <c r="L2639" s="49"/>
      <c r="M2639" s="49"/>
      <c r="N2639" s="49"/>
      <c r="S2639" s="41"/>
      <c r="T2639" s="45"/>
    </row>
    <row r="2640">
      <c r="L2640" s="49"/>
      <c r="M2640" s="49"/>
      <c r="N2640" s="49"/>
      <c r="S2640" s="41"/>
      <c r="T2640" s="45"/>
    </row>
    <row r="2641">
      <c r="L2641" s="49"/>
      <c r="M2641" s="49"/>
      <c r="N2641" s="49"/>
      <c r="S2641" s="41"/>
      <c r="T2641" s="45"/>
    </row>
    <row r="2642">
      <c r="L2642" s="49"/>
      <c r="M2642" s="49"/>
      <c r="N2642" s="49"/>
      <c r="S2642" s="41"/>
      <c r="T2642" s="45"/>
    </row>
    <row r="2643">
      <c r="L2643" s="49"/>
      <c r="M2643" s="49"/>
      <c r="N2643" s="49"/>
      <c r="S2643" s="41"/>
      <c r="T2643" s="45"/>
    </row>
    <row r="2644">
      <c r="L2644" s="49"/>
      <c r="M2644" s="49"/>
      <c r="N2644" s="49"/>
      <c r="S2644" s="41"/>
      <c r="T2644" s="45"/>
    </row>
    <row r="2645">
      <c r="L2645" s="49"/>
      <c r="M2645" s="49"/>
      <c r="N2645" s="49"/>
      <c r="S2645" s="41"/>
      <c r="T2645" s="45"/>
    </row>
    <row r="2646">
      <c r="L2646" s="49"/>
      <c r="M2646" s="49"/>
      <c r="N2646" s="49"/>
      <c r="S2646" s="41"/>
      <c r="T2646" s="45"/>
    </row>
    <row r="2647">
      <c r="L2647" s="49"/>
      <c r="M2647" s="49"/>
      <c r="N2647" s="49"/>
      <c r="S2647" s="41"/>
      <c r="T2647" s="45"/>
    </row>
    <row r="2648">
      <c r="L2648" s="49"/>
      <c r="M2648" s="49"/>
      <c r="N2648" s="49"/>
      <c r="S2648" s="41"/>
      <c r="T2648" s="45"/>
    </row>
    <row r="2649">
      <c r="L2649" s="49"/>
      <c r="M2649" s="49"/>
      <c r="N2649" s="49"/>
      <c r="S2649" s="41"/>
      <c r="T2649" s="45"/>
    </row>
    <row r="2650">
      <c r="L2650" s="49"/>
      <c r="M2650" s="49"/>
      <c r="N2650" s="49"/>
      <c r="S2650" s="41"/>
      <c r="T2650" s="45"/>
    </row>
    <row r="2651">
      <c r="L2651" s="49"/>
      <c r="M2651" s="49"/>
      <c r="N2651" s="49"/>
      <c r="S2651" s="41"/>
      <c r="T2651" s="45"/>
    </row>
    <row r="2652">
      <c r="L2652" s="49"/>
      <c r="M2652" s="49"/>
      <c r="N2652" s="49"/>
      <c r="S2652" s="41"/>
      <c r="T2652" s="45"/>
    </row>
    <row r="2653">
      <c r="L2653" s="49"/>
      <c r="M2653" s="49"/>
      <c r="N2653" s="49"/>
      <c r="S2653" s="41"/>
      <c r="T2653" s="45"/>
    </row>
    <row r="2654">
      <c r="L2654" s="49"/>
      <c r="M2654" s="49"/>
      <c r="N2654" s="49"/>
      <c r="S2654" s="41"/>
      <c r="T2654" s="45"/>
    </row>
    <row r="2655">
      <c r="L2655" s="49"/>
      <c r="M2655" s="49"/>
      <c r="N2655" s="49"/>
      <c r="S2655" s="41"/>
      <c r="T2655" s="45"/>
    </row>
    <row r="2656">
      <c r="L2656" s="49"/>
      <c r="M2656" s="49"/>
      <c r="N2656" s="49"/>
      <c r="S2656" s="41"/>
      <c r="T2656" s="45"/>
    </row>
    <row r="2657">
      <c r="L2657" s="49"/>
      <c r="M2657" s="49"/>
      <c r="N2657" s="49"/>
      <c r="S2657" s="41"/>
      <c r="T2657" s="45"/>
    </row>
    <row r="2658">
      <c r="L2658" s="49"/>
      <c r="M2658" s="49"/>
      <c r="N2658" s="49"/>
      <c r="S2658" s="41"/>
      <c r="T2658" s="45"/>
    </row>
    <row r="2659">
      <c r="L2659" s="49"/>
      <c r="M2659" s="49"/>
      <c r="N2659" s="49"/>
      <c r="S2659" s="41"/>
      <c r="T2659" s="45"/>
    </row>
    <row r="2660">
      <c r="L2660" s="49"/>
      <c r="M2660" s="49"/>
      <c r="N2660" s="49"/>
      <c r="S2660" s="41"/>
      <c r="T2660" s="45"/>
    </row>
    <row r="2661">
      <c r="L2661" s="49"/>
      <c r="M2661" s="49"/>
      <c r="N2661" s="49"/>
      <c r="S2661" s="41"/>
      <c r="T2661" s="45"/>
    </row>
    <row r="2662">
      <c r="L2662" s="49"/>
      <c r="M2662" s="49"/>
      <c r="N2662" s="49"/>
      <c r="S2662" s="41"/>
      <c r="T2662" s="45"/>
    </row>
    <row r="2663">
      <c r="L2663" s="49"/>
      <c r="M2663" s="49"/>
      <c r="N2663" s="49"/>
      <c r="S2663" s="41"/>
      <c r="T2663" s="45"/>
    </row>
    <row r="2664">
      <c r="L2664" s="49"/>
      <c r="M2664" s="49"/>
      <c r="N2664" s="49"/>
      <c r="S2664" s="41"/>
      <c r="T2664" s="45"/>
    </row>
    <row r="2665">
      <c r="L2665" s="49"/>
      <c r="M2665" s="49"/>
      <c r="N2665" s="49"/>
      <c r="S2665" s="41"/>
      <c r="T2665" s="45"/>
    </row>
    <row r="2666">
      <c r="L2666" s="49"/>
      <c r="M2666" s="49"/>
      <c r="N2666" s="49"/>
      <c r="S2666" s="41"/>
      <c r="T2666" s="45"/>
    </row>
    <row r="2667">
      <c r="L2667" s="49"/>
      <c r="M2667" s="49"/>
      <c r="N2667" s="49"/>
      <c r="S2667" s="41"/>
      <c r="T2667" s="45"/>
    </row>
    <row r="2668">
      <c r="L2668" s="49"/>
      <c r="M2668" s="49"/>
      <c r="N2668" s="49"/>
      <c r="S2668" s="41"/>
      <c r="T2668" s="45"/>
    </row>
    <row r="2669">
      <c r="L2669" s="49"/>
      <c r="M2669" s="49"/>
      <c r="N2669" s="49"/>
      <c r="S2669" s="41"/>
      <c r="T2669" s="45"/>
    </row>
    <row r="2670">
      <c r="L2670" s="49"/>
      <c r="M2670" s="49"/>
      <c r="N2670" s="49"/>
      <c r="S2670" s="41"/>
      <c r="T2670" s="45"/>
    </row>
    <row r="2671">
      <c r="L2671" s="49"/>
      <c r="M2671" s="49"/>
      <c r="N2671" s="49"/>
      <c r="S2671" s="41"/>
      <c r="T2671" s="45"/>
    </row>
    <row r="2672">
      <c r="L2672" s="49"/>
      <c r="M2672" s="49"/>
      <c r="N2672" s="49"/>
      <c r="S2672" s="41"/>
      <c r="T2672" s="45"/>
    </row>
    <row r="2673">
      <c r="L2673" s="49"/>
      <c r="M2673" s="49"/>
      <c r="N2673" s="49"/>
      <c r="S2673" s="41"/>
      <c r="T2673" s="45"/>
    </row>
    <row r="2674">
      <c r="L2674" s="49"/>
      <c r="M2674" s="49"/>
      <c r="N2674" s="49"/>
      <c r="S2674" s="41"/>
      <c r="T2674" s="45"/>
    </row>
    <row r="2675">
      <c r="L2675" s="49"/>
      <c r="M2675" s="49"/>
      <c r="N2675" s="49"/>
      <c r="S2675" s="41"/>
      <c r="T2675" s="45"/>
    </row>
    <row r="2676">
      <c r="L2676" s="49"/>
      <c r="M2676" s="49"/>
      <c r="N2676" s="49"/>
      <c r="S2676" s="41"/>
      <c r="T2676" s="45"/>
    </row>
    <row r="2677">
      <c r="L2677" s="49"/>
      <c r="M2677" s="49"/>
      <c r="N2677" s="49"/>
      <c r="S2677" s="41"/>
      <c r="T2677" s="45"/>
    </row>
    <row r="2678">
      <c r="L2678" s="49"/>
      <c r="M2678" s="49"/>
      <c r="N2678" s="49"/>
      <c r="S2678" s="41"/>
      <c r="T2678" s="45"/>
    </row>
    <row r="2679">
      <c r="L2679" s="49"/>
      <c r="M2679" s="49"/>
      <c r="N2679" s="49"/>
      <c r="S2679" s="41"/>
      <c r="T2679" s="45"/>
    </row>
    <row r="2680">
      <c r="L2680" s="49"/>
      <c r="M2680" s="49"/>
      <c r="N2680" s="49"/>
      <c r="S2680" s="41"/>
      <c r="T2680" s="45"/>
    </row>
    <row r="2681">
      <c r="L2681" s="49"/>
      <c r="M2681" s="49"/>
      <c r="N2681" s="49"/>
      <c r="S2681" s="41"/>
      <c r="T2681" s="45"/>
    </row>
    <row r="2682">
      <c r="L2682" s="49"/>
      <c r="M2682" s="49"/>
      <c r="N2682" s="49"/>
      <c r="S2682" s="41"/>
      <c r="T2682" s="45"/>
    </row>
    <row r="2683">
      <c r="L2683" s="49"/>
      <c r="M2683" s="49"/>
      <c r="N2683" s="49"/>
      <c r="S2683" s="41"/>
      <c r="T2683" s="45"/>
    </row>
    <row r="2684">
      <c r="L2684" s="49"/>
      <c r="M2684" s="49"/>
      <c r="N2684" s="49"/>
      <c r="S2684" s="41"/>
      <c r="T2684" s="45"/>
    </row>
    <row r="2685">
      <c r="L2685" s="49"/>
      <c r="M2685" s="49"/>
      <c r="N2685" s="49"/>
      <c r="S2685" s="41"/>
      <c r="T2685" s="45"/>
    </row>
    <row r="2686">
      <c r="L2686" s="49"/>
      <c r="M2686" s="49"/>
      <c r="N2686" s="49"/>
      <c r="S2686" s="41"/>
      <c r="T2686" s="45"/>
    </row>
    <row r="2687">
      <c r="L2687" s="49"/>
      <c r="M2687" s="49"/>
      <c r="N2687" s="49"/>
      <c r="S2687" s="41"/>
      <c r="T2687" s="45"/>
    </row>
    <row r="2688">
      <c r="L2688" s="49"/>
      <c r="M2688" s="49"/>
      <c r="N2688" s="49"/>
      <c r="S2688" s="41"/>
      <c r="T2688" s="45"/>
    </row>
    <row r="2689">
      <c r="L2689" s="49"/>
      <c r="M2689" s="49"/>
      <c r="N2689" s="49"/>
      <c r="S2689" s="41"/>
      <c r="T2689" s="45"/>
    </row>
    <row r="2690">
      <c r="L2690" s="49"/>
      <c r="M2690" s="49"/>
      <c r="N2690" s="49"/>
      <c r="S2690" s="41"/>
      <c r="T2690" s="45"/>
    </row>
    <row r="2691">
      <c r="L2691" s="49"/>
      <c r="M2691" s="49"/>
      <c r="N2691" s="49"/>
      <c r="S2691" s="41"/>
      <c r="T2691" s="45"/>
    </row>
    <row r="2692">
      <c r="L2692" s="49"/>
      <c r="M2692" s="49"/>
      <c r="N2692" s="49"/>
      <c r="S2692" s="41"/>
      <c r="T2692" s="45"/>
    </row>
    <row r="2693">
      <c r="L2693" s="49"/>
      <c r="M2693" s="49"/>
      <c r="N2693" s="49"/>
      <c r="S2693" s="41"/>
      <c r="T2693" s="45"/>
    </row>
    <row r="2694">
      <c r="L2694" s="49"/>
      <c r="M2694" s="49"/>
      <c r="N2694" s="49"/>
      <c r="S2694" s="41"/>
      <c r="T2694" s="45"/>
    </row>
    <row r="2695">
      <c r="L2695" s="49"/>
      <c r="M2695" s="49"/>
      <c r="N2695" s="49"/>
      <c r="S2695" s="41"/>
      <c r="T2695" s="45"/>
    </row>
    <row r="2696">
      <c r="L2696" s="49"/>
      <c r="M2696" s="49"/>
      <c r="N2696" s="49"/>
      <c r="S2696" s="41"/>
      <c r="T2696" s="45"/>
    </row>
    <row r="2697">
      <c r="L2697" s="49"/>
      <c r="M2697" s="49"/>
      <c r="N2697" s="49"/>
      <c r="S2697" s="41"/>
      <c r="T2697" s="45"/>
    </row>
    <row r="2698">
      <c r="L2698" s="49"/>
      <c r="M2698" s="49"/>
      <c r="N2698" s="49"/>
      <c r="S2698" s="41"/>
      <c r="T2698" s="45"/>
    </row>
    <row r="2699">
      <c r="L2699" s="49"/>
      <c r="M2699" s="49"/>
      <c r="N2699" s="49"/>
      <c r="S2699" s="41"/>
      <c r="T2699" s="45"/>
    </row>
    <row r="2700">
      <c r="L2700" s="49"/>
      <c r="M2700" s="49"/>
      <c r="N2700" s="49"/>
      <c r="S2700" s="41"/>
      <c r="T2700" s="45"/>
    </row>
    <row r="2701">
      <c r="L2701" s="49"/>
      <c r="M2701" s="49"/>
      <c r="N2701" s="49"/>
      <c r="S2701" s="41"/>
      <c r="T2701" s="45"/>
    </row>
    <row r="2702">
      <c r="L2702" s="49"/>
      <c r="M2702" s="49"/>
      <c r="N2702" s="49"/>
      <c r="S2702" s="41"/>
      <c r="T2702" s="45"/>
    </row>
    <row r="2703">
      <c r="L2703" s="49"/>
      <c r="M2703" s="49"/>
      <c r="N2703" s="49"/>
      <c r="S2703" s="41"/>
      <c r="T2703" s="45"/>
    </row>
    <row r="2704">
      <c r="L2704" s="49"/>
      <c r="M2704" s="49"/>
      <c r="N2704" s="49"/>
      <c r="S2704" s="58"/>
      <c r="T2704" s="45"/>
    </row>
    <row r="2705">
      <c r="L2705" s="49"/>
      <c r="M2705" s="49"/>
      <c r="N2705" s="49"/>
      <c r="S2705" s="58"/>
      <c r="T2705" s="59"/>
    </row>
    <row r="2706">
      <c r="L2706" s="49"/>
      <c r="M2706" s="49"/>
      <c r="N2706" s="49"/>
      <c r="S2706" s="58"/>
      <c r="T2706" s="62"/>
    </row>
    <row r="2707">
      <c r="L2707" s="49"/>
      <c r="M2707" s="49"/>
      <c r="N2707" s="49"/>
      <c r="S2707" s="58"/>
      <c r="T2707" s="59"/>
    </row>
    <row r="2708">
      <c r="L2708" s="49"/>
      <c r="M2708" s="49"/>
      <c r="N2708" s="49"/>
      <c r="S2708" s="58"/>
      <c r="T2708" s="59"/>
    </row>
    <row r="2709">
      <c r="L2709" s="49"/>
      <c r="M2709" s="49"/>
      <c r="N2709" s="49"/>
      <c r="S2709" s="58"/>
      <c r="T2709" s="59"/>
    </row>
    <row r="2710">
      <c r="L2710" s="49"/>
      <c r="M2710" s="49"/>
      <c r="N2710" s="49"/>
      <c r="S2710" s="58"/>
      <c r="T2710" s="59"/>
    </row>
    <row r="2711">
      <c r="L2711" s="49"/>
      <c r="M2711" s="49"/>
      <c r="N2711" s="49"/>
      <c r="S2711" s="58"/>
      <c r="T2711" s="59"/>
    </row>
    <row r="2712">
      <c r="L2712" s="49"/>
      <c r="M2712" s="49"/>
      <c r="N2712" s="49"/>
      <c r="S2712" s="58"/>
      <c r="T2712" s="59"/>
    </row>
    <row r="2713">
      <c r="L2713" s="49"/>
      <c r="M2713" s="49"/>
      <c r="N2713" s="49"/>
      <c r="S2713" s="58"/>
      <c r="T2713" s="59"/>
    </row>
    <row r="2714">
      <c r="L2714" s="49"/>
      <c r="M2714" s="49"/>
      <c r="N2714" s="49"/>
      <c r="S2714" s="41"/>
      <c r="T2714" s="59"/>
    </row>
    <row r="2715">
      <c r="L2715" s="49"/>
      <c r="M2715" s="49"/>
      <c r="N2715" s="49"/>
      <c r="S2715" s="41"/>
      <c r="T2715" s="59"/>
    </row>
    <row r="2716">
      <c r="L2716" s="49"/>
      <c r="M2716" s="49"/>
      <c r="N2716" s="49"/>
      <c r="S2716" s="41"/>
      <c r="T2716" s="59"/>
    </row>
    <row r="2717">
      <c r="L2717" s="49"/>
      <c r="M2717" s="49"/>
      <c r="N2717" s="49"/>
      <c r="S2717" s="41"/>
      <c r="T2717" s="59"/>
    </row>
    <row r="2718">
      <c r="L2718" s="49"/>
      <c r="M2718" s="49"/>
      <c r="N2718" s="49"/>
      <c r="S2718" s="58"/>
      <c r="T2718" s="59"/>
    </row>
    <row r="2719">
      <c r="L2719" s="49"/>
      <c r="M2719" s="49"/>
      <c r="N2719" s="49"/>
      <c r="S2719" s="58"/>
      <c r="T2719" s="59"/>
    </row>
    <row r="2720">
      <c r="L2720" s="49"/>
      <c r="M2720" s="49"/>
      <c r="N2720" s="49"/>
      <c r="S2720" s="58"/>
      <c r="T2720" s="62"/>
    </row>
    <row r="2721">
      <c r="L2721" s="49"/>
      <c r="M2721" s="49"/>
      <c r="N2721" s="49"/>
      <c r="S2721" s="58"/>
      <c r="T2721" s="59"/>
    </row>
    <row r="2722">
      <c r="L2722" s="49"/>
      <c r="M2722" s="49"/>
      <c r="N2722" s="49"/>
      <c r="S2722" s="58"/>
      <c r="T2722" s="59"/>
    </row>
    <row r="2723">
      <c r="L2723" s="49"/>
      <c r="M2723" s="49"/>
      <c r="N2723" s="49"/>
      <c r="S2723" s="58"/>
      <c r="T2723" s="62"/>
    </row>
    <row r="2724">
      <c r="L2724" s="49"/>
      <c r="M2724" s="49"/>
      <c r="N2724" s="49"/>
      <c r="S2724" s="58"/>
      <c r="T2724" s="62"/>
    </row>
    <row r="2725">
      <c r="L2725" s="49"/>
      <c r="M2725" s="49"/>
      <c r="N2725" s="49"/>
      <c r="S2725" s="41"/>
      <c r="T2725" s="59"/>
    </row>
    <row r="2726">
      <c r="L2726" s="49"/>
      <c r="M2726" s="49"/>
      <c r="N2726" s="49"/>
      <c r="S2726" s="41"/>
      <c r="T2726" s="59"/>
    </row>
    <row r="2727">
      <c r="L2727" s="49"/>
      <c r="M2727" s="49"/>
      <c r="N2727" s="49"/>
      <c r="S2727" s="41"/>
      <c r="T2727" s="59"/>
    </row>
    <row r="2728">
      <c r="L2728" s="49"/>
      <c r="M2728" s="49"/>
      <c r="N2728" s="49"/>
      <c r="S2728" s="41"/>
      <c r="T2728" s="62"/>
    </row>
    <row r="2729">
      <c r="L2729" s="49"/>
      <c r="M2729" s="49"/>
      <c r="N2729" s="49"/>
      <c r="S2729" s="41"/>
      <c r="T2729" s="59"/>
    </row>
    <row r="2730">
      <c r="L2730" s="49"/>
      <c r="M2730" s="49"/>
      <c r="N2730" s="49"/>
      <c r="S2730" s="41"/>
      <c r="T2730" s="59"/>
    </row>
    <row r="2731">
      <c r="L2731" s="49"/>
      <c r="M2731" s="49"/>
      <c r="N2731" s="49"/>
      <c r="S2731" s="41"/>
      <c r="T2731" s="59"/>
    </row>
    <row r="2732">
      <c r="L2732" s="49"/>
      <c r="M2732" s="49"/>
      <c r="N2732" s="49"/>
      <c r="S2732" s="41"/>
      <c r="T2732" s="59"/>
    </row>
    <row r="2733">
      <c r="L2733" s="49"/>
      <c r="M2733" s="49"/>
      <c r="N2733" s="49"/>
      <c r="S2733" s="41"/>
      <c r="T2733" s="59"/>
    </row>
    <row r="2734">
      <c r="L2734" s="49"/>
      <c r="M2734" s="49"/>
      <c r="N2734" s="49"/>
      <c r="S2734" s="41"/>
      <c r="T2734" s="62"/>
    </row>
    <row r="2735">
      <c r="L2735" s="49"/>
      <c r="M2735" s="49"/>
      <c r="N2735" s="49"/>
      <c r="S2735" s="41"/>
      <c r="T2735" s="62"/>
    </row>
    <row r="2736">
      <c r="L2736" s="49"/>
      <c r="M2736" s="49"/>
      <c r="N2736" s="49"/>
      <c r="S2736" s="41"/>
      <c r="T2736" s="59"/>
    </row>
    <row r="2737">
      <c r="L2737" s="49"/>
      <c r="M2737" s="49"/>
      <c r="N2737" s="49"/>
      <c r="S2737" s="58"/>
      <c r="T2737" s="63"/>
    </row>
    <row r="2738">
      <c r="L2738" s="49"/>
      <c r="M2738" s="49"/>
      <c r="N2738" s="49"/>
      <c r="S2738" s="58"/>
      <c r="T2738" s="63"/>
    </row>
    <row r="2739">
      <c r="L2739" s="49"/>
      <c r="M2739" s="49"/>
      <c r="N2739" s="49"/>
      <c r="S2739" s="58"/>
      <c r="T2739" s="50"/>
    </row>
    <row r="2740">
      <c r="L2740" s="49"/>
      <c r="M2740" s="49"/>
      <c r="N2740" s="49"/>
      <c r="S2740" s="58"/>
      <c r="T2740" s="50"/>
    </row>
    <row r="2741">
      <c r="L2741" s="49"/>
      <c r="M2741" s="49"/>
      <c r="N2741" s="49"/>
      <c r="S2741" s="58"/>
      <c r="T2741" s="50"/>
    </row>
    <row r="2742">
      <c r="L2742" s="49"/>
      <c r="M2742" s="49"/>
      <c r="N2742" s="49"/>
      <c r="S2742" s="58"/>
      <c r="T2742" s="50"/>
    </row>
    <row r="2743">
      <c r="L2743" s="49"/>
      <c r="M2743" s="49"/>
      <c r="N2743" s="49"/>
      <c r="S2743" s="41"/>
      <c r="T2743" s="59"/>
    </row>
    <row r="2744">
      <c r="L2744" s="49"/>
      <c r="M2744" s="49"/>
      <c r="N2744" s="49"/>
      <c r="S2744" s="58"/>
      <c r="T2744" s="50"/>
    </row>
    <row r="2745">
      <c r="L2745" s="49"/>
      <c r="M2745" s="49"/>
      <c r="N2745" s="49"/>
      <c r="S2745" s="58"/>
      <c r="T2745" s="50"/>
    </row>
    <row r="2746">
      <c r="L2746" s="49"/>
      <c r="M2746" s="49"/>
      <c r="N2746" s="49"/>
      <c r="S2746" s="58"/>
      <c r="T2746" s="50"/>
    </row>
    <row r="2747">
      <c r="L2747" s="49"/>
      <c r="M2747" s="49"/>
      <c r="N2747" s="49"/>
      <c r="S2747" s="58"/>
      <c r="T2747" s="50"/>
    </row>
    <row r="2748">
      <c r="L2748" s="49"/>
      <c r="M2748" s="49"/>
      <c r="N2748" s="49"/>
      <c r="S2748" s="58"/>
      <c r="T2748" s="50"/>
    </row>
    <row r="2749">
      <c r="L2749" s="49"/>
      <c r="M2749" s="49"/>
      <c r="N2749" s="49"/>
      <c r="S2749" s="58"/>
      <c r="T2749" s="50"/>
    </row>
    <row r="2750">
      <c r="L2750" s="49"/>
      <c r="M2750" s="49"/>
      <c r="N2750" s="49"/>
      <c r="S2750" s="39"/>
      <c r="T2750" s="60"/>
    </row>
    <row r="2751">
      <c r="L2751" s="49"/>
      <c r="M2751" s="49"/>
      <c r="N2751" s="49"/>
      <c r="S2751" s="39"/>
      <c r="T2751" s="60"/>
    </row>
    <row r="2752">
      <c r="L2752" s="49"/>
      <c r="M2752" s="49"/>
      <c r="N2752" s="49"/>
      <c r="S2752" s="39"/>
      <c r="T2752" s="60"/>
    </row>
    <row r="2753">
      <c r="L2753" s="49"/>
      <c r="M2753" s="49"/>
      <c r="N2753" s="49"/>
      <c r="S2753" s="39"/>
      <c r="T2753" s="60"/>
    </row>
    <row r="2754">
      <c r="L2754" s="49"/>
      <c r="M2754" s="49"/>
      <c r="N2754" s="49"/>
      <c r="S2754" s="39"/>
      <c r="T2754" s="60"/>
    </row>
    <row r="2755">
      <c r="L2755" s="49"/>
      <c r="M2755" s="49"/>
      <c r="N2755" s="49"/>
      <c r="S2755" s="64"/>
      <c r="T2755" s="15"/>
    </row>
    <row r="2756">
      <c r="L2756" s="49"/>
      <c r="M2756" s="49"/>
      <c r="N2756" s="49"/>
      <c r="S2756" s="15"/>
      <c r="T2756" s="65"/>
    </row>
    <row r="2757">
      <c r="L2757" s="49"/>
      <c r="M2757" s="49"/>
      <c r="N2757" s="49"/>
      <c r="S2757" s="15"/>
      <c r="T2757" s="65"/>
    </row>
    <row r="2758">
      <c r="L2758" s="49"/>
      <c r="M2758" s="49"/>
      <c r="N2758" s="49"/>
      <c r="S2758" s="15"/>
      <c r="T2758" s="60"/>
    </row>
    <row r="2759">
      <c r="L2759" s="49"/>
      <c r="M2759" s="49"/>
      <c r="N2759" s="49"/>
      <c r="S2759" s="15"/>
      <c r="T2759" s="65"/>
    </row>
    <row r="2760">
      <c r="L2760" s="49"/>
      <c r="M2760" s="49"/>
      <c r="N2760" s="49"/>
      <c r="S2760" s="15"/>
      <c r="T2760" s="65"/>
    </row>
    <row r="2761">
      <c r="L2761" s="49"/>
      <c r="M2761" s="49"/>
      <c r="N2761" s="49"/>
      <c r="S2761" s="15"/>
      <c r="T2761" s="65"/>
    </row>
    <row r="2762">
      <c r="L2762" s="49"/>
      <c r="M2762" s="49"/>
      <c r="N2762" s="49"/>
      <c r="S2762" s="15"/>
      <c r="T2762" s="65"/>
    </row>
    <row r="2763">
      <c r="L2763" s="49"/>
      <c r="M2763" s="49"/>
      <c r="N2763" s="49"/>
      <c r="S2763" s="15"/>
      <c r="T2763" s="65"/>
    </row>
    <row r="2764">
      <c r="L2764" s="49"/>
      <c r="M2764" s="49"/>
      <c r="N2764" s="49"/>
      <c r="S2764" s="15"/>
      <c r="T2764" s="60"/>
    </row>
    <row r="2765">
      <c r="L2765" s="49"/>
      <c r="M2765" s="49"/>
      <c r="N2765" s="49"/>
      <c r="S2765" s="15"/>
      <c r="T2765" s="17"/>
    </row>
    <row r="2766">
      <c r="L2766" s="49"/>
      <c r="M2766" s="49"/>
      <c r="N2766" s="49"/>
      <c r="S2766" s="15"/>
      <c r="T2766" s="17"/>
    </row>
    <row r="2767">
      <c r="L2767" s="49"/>
      <c r="M2767" s="49"/>
      <c r="N2767" s="49"/>
      <c r="S2767" s="15"/>
      <c r="T2767" s="17"/>
    </row>
    <row r="2768">
      <c r="L2768" s="49"/>
      <c r="M2768" s="49"/>
      <c r="N2768" s="49"/>
      <c r="S2768" s="15"/>
      <c r="T2768" s="17"/>
    </row>
    <row r="2769">
      <c r="L2769" s="49"/>
      <c r="M2769" s="49"/>
      <c r="N2769" s="49"/>
      <c r="S2769" s="15"/>
      <c r="T2769" s="17"/>
    </row>
    <row r="2770">
      <c r="L2770" s="49"/>
      <c r="M2770" s="49"/>
      <c r="N2770" s="49"/>
      <c r="S2770" s="15"/>
      <c r="T2770" s="17"/>
    </row>
    <row r="2771">
      <c r="L2771" s="49"/>
      <c r="M2771" s="49"/>
      <c r="N2771" s="49"/>
      <c r="S2771" s="15"/>
      <c r="T2771" s="17"/>
    </row>
    <row r="2772">
      <c r="L2772" s="49"/>
      <c r="M2772" s="49"/>
      <c r="N2772" s="49"/>
      <c r="S2772" s="15"/>
      <c r="T2772" s="17"/>
    </row>
    <row r="2773">
      <c r="L2773" s="49"/>
      <c r="M2773" s="49"/>
      <c r="N2773" s="49"/>
      <c r="S2773" s="15"/>
      <c r="T2773" s="17"/>
    </row>
    <row r="2774">
      <c r="L2774" s="49"/>
      <c r="M2774" s="49"/>
      <c r="N2774" s="49"/>
      <c r="S2774" s="15"/>
      <c r="T2774" s="17"/>
    </row>
    <row r="2775">
      <c r="L2775" s="49"/>
      <c r="M2775" s="49"/>
      <c r="N2775" s="49"/>
      <c r="S2775" s="15"/>
      <c r="T2775" s="17"/>
    </row>
    <row r="2776">
      <c r="L2776" s="49"/>
      <c r="M2776" s="49"/>
      <c r="N2776" s="49"/>
      <c r="S2776" s="15"/>
      <c r="T2776" s="17"/>
    </row>
    <row r="2777">
      <c r="L2777" s="49"/>
      <c r="M2777" s="49"/>
      <c r="N2777" s="49"/>
      <c r="S2777" s="15"/>
      <c r="T2777" s="17"/>
    </row>
    <row r="2778">
      <c r="L2778" s="49"/>
      <c r="M2778" s="49"/>
      <c r="N2778" s="49"/>
      <c r="S2778" s="15"/>
      <c r="T2778" s="17"/>
    </row>
    <row r="2779">
      <c r="L2779" s="49"/>
      <c r="M2779" s="49"/>
      <c r="N2779" s="49"/>
      <c r="S2779" s="15"/>
      <c r="T2779" s="17"/>
    </row>
    <row r="2780">
      <c r="L2780" s="49"/>
      <c r="M2780" s="49"/>
      <c r="N2780" s="49"/>
      <c r="S2780" s="15"/>
      <c r="T2780" s="17"/>
    </row>
    <row r="2781">
      <c r="L2781" s="49"/>
      <c r="M2781" s="49"/>
      <c r="N2781" s="49"/>
      <c r="S2781" s="15"/>
      <c r="T2781" s="17"/>
    </row>
    <row r="2782">
      <c r="L2782" s="49"/>
      <c r="M2782" s="49"/>
      <c r="N2782" s="49"/>
      <c r="S2782" s="15"/>
      <c r="T2782" s="17"/>
    </row>
    <row r="2783">
      <c r="L2783" s="49"/>
      <c r="M2783" s="49"/>
      <c r="N2783" s="49"/>
      <c r="S2783" s="15"/>
      <c r="T2783" s="17"/>
    </row>
    <row r="2784">
      <c r="L2784" s="49"/>
      <c r="M2784" s="49"/>
      <c r="N2784" s="49"/>
      <c r="S2784" s="15"/>
      <c r="T2784" s="17"/>
    </row>
    <row r="2785">
      <c r="L2785" s="49"/>
      <c r="M2785" s="49"/>
      <c r="N2785" s="49"/>
      <c r="S2785" s="15"/>
      <c r="T2785" s="17"/>
    </row>
    <row r="2786">
      <c r="L2786" s="49"/>
      <c r="M2786" s="49"/>
      <c r="N2786" s="49"/>
      <c r="S2786" s="15"/>
      <c r="T2786" s="17"/>
    </row>
    <row r="2787">
      <c r="L2787" s="49"/>
      <c r="M2787" s="49"/>
      <c r="N2787" s="49"/>
      <c r="S2787" s="15"/>
      <c r="T2787" s="17"/>
    </row>
    <row r="2788">
      <c r="L2788" s="49"/>
      <c r="M2788" s="49"/>
      <c r="N2788" s="49"/>
      <c r="S2788" s="15"/>
      <c r="T2788" s="17"/>
    </row>
    <row r="2789">
      <c r="L2789" s="49"/>
      <c r="M2789" s="49"/>
      <c r="N2789" s="49"/>
      <c r="S2789" s="15"/>
      <c r="T2789" s="17"/>
    </row>
    <row r="2790">
      <c r="L2790" s="49"/>
      <c r="M2790" s="49"/>
      <c r="N2790" s="49"/>
      <c r="S2790" s="15"/>
      <c r="T2790" s="17"/>
    </row>
    <row r="2791">
      <c r="L2791" s="49"/>
      <c r="M2791" s="49"/>
      <c r="N2791" s="49"/>
      <c r="S2791" s="15"/>
      <c r="T2791" s="17"/>
    </row>
    <row r="2792">
      <c r="L2792" s="49"/>
      <c r="M2792" s="49"/>
      <c r="N2792" s="49"/>
      <c r="S2792" s="15"/>
      <c r="T2792" s="17"/>
    </row>
    <row r="2793">
      <c r="L2793" s="49"/>
      <c r="M2793" s="49"/>
      <c r="N2793" s="49"/>
      <c r="S2793" s="15"/>
      <c r="T2793" s="17"/>
    </row>
    <row r="2794">
      <c r="L2794" s="49"/>
      <c r="M2794" s="49"/>
      <c r="N2794" s="49"/>
      <c r="S2794" s="15"/>
      <c r="T2794" s="17"/>
    </row>
    <row r="2795">
      <c r="L2795" s="49"/>
      <c r="M2795" s="49"/>
      <c r="N2795" s="49"/>
      <c r="S2795" s="15"/>
      <c r="T2795" s="17"/>
    </row>
    <row r="2796">
      <c r="L2796" s="49"/>
      <c r="M2796" s="49"/>
      <c r="N2796" s="49"/>
      <c r="S2796" s="15"/>
      <c r="T2796" s="66"/>
    </row>
    <row r="2797">
      <c r="L2797" s="49"/>
      <c r="M2797" s="49"/>
      <c r="N2797" s="49"/>
      <c r="S2797" s="15"/>
      <c r="T2797" s="15"/>
    </row>
    <row r="2798">
      <c r="L2798" s="49"/>
      <c r="M2798" s="49"/>
      <c r="N2798" s="49"/>
      <c r="S2798" s="15"/>
      <c r="T2798" s="15"/>
    </row>
    <row r="2799">
      <c r="L2799" s="49"/>
      <c r="M2799" s="49"/>
      <c r="N2799" s="49"/>
      <c r="S2799" s="15"/>
      <c r="T2799" s="15"/>
    </row>
    <row r="2800">
      <c r="L2800" s="49"/>
      <c r="M2800" s="49"/>
      <c r="N2800" s="49"/>
      <c r="S2800" s="15"/>
      <c r="T2800" s="15"/>
    </row>
    <row r="2801">
      <c r="L2801" s="49"/>
      <c r="M2801" s="49"/>
      <c r="N2801" s="49"/>
      <c r="S2801" s="15"/>
      <c r="T2801" s="15"/>
    </row>
    <row r="2802">
      <c r="L2802" s="49"/>
      <c r="M2802" s="49"/>
      <c r="N2802" s="49"/>
      <c r="S2802" s="15"/>
      <c r="T2802" s="15"/>
    </row>
    <row r="2803">
      <c r="L2803" s="49"/>
      <c r="M2803" s="49"/>
      <c r="N2803" s="49"/>
      <c r="S2803" s="15"/>
      <c r="T2803" s="15"/>
    </row>
    <row r="2804">
      <c r="L2804" s="49"/>
      <c r="M2804" s="49"/>
      <c r="N2804" s="49"/>
      <c r="S2804" s="15"/>
      <c r="T2804" s="15"/>
    </row>
    <row r="2805">
      <c r="L2805" s="49"/>
      <c r="M2805" s="49"/>
      <c r="N2805" s="49"/>
      <c r="S2805" s="15"/>
      <c r="T2805" s="15"/>
    </row>
    <row r="2806">
      <c r="L2806" s="49"/>
      <c r="M2806" s="49"/>
      <c r="N2806" s="49"/>
      <c r="S2806" s="15"/>
      <c r="T2806" s="15"/>
    </row>
    <row r="2807">
      <c r="L2807" s="49"/>
      <c r="M2807" s="49"/>
      <c r="N2807" s="49"/>
      <c r="S2807" s="15"/>
      <c r="T2807" s="15"/>
    </row>
    <row r="2808">
      <c r="L2808" s="49"/>
      <c r="M2808" s="49"/>
      <c r="N2808" s="49"/>
      <c r="S2808" s="15"/>
      <c r="T2808" s="15"/>
    </row>
    <row r="2809">
      <c r="L2809" s="49"/>
      <c r="M2809" s="49"/>
      <c r="N2809" s="49"/>
      <c r="S2809" s="15"/>
      <c r="T2809" s="15"/>
    </row>
    <row r="2810">
      <c r="L2810" s="49"/>
      <c r="M2810" s="49"/>
      <c r="N2810" s="49"/>
      <c r="S2810" s="15"/>
      <c r="T2810" s="15"/>
    </row>
    <row r="2811">
      <c r="L2811" s="49"/>
      <c r="M2811" s="49"/>
      <c r="N2811" s="49"/>
      <c r="S2811" s="15"/>
      <c r="T2811" s="15"/>
    </row>
    <row r="2812">
      <c r="L2812" s="49"/>
      <c r="M2812" s="49"/>
      <c r="N2812" s="49"/>
      <c r="S2812" s="15"/>
      <c r="T2812" s="15"/>
    </row>
    <row r="2813">
      <c r="L2813" s="49"/>
      <c r="M2813" s="49"/>
      <c r="N2813" s="49"/>
      <c r="S2813" s="15"/>
      <c r="T2813" s="15"/>
    </row>
    <row r="2814">
      <c r="L2814" s="49"/>
      <c r="M2814" s="49"/>
      <c r="N2814" s="49"/>
      <c r="S2814" s="15"/>
      <c r="T2814" s="15"/>
    </row>
    <row r="2815">
      <c r="L2815" s="49"/>
      <c r="M2815" s="49"/>
      <c r="N2815" s="49"/>
      <c r="S2815" s="15"/>
      <c r="T2815" s="15"/>
    </row>
    <row r="2816">
      <c r="L2816" s="49"/>
      <c r="M2816" s="49"/>
      <c r="N2816" s="49"/>
      <c r="S2816" s="15"/>
      <c r="T2816" s="15"/>
    </row>
    <row r="2817">
      <c r="L2817" s="49"/>
      <c r="M2817" s="49"/>
      <c r="N2817" s="49"/>
      <c r="S2817" s="15"/>
      <c r="T2817" s="15"/>
    </row>
    <row r="2818">
      <c r="L2818" s="49"/>
      <c r="M2818" s="49"/>
      <c r="N2818" s="49"/>
      <c r="S2818" s="15"/>
      <c r="T2818" s="15"/>
    </row>
    <row r="2819">
      <c r="L2819" s="49"/>
      <c r="M2819" s="49"/>
      <c r="N2819" s="49"/>
      <c r="S2819" s="15"/>
      <c r="T2819" s="15"/>
    </row>
    <row r="2820">
      <c r="L2820" s="49"/>
      <c r="M2820" s="49"/>
      <c r="N2820" s="49"/>
      <c r="S2820" s="15"/>
      <c r="T2820" s="15"/>
    </row>
    <row r="2821">
      <c r="L2821" s="49"/>
      <c r="M2821" s="49"/>
      <c r="N2821" s="49"/>
      <c r="S2821" s="15"/>
      <c r="T2821" s="15"/>
    </row>
    <row r="2822">
      <c r="L2822" s="49"/>
      <c r="M2822" s="49"/>
      <c r="N2822" s="49"/>
      <c r="S2822" s="15"/>
      <c r="T2822" s="15"/>
    </row>
    <row r="2823">
      <c r="L2823" s="49"/>
      <c r="M2823" s="49"/>
      <c r="N2823" s="49"/>
      <c r="S2823" s="15"/>
      <c r="T2823" s="15"/>
    </row>
    <row r="2824">
      <c r="L2824" s="49"/>
      <c r="M2824" s="49"/>
      <c r="N2824" s="49"/>
      <c r="S2824" s="15"/>
      <c r="T2824" s="15"/>
    </row>
    <row r="2825">
      <c r="L2825" s="49"/>
      <c r="M2825" s="49"/>
      <c r="N2825" s="49"/>
      <c r="S2825" s="15"/>
      <c r="T2825" s="15"/>
    </row>
    <row r="2826">
      <c r="L2826" s="49"/>
      <c r="M2826" s="49"/>
      <c r="N2826" s="49"/>
      <c r="S2826" s="15"/>
      <c r="T2826" s="15"/>
    </row>
    <row r="2827">
      <c r="L2827" s="49"/>
      <c r="M2827" s="49"/>
      <c r="N2827" s="49"/>
      <c r="S2827" s="15"/>
      <c r="T2827" s="15"/>
    </row>
    <row r="2828">
      <c r="L2828" s="49"/>
      <c r="M2828" s="49"/>
      <c r="N2828" s="49"/>
      <c r="S2828" s="15"/>
      <c r="T2828" s="15"/>
    </row>
    <row r="2829">
      <c r="L2829" s="49"/>
      <c r="M2829" s="49"/>
      <c r="N2829" s="49"/>
      <c r="S2829" s="15"/>
      <c r="T2829" s="15"/>
    </row>
    <row r="2830">
      <c r="L2830" s="49"/>
      <c r="M2830" s="49"/>
      <c r="N2830" s="49"/>
      <c r="S2830" s="15"/>
      <c r="T2830" s="15"/>
    </row>
    <row r="2831">
      <c r="L2831" s="49"/>
      <c r="M2831" s="49"/>
      <c r="N2831" s="49"/>
      <c r="S2831" s="15"/>
      <c r="T2831" s="15"/>
    </row>
    <row r="2832">
      <c r="L2832" s="49"/>
      <c r="M2832" s="49"/>
      <c r="N2832" s="49"/>
      <c r="S2832" s="15"/>
      <c r="T2832" s="15"/>
    </row>
    <row r="2833">
      <c r="L2833" s="49"/>
      <c r="M2833" s="49"/>
      <c r="N2833" s="49"/>
      <c r="S2833" s="15"/>
      <c r="T2833" s="15"/>
    </row>
    <row r="2834">
      <c r="L2834" s="49"/>
      <c r="M2834" s="49"/>
      <c r="N2834" s="49"/>
      <c r="S2834" s="15"/>
      <c r="T2834" s="15"/>
    </row>
    <row r="2835">
      <c r="L2835" s="49"/>
      <c r="M2835" s="49"/>
      <c r="N2835" s="49"/>
      <c r="S2835" s="15"/>
      <c r="T2835" s="15"/>
    </row>
    <row r="2836">
      <c r="L2836" s="49"/>
      <c r="M2836" s="49"/>
      <c r="N2836" s="49"/>
      <c r="S2836" s="11"/>
      <c r="T2836" s="60"/>
    </row>
    <row r="2837">
      <c r="L2837" s="49"/>
      <c r="M2837" s="49"/>
      <c r="N2837" s="49"/>
      <c r="S2837" s="11"/>
      <c r="T2837" s="60"/>
    </row>
    <row r="2838">
      <c r="L2838" s="49"/>
      <c r="M2838" s="49"/>
      <c r="N2838" s="49"/>
      <c r="S2838" s="11"/>
      <c r="T2838" s="60"/>
    </row>
    <row r="2839">
      <c r="L2839" s="49"/>
      <c r="M2839" s="49"/>
      <c r="N2839" s="49"/>
      <c r="S2839" s="11"/>
      <c r="T2839" s="60"/>
    </row>
    <row r="2840">
      <c r="L2840" s="49"/>
      <c r="M2840" s="49"/>
      <c r="N2840" s="49"/>
      <c r="S2840" s="11"/>
      <c r="T2840" s="60"/>
    </row>
    <row r="2841">
      <c r="L2841" s="49"/>
      <c r="M2841" s="49"/>
      <c r="N2841" s="49"/>
      <c r="S2841" s="11"/>
      <c r="T2841" s="60"/>
    </row>
    <row r="2842">
      <c r="L2842" s="49"/>
      <c r="M2842" s="49"/>
      <c r="N2842" s="49"/>
      <c r="S2842" s="11"/>
      <c r="T2842" s="60"/>
    </row>
    <row r="2843">
      <c r="L2843" s="49"/>
      <c r="M2843" s="49"/>
      <c r="N2843" s="49"/>
      <c r="S2843" s="11"/>
      <c r="T2843" s="60"/>
    </row>
    <row r="2844">
      <c r="L2844" s="49"/>
      <c r="M2844" s="49"/>
      <c r="N2844" s="49"/>
      <c r="S2844" s="11"/>
      <c r="T2844" s="60"/>
    </row>
    <row r="2845">
      <c r="L2845" s="49"/>
      <c r="M2845" s="49"/>
      <c r="N2845" s="49"/>
      <c r="S2845" s="11"/>
      <c r="T2845" s="60"/>
    </row>
    <row r="2846">
      <c r="L2846" s="49"/>
      <c r="M2846" s="49"/>
      <c r="N2846" s="49"/>
      <c r="S2846" s="11"/>
      <c r="T2846" s="60"/>
    </row>
    <row r="2847">
      <c r="L2847" s="49"/>
      <c r="M2847" s="49"/>
      <c r="N2847" s="49"/>
      <c r="S2847" s="15"/>
      <c r="T2847" s="60"/>
    </row>
    <row r="2848">
      <c r="L2848" s="49"/>
      <c r="M2848" s="49"/>
      <c r="N2848" s="49"/>
      <c r="S2848" s="11"/>
      <c r="T2848" s="60"/>
    </row>
    <row r="2849">
      <c r="L2849" s="49"/>
      <c r="M2849" s="49"/>
      <c r="N2849" s="49"/>
      <c r="S2849" s="15"/>
      <c r="T2849" s="60"/>
    </row>
    <row r="2850">
      <c r="L2850" s="49"/>
      <c r="M2850" s="49"/>
      <c r="N2850" s="49"/>
      <c r="S2850" s="15"/>
      <c r="T2850" s="60"/>
    </row>
    <row r="2851">
      <c r="L2851" s="49"/>
      <c r="M2851" s="49"/>
      <c r="N2851" s="49"/>
      <c r="S2851" s="15"/>
      <c r="T2851" s="17"/>
    </row>
    <row r="2852">
      <c r="L2852" s="49"/>
      <c r="M2852" s="49"/>
      <c r="N2852" s="49"/>
      <c r="S2852" s="15"/>
      <c r="T2852" s="17"/>
    </row>
    <row r="2853">
      <c r="L2853" s="49"/>
      <c r="M2853" s="49"/>
      <c r="N2853" s="49"/>
      <c r="S2853" s="15"/>
      <c r="T2853" s="17"/>
    </row>
    <row r="2854">
      <c r="L2854" s="49"/>
      <c r="M2854" s="49"/>
      <c r="N2854" s="49"/>
      <c r="S2854" s="15"/>
      <c r="T2854" s="17"/>
    </row>
    <row r="2855">
      <c r="L2855" s="49"/>
      <c r="M2855" s="49"/>
      <c r="N2855" s="49"/>
      <c r="S2855" s="15"/>
      <c r="T2855" s="17"/>
    </row>
    <row r="2856">
      <c r="L2856" s="49"/>
      <c r="M2856" s="49"/>
      <c r="N2856" s="49"/>
      <c r="S2856" s="15"/>
      <c r="T2856" s="17"/>
    </row>
    <row r="2857">
      <c r="L2857" s="49"/>
      <c r="M2857" s="49"/>
      <c r="N2857" s="49"/>
      <c r="S2857" s="15"/>
      <c r="T2857" s="17"/>
    </row>
    <row r="2858">
      <c r="L2858" s="49"/>
      <c r="M2858" s="49"/>
      <c r="N2858" s="49"/>
      <c r="S2858" s="15"/>
      <c r="T2858" s="17"/>
    </row>
    <row r="2859">
      <c r="L2859" s="49"/>
      <c r="M2859" s="49"/>
      <c r="N2859" s="49"/>
      <c r="S2859" s="15"/>
      <c r="T2859" s="17"/>
    </row>
    <row r="2860">
      <c r="L2860" s="49"/>
      <c r="M2860" s="49"/>
      <c r="N2860" s="49"/>
      <c r="S2860" s="15"/>
      <c r="T2860" s="17"/>
    </row>
    <row r="2861">
      <c r="L2861" s="49"/>
      <c r="M2861" s="49"/>
      <c r="N2861" s="49"/>
      <c r="S2861" s="15"/>
      <c r="T2861" s="17"/>
    </row>
    <row r="2862">
      <c r="L2862" s="49"/>
      <c r="M2862" s="49"/>
      <c r="N2862" s="49"/>
      <c r="S2862" s="15"/>
      <c r="T2862" s="17"/>
    </row>
    <row r="2863">
      <c r="L2863" s="49"/>
      <c r="M2863" s="49"/>
      <c r="N2863" s="49"/>
      <c r="S2863" s="15"/>
      <c r="T2863" s="17"/>
    </row>
    <row r="2864">
      <c r="L2864" s="49"/>
      <c r="M2864" s="49"/>
      <c r="N2864" s="49"/>
      <c r="S2864" s="15"/>
      <c r="T2864" s="17"/>
    </row>
    <row r="2865">
      <c r="L2865" s="49"/>
      <c r="M2865" s="49"/>
      <c r="N2865" s="49"/>
      <c r="S2865" s="15"/>
      <c r="T2865" s="17"/>
    </row>
    <row r="2866">
      <c r="L2866" s="49"/>
      <c r="M2866" s="49"/>
      <c r="N2866" s="49"/>
      <c r="S2866" s="15"/>
      <c r="T2866" s="17"/>
    </row>
    <row r="2867">
      <c r="L2867" s="49"/>
      <c r="M2867" s="49"/>
      <c r="N2867" s="49"/>
      <c r="S2867" s="15"/>
      <c r="T2867" s="17"/>
    </row>
    <row r="2868">
      <c r="L2868" s="49"/>
      <c r="M2868" s="49"/>
      <c r="N2868" s="49"/>
      <c r="S2868" s="15"/>
      <c r="T2868" s="17"/>
    </row>
    <row r="2869">
      <c r="L2869" s="49"/>
      <c r="M2869" s="49"/>
      <c r="N2869" s="49"/>
      <c r="S2869" s="15"/>
      <c r="T2869" s="17"/>
    </row>
    <row r="2870">
      <c r="L2870" s="49"/>
      <c r="M2870" s="49"/>
      <c r="N2870" s="49"/>
      <c r="S2870" s="15"/>
      <c r="T2870" s="17"/>
    </row>
    <row r="2871">
      <c r="L2871" s="49"/>
      <c r="M2871" s="49"/>
      <c r="N2871" s="49"/>
      <c r="S2871" s="15"/>
      <c r="T2871" s="17"/>
    </row>
    <row r="2872">
      <c r="L2872" s="49"/>
      <c r="M2872" s="49"/>
      <c r="N2872" s="49"/>
      <c r="S2872" s="15"/>
      <c r="T2872" s="17"/>
    </row>
    <row r="2873">
      <c r="L2873" s="49"/>
      <c r="M2873" s="49"/>
      <c r="N2873" s="49"/>
      <c r="S2873" s="15"/>
      <c r="T2873" s="17"/>
    </row>
    <row r="2874">
      <c r="L2874" s="49"/>
      <c r="M2874" s="49"/>
      <c r="N2874" s="49"/>
      <c r="S2874" s="15"/>
      <c r="T2874" s="17"/>
    </row>
    <row r="2875">
      <c r="L2875" s="49"/>
      <c r="M2875" s="49"/>
      <c r="N2875" s="49"/>
      <c r="S2875" s="15"/>
      <c r="T2875" s="17"/>
    </row>
    <row r="2876">
      <c r="L2876" s="49"/>
      <c r="M2876" s="49"/>
      <c r="N2876" s="49"/>
      <c r="S2876" s="15"/>
      <c r="T2876" s="17"/>
    </row>
    <row r="2877">
      <c r="L2877" s="49"/>
      <c r="M2877" s="49"/>
      <c r="N2877" s="49"/>
      <c r="S2877" s="15"/>
      <c r="T2877" s="17"/>
    </row>
    <row r="2878">
      <c r="L2878" s="49"/>
      <c r="M2878" s="49"/>
      <c r="N2878" s="49"/>
      <c r="S2878" s="15"/>
      <c r="T2878" s="17"/>
    </row>
    <row r="2879">
      <c r="L2879" s="49"/>
      <c r="M2879" s="49"/>
      <c r="N2879" s="49"/>
      <c r="S2879" s="15"/>
      <c r="T2879" s="15"/>
    </row>
    <row r="2880">
      <c r="L2880" s="49"/>
      <c r="M2880" s="49"/>
      <c r="N2880" s="49"/>
      <c r="S2880" s="15"/>
      <c r="T2880" s="15"/>
    </row>
    <row r="2881">
      <c r="L2881" s="49"/>
      <c r="M2881" s="49"/>
      <c r="N2881" s="49"/>
      <c r="S2881" s="15"/>
      <c r="T2881" s="15"/>
    </row>
    <row r="2882">
      <c r="L2882" s="49"/>
      <c r="M2882" s="49"/>
      <c r="N2882" s="49"/>
      <c r="S2882" s="15"/>
      <c r="T2882" s="15"/>
    </row>
    <row r="2883">
      <c r="L2883" s="49"/>
      <c r="M2883" s="49"/>
      <c r="N2883" s="49"/>
      <c r="S2883" s="15"/>
      <c r="T2883" s="15"/>
    </row>
    <row r="2884">
      <c r="L2884" s="49"/>
      <c r="M2884" s="49"/>
      <c r="N2884" s="49"/>
      <c r="S2884" s="15"/>
      <c r="T2884" s="15"/>
    </row>
    <row r="2885">
      <c r="L2885" s="49"/>
      <c r="M2885" s="49"/>
      <c r="N2885" s="49"/>
      <c r="S2885" s="15"/>
      <c r="T2885" s="15"/>
    </row>
    <row r="2886">
      <c r="L2886" s="49"/>
      <c r="M2886" s="49"/>
      <c r="N2886" s="49"/>
      <c r="S2886" s="15"/>
      <c r="T2886" s="15"/>
    </row>
    <row r="2887">
      <c r="L2887" s="49"/>
      <c r="M2887" s="49"/>
      <c r="N2887" s="49"/>
      <c r="S2887" s="15"/>
      <c r="T2887" s="15"/>
    </row>
    <row r="2888">
      <c r="L2888" s="49"/>
      <c r="M2888" s="49"/>
      <c r="N2888" s="49"/>
      <c r="S2888" s="15"/>
      <c r="T2888" s="15"/>
    </row>
    <row r="2889">
      <c r="L2889" s="49"/>
      <c r="M2889" s="49"/>
      <c r="N2889" s="49"/>
      <c r="S2889" s="15"/>
      <c r="T2889" s="15"/>
    </row>
    <row r="2890">
      <c r="L2890" s="49"/>
      <c r="M2890" s="49"/>
      <c r="N2890" s="49"/>
      <c r="S2890" s="15"/>
      <c r="T2890" s="15"/>
    </row>
    <row r="2891">
      <c r="L2891" s="49"/>
      <c r="M2891" s="49"/>
      <c r="N2891" s="49"/>
      <c r="S2891" s="15"/>
      <c r="T2891" s="15"/>
    </row>
    <row r="2892">
      <c r="L2892" s="49"/>
      <c r="M2892" s="49"/>
      <c r="N2892" s="49"/>
      <c r="S2892" s="15"/>
      <c r="T2892" s="15"/>
    </row>
    <row r="2893">
      <c r="L2893" s="49"/>
      <c r="M2893" s="49"/>
      <c r="N2893" s="49"/>
      <c r="S2893" s="15"/>
      <c r="T2893" s="15"/>
    </row>
    <row r="2894">
      <c r="L2894" s="49"/>
      <c r="M2894" s="49"/>
      <c r="N2894" s="49"/>
      <c r="S2894" s="15"/>
      <c r="T2894" s="15"/>
    </row>
    <row r="2895">
      <c r="L2895" s="49"/>
      <c r="M2895" s="49"/>
      <c r="N2895" s="49"/>
      <c r="S2895" s="15"/>
      <c r="T2895" s="15"/>
    </row>
    <row r="2896">
      <c r="L2896" s="49"/>
      <c r="M2896" s="49"/>
      <c r="N2896" s="49"/>
      <c r="S2896" s="15"/>
      <c r="T2896" s="15"/>
    </row>
    <row r="2897">
      <c r="L2897" s="49"/>
      <c r="M2897" s="49"/>
      <c r="N2897" s="49"/>
      <c r="S2897" s="15"/>
      <c r="T2897" s="15"/>
    </row>
    <row r="2898">
      <c r="L2898" s="49"/>
      <c r="M2898" s="49"/>
      <c r="N2898" s="49"/>
      <c r="S2898" s="15"/>
      <c r="T2898" s="15"/>
    </row>
    <row r="2899">
      <c r="L2899" s="49"/>
      <c r="M2899" s="49"/>
      <c r="N2899" s="49"/>
      <c r="S2899" s="15"/>
      <c r="T2899" s="15"/>
    </row>
    <row r="2900">
      <c r="L2900" s="49"/>
      <c r="M2900" s="49"/>
      <c r="N2900" s="49"/>
      <c r="S2900" s="15"/>
      <c r="T2900" s="15"/>
    </row>
    <row r="2901">
      <c r="L2901" s="49"/>
      <c r="M2901" s="49"/>
      <c r="N2901" s="49"/>
      <c r="S2901" s="15"/>
      <c r="T2901" s="15"/>
    </row>
    <row r="2902">
      <c r="L2902" s="49"/>
      <c r="M2902" s="49"/>
      <c r="N2902" s="49"/>
      <c r="S2902" s="15"/>
      <c r="T2902" s="15"/>
    </row>
    <row r="2903">
      <c r="L2903" s="49"/>
      <c r="M2903" s="49"/>
      <c r="N2903" s="49"/>
      <c r="S2903" s="15"/>
      <c r="T2903" s="15"/>
    </row>
    <row r="2904">
      <c r="L2904" s="49"/>
      <c r="M2904" s="49"/>
      <c r="N2904" s="49"/>
      <c r="S2904" s="15"/>
      <c r="T2904" s="15"/>
    </row>
    <row r="2905">
      <c r="L2905" s="49"/>
      <c r="M2905" s="49"/>
      <c r="N2905" s="49"/>
      <c r="S2905" s="15"/>
      <c r="T2905" s="15"/>
    </row>
    <row r="2906">
      <c r="L2906" s="49"/>
      <c r="M2906" s="49"/>
      <c r="N2906" s="49"/>
      <c r="S2906" s="15"/>
      <c r="T2906" s="15"/>
    </row>
    <row r="2907">
      <c r="L2907" s="49"/>
      <c r="M2907" s="49"/>
      <c r="N2907" s="49"/>
      <c r="S2907" s="15"/>
      <c r="T2907" s="15"/>
    </row>
    <row r="2908">
      <c r="L2908" s="49"/>
      <c r="M2908" s="49"/>
      <c r="N2908" s="49"/>
      <c r="S2908" s="15"/>
      <c r="T2908" s="15"/>
    </row>
    <row r="2909">
      <c r="L2909" s="49"/>
      <c r="M2909" s="49"/>
      <c r="N2909" s="49"/>
      <c r="S2909" s="15"/>
      <c r="T2909" s="15"/>
    </row>
    <row r="2910">
      <c r="L2910" s="49"/>
      <c r="M2910" s="49"/>
      <c r="N2910" s="49"/>
      <c r="S2910" s="15"/>
      <c r="T2910" s="15"/>
    </row>
    <row r="2911">
      <c r="L2911" s="49"/>
      <c r="M2911" s="49"/>
      <c r="N2911" s="49"/>
      <c r="S2911" s="15"/>
      <c r="T2911" s="15"/>
    </row>
    <row r="2912">
      <c r="L2912" s="49"/>
      <c r="M2912" s="49"/>
      <c r="N2912" s="49"/>
      <c r="S2912" s="15"/>
      <c r="T2912" s="15"/>
    </row>
    <row r="2913">
      <c r="L2913" s="49"/>
      <c r="M2913" s="49"/>
      <c r="N2913" s="49"/>
      <c r="S2913" s="15"/>
      <c r="T2913" s="15"/>
    </row>
    <row r="2914">
      <c r="L2914" s="49"/>
      <c r="M2914" s="49"/>
      <c r="N2914" s="49"/>
      <c r="S2914" s="15"/>
      <c r="T2914" s="15"/>
    </row>
    <row r="2915">
      <c r="L2915" s="49"/>
      <c r="M2915" s="49"/>
      <c r="N2915" s="49"/>
      <c r="S2915" s="15"/>
      <c r="T2915" s="15"/>
    </row>
    <row r="2916">
      <c r="L2916" s="49"/>
      <c r="M2916" s="49"/>
      <c r="N2916" s="49"/>
      <c r="S2916" s="15"/>
      <c r="T2916" s="15"/>
    </row>
    <row r="2917">
      <c r="L2917" s="49"/>
      <c r="M2917" s="49"/>
      <c r="N2917" s="49"/>
      <c r="S2917" s="15"/>
      <c r="T2917" s="15"/>
    </row>
    <row r="2918">
      <c r="L2918" s="49"/>
      <c r="M2918" s="49"/>
      <c r="N2918" s="49"/>
      <c r="S2918" s="15"/>
      <c r="T2918" s="15"/>
    </row>
    <row r="2919">
      <c r="L2919" s="49"/>
      <c r="M2919" s="49"/>
      <c r="N2919" s="49"/>
      <c r="S2919" s="15"/>
      <c r="T2919" s="15"/>
    </row>
    <row r="2920">
      <c r="L2920" s="49"/>
      <c r="M2920" s="49"/>
      <c r="N2920" s="49"/>
      <c r="S2920" s="15"/>
      <c r="T2920" s="15"/>
    </row>
    <row r="2921">
      <c r="L2921" s="49"/>
      <c r="M2921" s="49"/>
      <c r="N2921" s="49"/>
      <c r="S2921" s="15"/>
      <c r="T2921" s="15"/>
    </row>
    <row r="2922">
      <c r="L2922" s="49"/>
      <c r="M2922" s="49"/>
      <c r="N2922" s="49"/>
      <c r="S2922" s="15"/>
      <c r="T2922" s="15"/>
    </row>
    <row r="2923">
      <c r="L2923" s="49"/>
      <c r="M2923" s="49"/>
      <c r="N2923" s="49"/>
      <c r="S2923" s="15"/>
      <c r="T2923" s="15"/>
    </row>
    <row r="2924">
      <c r="L2924" s="49"/>
      <c r="M2924" s="49"/>
      <c r="N2924" s="49"/>
      <c r="S2924" s="15"/>
      <c r="T2924" s="15"/>
    </row>
    <row r="2925">
      <c r="L2925" s="49"/>
      <c r="M2925" s="49"/>
      <c r="N2925" s="49"/>
      <c r="S2925" s="15"/>
      <c r="T2925" s="15"/>
    </row>
    <row r="2926">
      <c r="L2926" s="49"/>
      <c r="M2926" s="49"/>
      <c r="N2926" s="49"/>
      <c r="S2926" s="15"/>
      <c r="T2926" s="15"/>
    </row>
    <row r="2927">
      <c r="L2927" s="49"/>
      <c r="M2927" s="49"/>
      <c r="N2927" s="49"/>
      <c r="S2927" s="15"/>
      <c r="T2927" s="15"/>
    </row>
    <row r="2928">
      <c r="L2928" s="49"/>
      <c r="M2928" s="49"/>
      <c r="N2928" s="49"/>
      <c r="S2928" s="15"/>
      <c r="T2928" s="15"/>
    </row>
    <row r="2929">
      <c r="L2929" s="49"/>
      <c r="M2929" s="49"/>
      <c r="N2929" s="49"/>
      <c r="S2929" s="15"/>
      <c r="T2929" s="15"/>
    </row>
    <row r="2930">
      <c r="L2930" s="49"/>
      <c r="M2930" s="49"/>
      <c r="N2930" s="49"/>
      <c r="S2930" s="15"/>
      <c r="T2930" s="15"/>
    </row>
    <row r="2931">
      <c r="L2931" s="49"/>
      <c r="M2931" s="49"/>
      <c r="N2931" s="49"/>
      <c r="S2931" s="15"/>
      <c r="T2931" s="15"/>
    </row>
    <row r="2932">
      <c r="L2932" s="49"/>
      <c r="M2932" s="49"/>
      <c r="N2932" s="49"/>
      <c r="S2932" s="15"/>
      <c r="T2932" s="15"/>
    </row>
    <row r="2933">
      <c r="L2933" s="49"/>
      <c r="M2933" s="49"/>
      <c r="N2933" s="49"/>
      <c r="S2933" s="15"/>
      <c r="T2933" s="15"/>
    </row>
    <row r="2934">
      <c r="L2934" s="49"/>
      <c r="M2934" s="49"/>
      <c r="N2934" s="49"/>
      <c r="S2934" s="15"/>
      <c r="T2934" s="15"/>
    </row>
    <row r="2935">
      <c r="L2935" s="49"/>
      <c r="M2935" s="49"/>
      <c r="N2935" s="49"/>
      <c r="S2935" s="15"/>
      <c r="T2935" s="15"/>
    </row>
    <row r="2936">
      <c r="L2936" s="49"/>
      <c r="M2936" s="49"/>
      <c r="N2936" s="49"/>
      <c r="S2936" s="15"/>
      <c r="T2936" s="15"/>
    </row>
    <row r="2937">
      <c r="L2937" s="49"/>
      <c r="M2937" s="49"/>
      <c r="N2937" s="49"/>
      <c r="S2937" s="15"/>
      <c r="T2937" s="15"/>
    </row>
    <row r="2938">
      <c r="L2938" s="49"/>
      <c r="M2938" s="49"/>
      <c r="N2938" s="49"/>
      <c r="S2938" s="15"/>
      <c r="T2938" s="15"/>
    </row>
    <row r="2939">
      <c r="L2939" s="49"/>
      <c r="M2939" s="49"/>
      <c r="N2939" s="49"/>
      <c r="S2939" s="15"/>
      <c r="T2939" s="15"/>
    </row>
    <row r="2940">
      <c r="L2940" s="49"/>
      <c r="M2940" s="49"/>
      <c r="N2940" s="49"/>
      <c r="S2940" s="15"/>
      <c r="T2940" s="15"/>
    </row>
    <row r="2941">
      <c r="L2941" s="49"/>
      <c r="M2941" s="49"/>
      <c r="N2941" s="49"/>
      <c r="S2941" s="15"/>
      <c r="T2941" s="15"/>
    </row>
    <row r="2942">
      <c r="L2942" s="49"/>
      <c r="M2942" s="49"/>
      <c r="N2942" s="49"/>
      <c r="S2942" s="15"/>
      <c r="T2942" s="15"/>
    </row>
    <row r="2943">
      <c r="L2943" s="49"/>
      <c r="M2943" s="49"/>
      <c r="N2943" s="49"/>
      <c r="S2943" s="15"/>
      <c r="T2943" s="15"/>
    </row>
    <row r="2944">
      <c r="L2944" s="49"/>
      <c r="M2944" s="49"/>
      <c r="N2944" s="49"/>
      <c r="S2944" s="15"/>
      <c r="T2944" s="15"/>
    </row>
    <row r="2945">
      <c r="L2945" s="49"/>
      <c r="M2945" s="49"/>
      <c r="N2945" s="49"/>
      <c r="S2945" s="15"/>
      <c r="T2945" s="15"/>
    </row>
    <row r="2946">
      <c r="L2946" s="49"/>
      <c r="M2946" s="49"/>
      <c r="N2946" s="49"/>
      <c r="S2946" s="15"/>
      <c r="T2946" s="15"/>
    </row>
    <row r="2947">
      <c r="L2947" s="49"/>
      <c r="M2947" s="49"/>
      <c r="N2947" s="49"/>
      <c r="S2947" s="15"/>
      <c r="T2947" s="15"/>
    </row>
    <row r="2948">
      <c r="L2948" s="49"/>
      <c r="M2948" s="49"/>
      <c r="N2948" s="49"/>
      <c r="S2948" s="15"/>
      <c r="T2948" s="15"/>
    </row>
    <row r="2949">
      <c r="L2949" s="49"/>
      <c r="M2949" s="49"/>
      <c r="N2949" s="49"/>
      <c r="S2949" s="15"/>
      <c r="T2949" s="15"/>
    </row>
    <row r="2950">
      <c r="L2950" s="49"/>
      <c r="M2950" s="49"/>
      <c r="N2950" s="49"/>
      <c r="S2950" s="15"/>
      <c r="T2950" s="15"/>
    </row>
    <row r="2951">
      <c r="L2951" s="49"/>
      <c r="M2951" s="49"/>
      <c r="N2951" s="49"/>
      <c r="S2951" s="15"/>
      <c r="T2951" s="15"/>
    </row>
    <row r="2952">
      <c r="L2952" s="49"/>
      <c r="M2952" s="49"/>
      <c r="N2952" s="49"/>
      <c r="S2952" s="15"/>
      <c r="T2952" s="15"/>
    </row>
    <row r="2953">
      <c r="L2953" s="49"/>
      <c r="M2953" s="49"/>
      <c r="N2953" s="49"/>
      <c r="S2953" s="15"/>
      <c r="T2953" s="15"/>
    </row>
    <row r="2954">
      <c r="L2954" s="49"/>
      <c r="M2954" s="49"/>
      <c r="N2954" s="49"/>
      <c r="S2954" s="15"/>
      <c r="T2954" s="15"/>
    </row>
    <row r="2955">
      <c r="L2955" s="49"/>
      <c r="M2955" s="49"/>
      <c r="N2955" s="49"/>
      <c r="S2955" s="15"/>
      <c r="T2955" s="15"/>
    </row>
    <row r="2956">
      <c r="L2956" s="49"/>
      <c r="M2956" s="49"/>
      <c r="N2956" s="49"/>
      <c r="S2956" s="15"/>
      <c r="T2956" s="15"/>
    </row>
    <row r="2957">
      <c r="L2957" s="49"/>
      <c r="M2957" s="49"/>
      <c r="N2957" s="49"/>
      <c r="S2957" s="15"/>
      <c r="T2957" s="15"/>
    </row>
    <row r="2958">
      <c r="L2958" s="49"/>
      <c r="M2958" s="49"/>
      <c r="N2958" s="49"/>
      <c r="S2958" s="15"/>
      <c r="T2958" s="15"/>
    </row>
    <row r="2959">
      <c r="L2959" s="49"/>
      <c r="M2959" s="49"/>
      <c r="N2959" s="49"/>
      <c r="S2959" s="15"/>
      <c r="T2959" s="15"/>
    </row>
    <row r="2960">
      <c r="L2960" s="49"/>
      <c r="M2960" s="49"/>
      <c r="N2960" s="49"/>
      <c r="S2960" s="15"/>
      <c r="T2960" s="15"/>
    </row>
    <row r="2961">
      <c r="L2961" s="49"/>
      <c r="M2961" s="49"/>
      <c r="N2961" s="49"/>
      <c r="S2961" s="15"/>
      <c r="T2961" s="15"/>
    </row>
    <row r="2962">
      <c r="L2962" s="49"/>
      <c r="M2962" s="49"/>
      <c r="N2962" s="49"/>
      <c r="S2962" s="15"/>
      <c r="T2962" s="15"/>
    </row>
    <row r="2963">
      <c r="L2963" s="49"/>
      <c r="M2963" s="49"/>
      <c r="N2963" s="49"/>
      <c r="S2963" s="15"/>
      <c r="T2963" s="15"/>
    </row>
    <row r="2964">
      <c r="L2964" s="49"/>
      <c r="M2964" s="49"/>
      <c r="N2964" s="49"/>
      <c r="S2964" s="15"/>
      <c r="T2964" s="15"/>
    </row>
    <row r="2965">
      <c r="L2965" s="49"/>
      <c r="M2965" s="49"/>
      <c r="N2965" s="49"/>
      <c r="S2965" s="15"/>
      <c r="T2965" s="15"/>
    </row>
    <row r="2966">
      <c r="L2966" s="49"/>
      <c r="M2966" s="49"/>
      <c r="N2966" s="49"/>
      <c r="S2966" s="15"/>
      <c r="T2966" s="15"/>
    </row>
    <row r="2967">
      <c r="L2967" s="49"/>
      <c r="M2967" s="49"/>
      <c r="N2967" s="49"/>
      <c r="S2967" s="15"/>
      <c r="T2967" s="15"/>
    </row>
    <row r="2968">
      <c r="L2968" s="49"/>
      <c r="M2968" s="49"/>
      <c r="N2968" s="49"/>
      <c r="S2968" s="15"/>
      <c r="T2968" s="15"/>
    </row>
    <row r="2969">
      <c r="L2969" s="49"/>
      <c r="M2969" s="49"/>
      <c r="N2969" s="49"/>
      <c r="S2969" s="15"/>
      <c r="T2969" s="15"/>
    </row>
    <row r="2970">
      <c r="L2970" s="49"/>
      <c r="M2970" s="49"/>
      <c r="N2970" s="49"/>
      <c r="S2970" s="15"/>
      <c r="T2970" s="15"/>
    </row>
    <row r="2971">
      <c r="L2971" s="49"/>
      <c r="M2971" s="49"/>
      <c r="N2971" s="49"/>
      <c r="S2971" s="15"/>
      <c r="T2971" s="15"/>
    </row>
    <row r="2972">
      <c r="L2972" s="49"/>
      <c r="M2972" s="49"/>
      <c r="N2972" s="49"/>
      <c r="S2972" s="15"/>
      <c r="T2972" s="15"/>
    </row>
    <row r="2973">
      <c r="L2973" s="49"/>
      <c r="M2973" s="49"/>
      <c r="N2973" s="49"/>
      <c r="S2973" s="15"/>
      <c r="T2973" s="15"/>
    </row>
    <row r="2974">
      <c r="L2974" s="49"/>
      <c r="M2974" s="49"/>
      <c r="N2974" s="49"/>
      <c r="S2974" s="15"/>
      <c r="T2974" s="15"/>
    </row>
    <row r="2975">
      <c r="L2975" s="49"/>
      <c r="M2975" s="49"/>
      <c r="N2975" s="49"/>
      <c r="S2975" s="15"/>
      <c r="T2975" s="15"/>
    </row>
    <row r="2976">
      <c r="L2976" s="49"/>
      <c r="M2976" s="49"/>
      <c r="N2976" s="49"/>
      <c r="S2976" s="15"/>
      <c r="T2976" s="15"/>
    </row>
    <row r="2977">
      <c r="L2977" s="49"/>
      <c r="M2977" s="49"/>
      <c r="N2977" s="49"/>
      <c r="S2977" s="15"/>
      <c r="T2977" s="15"/>
    </row>
    <row r="2978">
      <c r="L2978" s="49"/>
      <c r="M2978" s="49"/>
      <c r="N2978" s="49"/>
      <c r="S2978" s="15"/>
      <c r="T2978" s="15"/>
    </row>
    <row r="2979">
      <c r="L2979" s="49"/>
      <c r="M2979" s="49"/>
      <c r="N2979" s="49"/>
      <c r="S2979" s="15"/>
      <c r="T2979" s="15"/>
    </row>
    <row r="2980">
      <c r="L2980" s="49"/>
      <c r="M2980" s="49"/>
      <c r="N2980" s="49"/>
      <c r="S2980" s="15"/>
      <c r="T2980" s="15"/>
    </row>
    <row r="2981">
      <c r="L2981" s="49"/>
      <c r="M2981" s="49"/>
      <c r="N2981" s="49"/>
      <c r="S2981" s="15"/>
      <c r="T2981" s="15"/>
    </row>
    <row r="2982">
      <c r="L2982" s="49"/>
      <c r="M2982" s="49"/>
      <c r="N2982" s="49"/>
      <c r="S2982" s="15"/>
      <c r="T2982" s="15"/>
    </row>
    <row r="2983">
      <c r="L2983" s="49"/>
      <c r="M2983" s="49"/>
      <c r="N2983" s="49"/>
      <c r="S2983" s="15"/>
      <c r="T2983" s="15"/>
    </row>
    <row r="2984">
      <c r="L2984" s="49"/>
      <c r="M2984" s="49"/>
      <c r="N2984" s="49"/>
      <c r="S2984" s="15"/>
      <c r="T2984" s="15"/>
    </row>
    <row r="2985">
      <c r="L2985" s="49"/>
      <c r="M2985" s="49"/>
      <c r="N2985" s="49"/>
      <c r="S2985" s="15"/>
      <c r="T2985" s="15"/>
    </row>
    <row r="2986">
      <c r="L2986" s="49"/>
      <c r="M2986" s="49"/>
      <c r="N2986" s="49"/>
      <c r="S2986" s="15"/>
      <c r="T2986" s="15"/>
    </row>
    <row r="2987">
      <c r="L2987" s="49"/>
      <c r="M2987" s="49"/>
      <c r="N2987" s="49"/>
      <c r="S2987" s="15"/>
      <c r="T2987" s="15"/>
    </row>
    <row r="2988">
      <c r="L2988" s="49"/>
      <c r="M2988" s="49"/>
      <c r="N2988" s="49"/>
      <c r="S2988" s="15"/>
      <c r="T2988" s="15"/>
    </row>
    <row r="2989">
      <c r="L2989" s="49"/>
      <c r="M2989" s="49"/>
      <c r="N2989" s="49"/>
      <c r="S2989" s="15"/>
      <c r="T2989" s="15"/>
    </row>
    <row r="2990">
      <c r="L2990" s="49"/>
      <c r="M2990" s="49"/>
      <c r="N2990" s="49"/>
      <c r="S2990" s="15"/>
      <c r="T2990" s="15"/>
    </row>
    <row r="2991">
      <c r="L2991" s="49"/>
      <c r="M2991" s="49"/>
      <c r="N2991" s="49"/>
      <c r="S2991" s="15"/>
      <c r="T2991" s="15"/>
    </row>
    <row r="2992">
      <c r="L2992" s="49"/>
      <c r="M2992" s="49"/>
      <c r="N2992" s="49"/>
      <c r="S2992" s="15"/>
      <c r="T2992" s="15"/>
    </row>
    <row r="2993">
      <c r="L2993" s="49"/>
      <c r="M2993" s="49"/>
      <c r="N2993" s="49"/>
      <c r="S2993" s="15"/>
      <c r="T2993" s="15"/>
    </row>
    <row r="2994">
      <c r="L2994" s="49"/>
      <c r="M2994" s="49"/>
      <c r="N2994" s="49"/>
      <c r="S2994" s="15"/>
      <c r="T2994" s="15"/>
    </row>
    <row r="2995">
      <c r="L2995" s="49"/>
      <c r="M2995" s="49"/>
      <c r="N2995" s="49"/>
      <c r="S2995" s="15"/>
      <c r="T2995" s="15"/>
    </row>
    <row r="2996">
      <c r="L2996" s="49"/>
      <c r="M2996" s="49"/>
      <c r="N2996" s="49"/>
      <c r="S2996" s="15"/>
      <c r="T2996" s="15"/>
    </row>
    <row r="2997">
      <c r="L2997" s="49"/>
      <c r="M2997" s="49"/>
      <c r="N2997" s="49"/>
      <c r="S2997" s="15"/>
      <c r="T2997" s="15"/>
    </row>
    <row r="2998">
      <c r="L2998" s="49"/>
      <c r="M2998" s="49"/>
      <c r="N2998" s="49"/>
      <c r="S2998" s="15"/>
      <c r="T2998" s="15"/>
    </row>
    <row r="2999">
      <c r="L2999" s="49"/>
      <c r="M2999" s="49"/>
      <c r="N2999" s="49"/>
      <c r="S2999" s="15"/>
      <c r="T2999" s="15"/>
    </row>
    <row r="3000">
      <c r="L3000" s="49"/>
      <c r="M3000" s="49"/>
      <c r="N3000" s="49"/>
      <c r="S3000" s="15"/>
      <c r="T3000" s="15"/>
    </row>
    <row r="3001">
      <c r="L3001" s="49"/>
      <c r="M3001" s="49"/>
      <c r="N3001" s="49"/>
      <c r="S3001" s="15"/>
      <c r="T3001" s="15"/>
    </row>
    <row r="3002">
      <c r="L3002" s="49"/>
      <c r="M3002" s="49"/>
      <c r="N3002" s="49"/>
      <c r="S3002" s="15"/>
      <c r="T3002" s="15"/>
    </row>
    <row r="3003">
      <c r="L3003" s="49"/>
      <c r="M3003" s="49"/>
      <c r="N3003" s="49"/>
      <c r="S3003" s="15"/>
      <c r="T3003" s="15"/>
    </row>
    <row r="3004">
      <c r="L3004" s="49"/>
      <c r="M3004" s="49"/>
      <c r="N3004" s="49"/>
      <c r="S3004" s="15"/>
      <c r="T3004" s="15"/>
    </row>
    <row r="3005">
      <c r="L3005" s="49"/>
      <c r="M3005" s="49"/>
      <c r="N3005" s="49"/>
      <c r="S3005" s="15"/>
      <c r="T3005" s="15"/>
    </row>
    <row r="3006">
      <c r="L3006" s="49"/>
      <c r="M3006" s="49"/>
      <c r="N3006" s="49"/>
      <c r="S3006" s="15"/>
      <c r="T3006" s="15"/>
    </row>
    <row r="3007">
      <c r="L3007" s="49"/>
      <c r="M3007" s="49"/>
      <c r="N3007" s="49"/>
      <c r="S3007" s="15"/>
      <c r="T3007" s="15"/>
    </row>
    <row r="3008">
      <c r="L3008" s="49"/>
      <c r="M3008" s="49"/>
      <c r="N3008" s="49"/>
      <c r="S3008" s="15"/>
      <c r="T3008" s="15"/>
    </row>
    <row r="3009">
      <c r="L3009" s="49"/>
      <c r="M3009" s="49"/>
      <c r="N3009" s="49"/>
      <c r="S3009" s="15"/>
      <c r="T3009" s="15"/>
    </row>
    <row r="3010">
      <c r="L3010" s="49"/>
      <c r="M3010" s="49"/>
      <c r="N3010" s="49"/>
      <c r="S3010" s="15"/>
      <c r="T3010" s="15"/>
    </row>
    <row r="3011">
      <c r="L3011" s="49"/>
      <c r="M3011" s="49"/>
      <c r="N3011" s="49"/>
      <c r="S3011" s="15"/>
      <c r="T3011" s="15"/>
    </row>
    <row r="3012">
      <c r="L3012" s="49"/>
      <c r="M3012" s="49"/>
      <c r="N3012" s="49"/>
      <c r="S3012" s="15"/>
      <c r="T3012" s="15"/>
    </row>
    <row r="3013">
      <c r="L3013" s="49"/>
      <c r="M3013" s="49"/>
      <c r="N3013" s="49"/>
      <c r="S3013" s="15"/>
      <c r="T3013" s="15"/>
    </row>
    <row r="3014">
      <c r="L3014" s="49"/>
      <c r="M3014" s="49"/>
      <c r="N3014" s="49"/>
      <c r="S3014" s="15"/>
      <c r="T3014" s="15"/>
    </row>
    <row r="3015">
      <c r="L3015" s="49"/>
      <c r="M3015" s="49"/>
      <c r="N3015" s="49"/>
      <c r="S3015" s="15"/>
      <c r="T3015" s="15"/>
    </row>
    <row r="3016">
      <c r="L3016" s="49"/>
      <c r="M3016" s="49"/>
      <c r="N3016" s="49"/>
      <c r="S3016" s="15"/>
      <c r="T3016" s="15"/>
    </row>
    <row r="3017">
      <c r="L3017" s="49"/>
      <c r="M3017" s="49"/>
      <c r="N3017" s="49"/>
      <c r="S3017" s="15"/>
      <c r="T3017" s="15"/>
    </row>
    <row r="3018">
      <c r="L3018" s="49"/>
      <c r="M3018" s="49"/>
      <c r="N3018" s="49"/>
      <c r="S3018" s="15"/>
      <c r="T3018" s="15"/>
    </row>
    <row r="3019">
      <c r="L3019" s="49"/>
      <c r="M3019" s="49"/>
      <c r="N3019" s="49"/>
      <c r="S3019" s="15"/>
      <c r="T3019" s="15"/>
    </row>
    <row r="3020">
      <c r="L3020" s="49"/>
      <c r="M3020" s="49"/>
      <c r="N3020" s="49"/>
      <c r="S3020" s="15"/>
      <c r="T3020" s="15"/>
    </row>
    <row r="3021">
      <c r="L3021" s="49"/>
      <c r="M3021" s="49"/>
      <c r="N3021" s="49"/>
      <c r="S3021" s="15"/>
      <c r="T3021" s="15"/>
    </row>
    <row r="3022">
      <c r="L3022" s="49"/>
      <c r="M3022" s="49"/>
      <c r="N3022" s="49"/>
      <c r="S3022" s="15"/>
      <c r="T3022" s="15"/>
    </row>
    <row r="3023">
      <c r="L3023" s="49"/>
      <c r="M3023" s="49"/>
      <c r="N3023" s="49"/>
      <c r="S3023" s="15"/>
      <c r="T3023" s="15"/>
    </row>
    <row r="3024">
      <c r="L3024" s="49"/>
      <c r="M3024" s="49"/>
      <c r="N3024" s="49"/>
      <c r="S3024" s="15"/>
      <c r="T3024" s="15"/>
    </row>
    <row r="3025">
      <c r="L3025" s="49"/>
      <c r="M3025" s="49"/>
      <c r="N3025" s="49"/>
      <c r="S3025" s="15"/>
      <c r="T3025" s="15"/>
    </row>
    <row r="3026">
      <c r="L3026" s="49"/>
      <c r="M3026" s="49"/>
      <c r="N3026" s="49"/>
      <c r="S3026" s="15"/>
      <c r="T3026" s="15"/>
    </row>
    <row r="3027">
      <c r="L3027" s="49"/>
      <c r="M3027" s="49"/>
      <c r="N3027" s="49"/>
      <c r="S3027" s="15"/>
      <c r="T3027" s="15"/>
    </row>
    <row r="3028">
      <c r="L3028" s="49"/>
      <c r="M3028" s="49"/>
      <c r="N3028" s="49"/>
      <c r="S3028" s="15"/>
      <c r="T3028" s="15"/>
    </row>
    <row r="3029">
      <c r="L3029" s="49"/>
      <c r="M3029" s="49"/>
      <c r="N3029" s="49"/>
      <c r="S3029" s="15"/>
      <c r="T3029" s="15"/>
    </row>
    <row r="3030">
      <c r="L3030" s="49"/>
      <c r="M3030" s="49"/>
      <c r="N3030" s="49"/>
      <c r="S3030" s="15"/>
      <c r="T3030" s="15"/>
    </row>
    <row r="3031">
      <c r="L3031" s="49"/>
      <c r="M3031" s="49"/>
      <c r="N3031" s="49"/>
      <c r="S3031" s="15"/>
      <c r="T3031" s="15"/>
    </row>
    <row r="3032">
      <c r="L3032" s="49"/>
      <c r="M3032" s="49"/>
      <c r="N3032" s="49"/>
      <c r="S3032" s="15"/>
      <c r="T3032" s="15"/>
    </row>
    <row r="3033">
      <c r="L3033" s="49"/>
      <c r="M3033" s="49"/>
      <c r="N3033" s="49"/>
      <c r="S3033" s="15"/>
      <c r="T3033" s="15"/>
    </row>
    <row r="3034">
      <c r="L3034" s="49"/>
      <c r="M3034" s="49"/>
      <c r="N3034" s="49"/>
      <c r="S3034" s="15"/>
      <c r="T3034" s="15"/>
    </row>
    <row r="3035">
      <c r="L3035" s="49"/>
      <c r="M3035" s="49"/>
      <c r="N3035" s="49"/>
      <c r="S3035" s="15"/>
      <c r="T3035" s="15"/>
    </row>
    <row r="3036">
      <c r="L3036" s="49"/>
      <c r="M3036" s="49"/>
      <c r="N3036" s="49"/>
      <c r="S3036" s="15"/>
      <c r="T3036" s="15"/>
    </row>
    <row r="3037">
      <c r="L3037" s="49"/>
      <c r="M3037" s="49"/>
      <c r="N3037" s="49"/>
      <c r="S3037" s="15"/>
      <c r="T3037" s="15"/>
    </row>
    <row r="3038">
      <c r="L3038" s="49"/>
      <c r="M3038" s="49"/>
      <c r="N3038" s="49"/>
      <c r="S3038" s="15"/>
      <c r="T3038" s="15"/>
    </row>
    <row r="3039">
      <c r="L3039" s="49"/>
      <c r="M3039" s="49"/>
      <c r="N3039" s="49"/>
      <c r="S3039" s="15"/>
      <c r="T3039" s="15"/>
    </row>
    <row r="3040">
      <c r="L3040" s="49"/>
      <c r="M3040" s="49"/>
      <c r="N3040" s="49"/>
      <c r="S3040" s="15"/>
      <c r="T3040" s="15"/>
    </row>
    <row r="3041">
      <c r="L3041" s="49"/>
      <c r="M3041" s="49"/>
      <c r="N3041" s="49"/>
      <c r="S3041" s="15"/>
      <c r="T3041" s="15"/>
    </row>
    <row r="3042">
      <c r="L3042" s="49"/>
      <c r="M3042" s="49"/>
      <c r="N3042" s="49"/>
      <c r="S3042" s="15"/>
      <c r="T3042" s="15"/>
    </row>
    <row r="3043">
      <c r="L3043" s="49"/>
      <c r="M3043" s="49"/>
      <c r="N3043" s="49"/>
      <c r="S3043" s="15"/>
      <c r="T3043" s="15"/>
    </row>
    <row r="3044">
      <c r="L3044" s="49"/>
      <c r="M3044" s="49"/>
      <c r="N3044" s="49"/>
      <c r="S3044" s="15"/>
      <c r="T3044" s="15"/>
    </row>
    <row r="3045">
      <c r="L3045" s="49"/>
      <c r="M3045" s="49"/>
      <c r="N3045" s="49"/>
      <c r="S3045" s="15"/>
      <c r="T3045" s="15"/>
    </row>
    <row r="3046">
      <c r="L3046" s="49"/>
      <c r="M3046" s="49"/>
      <c r="N3046" s="49"/>
      <c r="S3046" s="15"/>
      <c r="T3046" s="15"/>
    </row>
    <row r="3047">
      <c r="L3047" s="49"/>
      <c r="M3047" s="49"/>
      <c r="N3047" s="49"/>
      <c r="S3047" s="15"/>
      <c r="T3047" s="15"/>
    </row>
    <row r="3048">
      <c r="L3048" s="49"/>
      <c r="M3048" s="49"/>
      <c r="N3048" s="49"/>
      <c r="S3048" s="15"/>
      <c r="T3048" s="15"/>
    </row>
    <row r="3049">
      <c r="L3049" s="49"/>
      <c r="M3049" s="49"/>
      <c r="N3049" s="49"/>
      <c r="S3049" s="15"/>
      <c r="T3049" s="15"/>
    </row>
    <row r="3050">
      <c r="L3050" s="49"/>
      <c r="M3050" s="49"/>
      <c r="N3050" s="49"/>
      <c r="S3050" s="15"/>
      <c r="T3050" s="15"/>
    </row>
    <row r="3051">
      <c r="L3051" s="49"/>
      <c r="M3051" s="49"/>
      <c r="N3051" s="49"/>
      <c r="S3051" s="15"/>
      <c r="T3051" s="15"/>
    </row>
    <row r="3052">
      <c r="L3052" s="49"/>
      <c r="M3052" s="49"/>
      <c r="N3052" s="49"/>
      <c r="S3052" s="15"/>
      <c r="T3052" s="15"/>
    </row>
    <row r="3053">
      <c r="L3053" s="49"/>
      <c r="M3053" s="49"/>
      <c r="N3053" s="49"/>
      <c r="S3053" s="15"/>
      <c r="T3053" s="15"/>
    </row>
    <row r="3054">
      <c r="L3054" s="49"/>
      <c r="M3054" s="49"/>
      <c r="N3054" s="49"/>
      <c r="S3054" s="15"/>
      <c r="T3054" s="15"/>
    </row>
    <row r="3055">
      <c r="L3055" s="49"/>
      <c r="M3055" s="49"/>
      <c r="N3055" s="49"/>
      <c r="S3055" s="15"/>
      <c r="T3055" s="15"/>
    </row>
    <row r="3056">
      <c r="L3056" s="49"/>
      <c r="M3056" s="49"/>
      <c r="N3056" s="49"/>
      <c r="S3056" s="15"/>
      <c r="T3056" s="15"/>
    </row>
    <row r="3057">
      <c r="L3057" s="49"/>
      <c r="M3057" s="49"/>
      <c r="N3057" s="49"/>
      <c r="S3057" s="15"/>
      <c r="T3057" s="15"/>
    </row>
    <row r="3058">
      <c r="L3058" s="49"/>
      <c r="M3058" s="49"/>
      <c r="N3058" s="49"/>
      <c r="S3058" s="15"/>
      <c r="T3058" s="15"/>
    </row>
    <row r="3059">
      <c r="L3059" s="49"/>
      <c r="M3059" s="49"/>
      <c r="N3059" s="49"/>
      <c r="S3059" s="15"/>
      <c r="T3059" s="15"/>
    </row>
    <row r="3060">
      <c r="L3060" s="49"/>
      <c r="M3060" s="49"/>
      <c r="N3060" s="49"/>
      <c r="S3060" s="15"/>
      <c r="T3060" s="15"/>
    </row>
    <row r="3061">
      <c r="L3061" s="49"/>
      <c r="M3061" s="49"/>
      <c r="N3061" s="49"/>
      <c r="S3061" s="15"/>
      <c r="T3061" s="15"/>
    </row>
    <row r="3062">
      <c r="L3062" s="49"/>
      <c r="M3062" s="49"/>
      <c r="N3062" s="49"/>
      <c r="S3062" s="15"/>
      <c r="T3062" s="15"/>
    </row>
    <row r="3063">
      <c r="L3063" s="49"/>
      <c r="M3063" s="49"/>
      <c r="N3063" s="49"/>
      <c r="S3063" s="15"/>
      <c r="T3063" s="15"/>
    </row>
    <row r="3064">
      <c r="L3064" s="49"/>
      <c r="M3064" s="49"/>
      <c r="N3064" s="49"/>
      <c r="S3064" s="15"/>
      <c r="T3064" s="15"/>
    </row>
    <row r="3065">
      <c r="L3065" s="49"/>
      <c r="M3065" s="49"/>
      <c r="N3065" s="49"/>
      <c r="S3065" s="15"/>
      <c r="T3065" s="15"/>
    </row>
    <row r="3066">
      <c r="L3066" s="49"/>
      <c r="M3066" s="49"/>
      <c r="N3066" s="49"/>
      <c r="S3066" s="15"/>
      <c r="T3066" s="15"/>
    </row>
    <row r="3067">
      <c r="L3067" s="49"/>
      <c r="M3067" s="49"/>
      <c r="N3067" s="49"/>
      <c r="S3067" s="15"/>
      <c r="T3067" s="15"/>
    </row>
    <row r="3068">
      <c r="L3068" s="49"/>
      <c r="M3068" s="49"/>
      <c r="N3068" s="49"/>
      <c r="S3068" s="15"/>
      <c r="T3068" s="15"/>
    </row>
    <row r="3069">
      <c r="L3069" s="49"/>
      <c r="M3069" s="49"/>
      <c r="N3069" s="49"/>
      <c r="S3069" s="15"/>
      <c r="T3069" s="15"/>
    </row>
    <row r="3070">
      <c r="L3070" s="49"/>
      <c r="M3070" s="49"/>
      <c r="N3070" s="49"/>
      <c r="S3070" s="15"/>
      <c r="T3070" s="15"/>
    </row>
    <row r="3071">
      <c r="L3071" s="49"/>
      <c r="M3071" s="49"/>
      <c r="N3071" s="49"/>
      <c r="S3071" s="15"/>
      <c r="T3071" s="15"/>
    </row>
    <row r="3072">
      <c r="L3072" s="49"/>
      <c r="M3072" s="49"/>
      <c r="N3072" s="49"/>
      <c r="S3072" s="15"/>
      <c r="T3072" s="15"/>
    </row>
    <row r="3073">
      <c r="L3073" s="49"/>
      <c r="M3073" s="49"/>
      <c r="N3073" s="49"/>
      <c r="S3073" s="15"/>
      <c r="T3073" s="15"/>
    </row>
    <row r="3074">
      <c r="L3074" s="49"/>
      <c r="M3074" s="49"/>
      <c r="N3074" s="49"/>
      <c r="S3074" s="15"/>
      <c r="T3074" s="15"/>
    </row>
    <row r="3075">
      <c r="L3075" s="49"/>
      <c r="M3075" s="49"/>
      <c r="N3075" s="49"/>
      <c r="S3075" s="15"/>
      <c r="T3075" s="15"/>
    </row>
    <row r="3076">
      <c r="L3076" s="49"/>
      <c r="M3076" s="49"/>
      <c r="N3076" s="49"/>
      <c r="S3076" s="15"/>
      <c r="T3076" s="15"/>
    </row>
    <row r="3077">
      <c r="L3077" s="49"/>
      <c r="M3077" s="49"/>
      <c r="N3077" s="49"/>
      <c r="S3077" s="15"/>
      <c r="T3077" s="15"/>
    </row>
    <row r="3078">
      <c r="L3078" s="49"/>
      <c r="M3078" s="49"/>
      <c r="N3078" s="49"/>
      <c r="S3078" s="15"/>
      <c r="T3078" s="15"/>
    </row>
    <row r="3079">
      <c r="L3079" s="49"/>
      <c r="M3079" s="49"/>
      <c r="N3079" s="49"/>
      <c r="S3079" s="15"/>
      <c r="T3079" s="15"/>
    </row>
    <row r="3080">
      <c r="L3080" s="49"/>
      <c r="M3080" s="49"/>
      <c r="N3080" s="49"/>
      <c r="S3080" s="15"/>
      <c r="T3080" s="15"/>
    </row>
    <row r="3081">
      <c r="L3081" s="49"/>
      <c r="M3081" s="49"/>
      <c r="N3081" s="49"/>
      <c r="S3081" s="15"/>
      <c r="T3081" s="15"/>
    </row>
    <row r="3082">
      <c r="L3082" s="49"/>
      <c r="M3082" s="49"/>
      <c r="N3082" s="49"/>
      <c r="S3082" s="15"/>
      <c r="T3082" s="15"/>
    </row>
    <row r="3083">
      <c r="L3083" s="49"/>
      <c r="M3083" s="49"/>
      <c r="N3083" s="49"/>
      <c r="S3083" s="15"/>
      <c r="T3083" s="15"/>
    </row>
    <row r="3084">
      <c r="L3084" s="49"/>
      <c r="M3084" s="49"/>
      <c r="N3084" s="49"/>
      <c r="S3084" s="15"/>
      <c r="T3084" s="15"/>
    </row>
    <row r="3085">
      <c r="L3085" s="49"/>
      <c r="M3085" s="49"/>
      <c r="N3085" s="49"/>
      <c r="S3085" s="15"/>
      <c r="T3085" s="15"/>
    </row>
    <row r="3086">
      <c r="L3086" s="49"/>
      <c r="M3086" s="49"/>
      <c r="N3086" s="49"/>
      <c r="S3086" s="15"/>
      <c r="T3086" s="15"/>
    </row>
    <row r="3087">
      <c r="L3087" s="49"/>
      <c r="M3087" s="49"/>
      <c r="N3087" s="49"/>
      <c r="S3087" s="15"/>
      <c r="T3087" s="15"/>
    </row>
    <row r="3088">
      <c r="L3088" s="49"/>
      <c r="M3088" s="49"/>
      <c r="N3088" s="49"/>
      <c r="S3088" s="15"/>
      <c r="T3088" s="15"/>
    </row>
    <row r="3089">
      <c r="L3089" s="49"/>
      <c r="M3089" s="49"/>
      <c r="N3089" s="49"/>
      <c r="S3089" s="15"/>
      <c r="T3089" s="15"/>
    </row>
    <row r="3090">
      <c r="L3090" s="49"/>
      <c r="M3090" s="49"/>
      <c r="N3090" s="49"/>
      <c r="S3090" s="15"/>
      <c r="T3090" s="15"/>
    </row>
    <row r="3091">
      <c r="L3091" s="49"/>
      <c r="M3091" s="49"/>
      <c r="N3091" s="49"/>
      <c r="S3091" s="15"/>
      <c r="T3091" s="15"/>
    </row>
    <row r="3092">
      <c r="L3092" s="49"/>
      <c r="M3092" s="49"/>
      <c r="N3092" s="49"/>
      <c r="S3092" s="15"/>
      <c r="T3092" s="15"/>
    </row>
    <row r="3093">
      <c r="L3093" s="49"/>
      <c r="M3093" s="49"/>
      <c r="N3093" s="49"/>
      <c r="S3093" s="15"/>
      <c r="T3093" s="15"/>
    </row>
    <row r="3094">
      <c r="L3094" s="49"/>
      <c r="M3094" s="49"/>
      <c r="N3094" s="49"/>
      <c r="S3094" s="15"/>
      <c r="T3094" s="15"/>
    </row>
    <row r="3095">
      <c r="L3095" s="49"/>
      <c r="M3095" s="49"/>
      <c r="N3095" s="49"/>
      <c r="S3095" s="15"/>
      <c r="T3095" s="15"/>
    </row>
    <row r="3096">
      <c r="L3096" s="49"/>
      <c r="M3096" s="49"/>
      <c r="N3096" s="49"/>
      <c r="S3096" s="15"/>
      <c r="T3096" s="15"/>
    </row>
    <row r="3097">
      <c r="L3097" s="49"/>
      <c r="M3097" s="49"/>
      <c r="N3097" s="49"/>
      <c r="S3097" s="15"/>
      <c r="T3097" s="15"/>
    </row>
    <row r="3098">
      <c r="L3098" s="49"/>
      <c r="M3098" s="49"/>
      <c r="N3098" s="49"/>
      <c r="S3098" s="15"/>
      <c r="T3098" s="15"/>
    </row>
    <row r="3099">
      <c r="L3099" s="49"/>
      <c r="M3099" s="49"/>
      <c r="N3099" s="49"/>
      <c r="S3099" s="15"/>
      <c r="T3099" s="15"/>
    </row>
    <row r="3100">
      <c r="L3100" s="49"/>
      <c r="M3100" s="49"/>
      <c r="N3100" s="49"/>
      <c r="S3100" s="15"/>
      <c r="T3100" s="15"/>
    </row>
    <row r="3101">
      <c r="L3101" s="49"/>
      <c r="M3101" s="49"/>
      <c r="N3101" s="49"/>
      <c r="S3101" s="15"/>
      <c r="T3101" s="15"/>
    </row>
    <row r="3102">
      <c r="L3102" s="49"/>
      <c r="M3102" s="49"/>
      <c r="N3102" s="49"/>
      <c r="S3102" s="15"/>
      <c r="T3102" s="15"/>
    </row>
    <row r="3103">
      <c r="L3103" s="49"/>
      <c r="M3103" s="49"/>
      <c r="N3103" s="49"/>
      <c r="S3103" s="15"/>
      <c r="T3103" s="15"/>
    </row>
    <row r="3104">
      <c r="L3104" s="49"/>
      <c r="M3104" s="49"/>
      <c r="N3104" s="49"/>
      <c r="S3104" s="15"/>
      <c r="T3104" s="15"/>
    </row>
    <row r="3105">
      <c r="L3105" s="49"/>
      <c r="M3105" s="49"/>
      <c r="N3105" s="49"/>
      <c r="S3105" s="15"/>
      <c r="T3105" s="15"/>
    </row>
    <row r="3106">
      <c r="L3106" s="49"/>
      <c r="M3106" s="49"/>
      <c r="N3106" s="49"/>
      <c r="S3106" s="15"/>
      <c r="T3106" s="15"/>
    </row>
    <row r="3107">
      <c r="L3107" s="49"/>
      <c r="M3107" s="49"/>
      <c r="N3107" s="49"/>
      <c r="S3107" s="15"/>
      <c r="T3107" s="15"/>
    </row>
    <row r="3108">
      <c r="L3108" s="49"/>
      <c r="M3108" s="49"/>
      <c r="N3108" s="49"/>
      <c r="S3108" s="15"/>
      <c r="T3108" s="15"/>
    </row>
    <row r="3109">
      <c r="L3109" s="49"/>
      <c r="M3109" s="49"/>
      <c r="N3109" s="49"/>
      <c r="S3109" s="15"/>
      <c r="T3109" s="15"/>
    </row>
    <row r="3110">
      <c r="L3110" s="49"/>
      <c r="M3110" s="49"/>
      <c r="N3110" s="49"/>
      <c r="S3110" s="15"/>
      <c r="T3110" s="15"/>
    </row>
    <row r="3111">
      <c r="L3111" s="49"/>
      <c r="M3111" s="49"/>
      <c r="N3111" s="49"/>
      <c r="S3111" s="15"/>
      <c r="T3111" s="15"/>
    </row>
    <row r="3112">
      <c r="L3112" s="49"/>
      <c r="M3112" s="49"/>
      <c r="N3112" s="49"/>
      <c r="S3112" s="15"/>
      <c r="T3112" s="15"/>
    </row>
    <row r="3113">
      <c r="L3113" s="49"/>
      <c r="M3113" s="49"/>
      <c r="N3113" s="49"/>
      <c r="S3113" s="15"/>
      <c r="T3113" s="15"/>
    </row>
    <row r="3114">
      <c r="L3114" s="49"/>
      <c r="M3114" s="49"/>
      <c r="N3114" s="49"/>
      <c r="S3114" s="15"/>
      <c r="T3114" s="15"/>
    </row>
    <row r="3115">
      <c r="L3115" s="49"/>
      <c r="M3115" s="49"/>
      <c r="N3115" s="49"/>
      <c r="S3115" s="15"/>
      <c r="T3115" s="15"/>
    </row>
    <row r="3116">
      <c r="L3116" s="49"/>
      <c r="M3116" s="49"/>
      <c r="N3116" s="49"/>
      <c r="S3116" s="15"/>
      <c r="T3116" s="15"/>
    </row>
    <row r="3117">
      <c r="L3117" s="49"/>
      <c r="M3117" s="49"/>
      <c r="N3117" s="49"/>
      <c r="S3117" s="15"/>
      <c r="T3117" s="15"/>
    </row>
    <row r="3118">
      <c r="L3118" s="49"/>
      <c r="M3118" s="49"/>
      <c r="N3118" s="49"/>
      <c r="S3118" s="15"/>
      <c r="T3118" s="15"/>
    </row>
    <row r="3119">
      <c r="L3119" s="49"/>
      <c r="M3119" s="49"/>
      <c r="N3119" s="49"/>
      <c r="S3119" s="15"/>
      <c r="T3119" s="15"/>
    </row>
    <row r="3120">
      <c r="L3120" s="49"/>
      <c r="M3120" s="49"/>
      <c r="N3120" s="49"/>
      <c r="S3120" s="15"/>
      <c r="T3120" s="15"/>
    </row>
    <row r="3121">
      <c r="L3121" s="49"/>
      <c r="M3121" s="49"/>
      <c r="N3121" s="49"/>
      <c r="S3121" s="15"/>
      <c r="T3121" s="15"/>
    </row>
    <row r="3122">
      <c r="L3122" s="49"/>
      <c r="M3122" s="49"/>
      <c r="N3122" s="49"/>
      <c r="S3122" s="15"/>
      <c r="T3122" s="15"/>
    </row>
    <row r="3123">
      <c r="L3123" s="49"/>
      <c r="M3123" s="49"/>
      <c r="N3123" s="49"/>
      <c r="S3123" s="15"/>
      <c r="T3123" s="15"/>
    </row>
    <row r="3124">
      <c r="L3124" s="49"/>
      <c r="M3124" s="49"/>
      <c r="N3124" s="49"/>
      <c r="S3124" s="15"/>
      <c r="T3124" s="15"/>
    </row>
    <row r="3125">
      <c r="L3125" s="49"/>
      <c r="M3125" s="49"/>
      <c r="N3125" s="49"/>
      <c r="S3125" s="15"/>
      <c r="T3125" s="15"/>
    </row>
    <row r="3126">
      <c r="L3126" s="49"/>
      <c r="M3126" s="49"/>
      <c r="N3126" s="49"/>
      <c r="S3126" s="15"/>
      <c r="T3126" s="15"/>
    </row>
    <row r="3127">
      <c r="L3127" s="49"/>
      <c r="M3127" s="49"/>
      <c r="N3127" s="49"/>
      <c r="S3127" s="15"/>
      <c r="T3127" s="15"/>
    </row>
    <row r="3128">
      <c r="L3128" s="49"/>
      <c r="M3128" s="49"/>
      <c r="N3128" s="49"/>
      <c r="S3128" s="15"/>
      <c r="T3128" s="15"/>
    </row>
    <row r="3129">
      <c r="L3129" s="49"/>
      <c r="M3129" s="49"/>
      <c r="N3129" s="49"/>
      <c r="S3129" s="15"/>
      <c r="T3129" s="15"/>
    </row>
    <row r="3130">
      <c r="L3130" s="49"/>
      <c r="M3130" s="49"/>
      <c r="N3130" s="49"/>
      <c r="S3130" s="15"/>
      <c r="T3130" s="15"/>
    </row>
    <row r="3131">
      <c r="L3131" s="49"/>
      <c r="M3131" s="49"/>
      <c r="N3131" s="49"/>
      <c r="S3131" s="15"/>
      <c r="T3131" s="15"/>
    </row>
    <row r="3132">
      <c r="L3132" s="49"/>
      <c r="M3132" s="49"/>
      <c r="N3132" s="49"/>
      <c r="S3132" s="15"/>
      <c r="T3132" s="15"/>
    </row>
    <row r="3133">
      <c r="L3133" s="49"/>
      <c r="M3133" s="49"/>
      <c r="N3133" s="49"/>
      <c r="S3133" s="15"/>
      <c r="T3133" s="15"/>
    </row>
    <row r="3134">
      <c r="L3134" s="49"/>
      <c r="M3134" s="49"/>
      <c r="N3134" s="49"/>
      <c r="S3134" s="15"/>
      <c r="T3134" s="15"/>
    </row>
    <row r="3135">
      <c r="L3135" s="49"/>
      <c r="M3135" s="49"/>
      <c r="N3135" s="49"/>
      <c r="S3135" s="15"/>
      <c r="T3135" s="15"/>
    </row>
    <row r="3136">
      <c r="L3136" s="49"/>
      <c r="M3136" s="49"/>
      <c r="N3136" s="49"/>
      <c r="S3136" s="15"/>
      <c r="T3136" s="15"/>
    </row>
    <row r="3137">
      <c r="L3137" s="49"/>
      <c r="M3137" s="49"/>
      <c r="N3137" s="49"/>
      <c r="S3137" s="15"/>
      <c r="T3137" s="15"/>
    </row>
    <row r="3138">
      <c r="L3138" s="49"/>
      <c r="M3138" s="49"/>
      <c r="N3138" s="49"/>
      <c r="S3138" s="15"/>
      <c r="T3138" s="15"/>
    </row>
    <row r="3139">
      <c r="L3139" s="49"/>
      <c r="M3139" s="49"/>
      <c r="N3139" s="49"/>
      <c r="S3139" s="15"/>
      <c r="T3139" s="15"/>
    </row>
    <row r="3140">
      <c r="L3140" s="49"/>
      <c r="M3140" s="49"/>
      <c r="N3140" s="49"/>
      <c r="S3140" s="15"/>
      <c r="T3140" s="15"/>
    </row>
    <row r="3141">
      <c r="L3141" s="49"/>
      <c r="M3141" s="49"/>
      <c r="N3141" s="49"/>
      <c r="S3141" s="15"/>
      <c r="T3141" s="15"/>
    </row>
    <row r="3142">
      <c r="L3142" s="49"/>
      <c r="M3142" s="49"/>
      <c r="N3142" s="49"/>
      <c r="S3142" s="15"/>
      <c r="T3142" s="15"/>
    </row>
    <row r="3143">
      <c r="L3143" s="49"/>
      <c r="M3143" s="49"/>
      <c r="N3143" s="49"/>
      <c r="S3143" s="15"/>
      <c r="T3143" s="15"/>
    </row>
    <row r="3144">
      <c r="L3144" s="49"/>
      <c r="M3144" s="49"/>
      <c r="N3144" s="49"/>
      <c r="S3144" s="15"/>
      <c r="T3144" s="15"/>
    </row>
    <row r="3145">
      <c r="L3145" s="49"/>
      <c r="M3145" s="49"/>
      <c r="N3145" s="49"/>
      <c r="S3145" s="15"/>
      <c r="T3145" s="15"/>
    </row>
    <row r="3146">
      <c r="L3146" s="49"/>
      <c r="M3146" s="49"/>
      <c r="N3146" s="49"/>
      <c r="S3146" s="15"/>
      <c r="T3146" s="15"/>
    </row>
    <row r="3147">
      <c r="L3147" s="49"/>
      <c r="M3147" s="49"/>
      <c r="N3147" s="49"/>
      <c r="S3147" s="15"/>
      <c r="T3147" s="15"/>
    </row>
    <row r="3148">
      <c r="L3148" s="49"/>
      <c r="M3148" s="49"/>
      <c r="N3148" s="49"/>
      <c r="S3148" s="15"/>
      <c r="T3148" s="15"/>
    </row>
    <row r="3149">
      <c r="L3149" s="49"/>
      <c r="M3149" s="49"/>
      <c r="N3149" s="49"/>
      <c r="S3149" s="15"/>
      <c r="T3149" s="15"/>
    </row>
    <row r="3150">
      <c r="L3150" s="49"/>
      <c r="M3150" s="49"/>
      <c r="N3150" s="49"/>
      <c r="S3150" s="15"/>
      <c r="T3150" s="15"/>
    </row>
    <row r="3151">
      <c r="L3151" s="49"/>
      <c r="M3151" s="49"/>
      <c r="N3151" s="49"/>
      <c r="S3151" s="15"/>
      <c r="T3151" s="15"/>
    </row>
    <row r="3152">
      <c r="L3152" s="49"/>
      <c r="M3152" s="49"/>
      <c r="N3152" s="49"/>
      <c r="S3152" s="15"/>
      <c r="T3152" s="15"/>
    </row>
    <row r="3153">
      <c r="L3153" s="49"/>
      <c r="M3153" s="49"/>
      <c r="N3153" s="49"/>
      <c r="S3153" s="15"/>
      <c r="T3153" s="15"/>
    </row>
    <row r="3154">
      <c r="L3154" s="49"/>
      <c r="M3154" s="49"/>
      <c r="N3154" s="49"/>
      <c r="S3154" s="15"/>
      <c r="T3154" s="15"/>
    </row>
    <row r="3155">
      <c r="L3155" s="49"/>
      <c r="M3155" s="49"/>
      <c r="N3155" s="49"/>
      <c r="S3155" s="15"/>
      <c r="T3155" s="15"/>
    </row>
    <row r="3156">
      <c r="L3156" s="49"/>
      <c r="M3156" s="49"/>
      <c r="N3156" s="49"/>
      <c r="S3156" s="15"/>
      <c r="T3156" s="15"/>
    </row>
    <row r="3157">
      <c r="L3157" s="49"/>
      <c r="M3157" s="49"/>
      <c r="N3157" s="49"/>
      <c r="S3157" s="15"/>
      <c r="T3157" s="15"/>
    </row>
    <row r="3158">
      <c r="L3158" s="49"/>
      <c r="M3158" s="49"/>
      <c r="N3158" s="49"/>
      <c r="S3158" s="15"/>
      <c r="T3158" s="15"/>
    </row>
    <row r="3159">
      <c r="L3159" s="49"/>
      <c r="M3159" s="49"/>
      <c r="N3159" s="49"/>
      <c r="S3159" s="15"/>
      <c r="T3159" s="15"/>
    </row>
    <row r="3160">
      <c r="L3160" s="49"/>
      <c r="M3160" s="49"/>
      <c r="N3160" s="49"/>
      <c r="S3160" s="15"/>
      <c r="T3160" s="15"/>
    </row>
    <row r="3161">
      <c r="L3161" s="49"/>
      <c r="M3161" s="49"/>
      <c r="N3161" s="49"/>
      <c r="S3161" s="15"/>
      <c r="T3161" s="15"/>
    </row>
    <row r="3162">
      <c r="L3162" s="49"/>
      <c r="M3162" s="49"/>
      <c r="N3162" s="49"/>
      <c r="S3162" s="15"/>
      <c r="T3162" s="15"/>
    </row>
    <row r="3163">
      <c r="L3163" s="49"/>
      <c r="M3163" s="49"/>
      <c r="N3163" s="49"/>
      <c r="S3163" s="15"/>
      <c r="T3163" s="15"/>
    </row>
    <row r="3164">
      <c r="L3164" s="49"/>
      <c r="M3164" s="49"/>
      <c r="N3164" s="49"/>
      <c r="S3164" s="15"/>
      <c r="T3164" s="15"/>
    </row>
    <row r="3165">
      <c r="L3165" s="49"/>
      <c r="M3165" s="49"/>
      <c r="N3165" s="49"/>
      <c r="S3165" s="15"/>
      <c r="T3165" s="15"/>
    </row>
    <row r="3166">
      <c r="L3166" s="49"/>
      <c r="M3166" s="49"/>
      <c r="N3166" s="49"/>
      <c r="S3166" s="15"/>
      <c r="T3166" s="15"/>
    </row>
    <row r="3167">
      <c r="L3167" s="49"/>
      <c r="M3167" s="49"/>
      <c r="N3167" s="49"/>
      <c r="S3167" s="15"/>
      <c r="T3167" s="15"/>
    </row>
    <row r="3168">
      <c r="L3168" s="49"/>
      <c r="M3168" s="49"/>
      <c r="N3168" s="49"/>
      <c r="S3168" s="15"/>
      <c r="T3168" s="15"/>
    </row>
    <row r="3169">
      <c r="L3169" s="49"/>
      <c r="M3169" s="49"/>
      <c r="N3169" s="49"/>
      <c r="S3169" s="15"/>
      <c r="T3169" s="15"/>
    </row>
    <row r="3170">
      <c r="L3170" s="49"/>
      <c r="M3170" s="49"/>
      <c r="N3170" s="49"/>
      <c r="S3170" s="15"/>
      <c r="T3170" s="15"/>
    </row>
    <row r="3171">
      <c r="L3171" s="49"/>
      <c r="M3171" s="49"/>
      <c r="N3171" s="49"/>
      <c r="S3171" s="15"/>
      <c r="T3171" s="15"/>
    </row>
    <row r="3172">
      <c r="L3172" s="49"/>
      <c r="M3172" s="49"/>
      <c r="N3172" s="49"/>
      <c r="S3172" s="15"/>
      <c r="T3172" s="15"/>
    </row>
    <row r="3173">
      <c r="L3173" s="49"/>
      <c r="M3173" s="49"/>
      <c r="N3173" s="49"/>
      <c r="S3173" s="15"/>
      <c r="T3173" s="15"/>
    </row>
    <row r="3174">
      <c r="L3174" s="49"/>
      <c r="M3174" s="49"/>
      <c r="N3174" s="49"/>
      <c r="S3174" s="15"/>
      <c r="T3174" s="15"/>
    </row>
    <row r="3175">
      <c r="L3175" s="49"/>
      <c r="M3175" s="49"/>
      <c r="N3175" s="49"/>
      <c r="S3175" s="15"/>
      <c r="T3175" s="15"/>
    </row>
    <row r="3176">
      <c r="L3176" s="49"/>
      <c r="M3176" s="49"/>
      <c r="N3176" s="49"/>
      <c r="S3176" s="15"/>
      <c r="T3176" s="15"/>
    </row>
    <row r="3177">
      <c r="L3177" s="49"/>
      <c r="M3177" s="49"/>
      <c r="N3177" s="49"/>
      <c r="S3177" s="15"/>
      <c r="T3177" s="15"/>
    </row>
    <row r="3178">
      <c r="L3178" s="49"/>
      <c r="M3178" s="49"/>
      <c r="N3178" s="49"/>
      <c r="S3178" s="15"/>
      <c r="T3178" s="15"/>
    </row>
    <row r="3179">
      <c r="L3179" s="49"/>
      <c r="M3179" s="49"/>
      <c r="N3179" s="49"/>
      <c r="S3179" s="15"/>
      <c r="T3179" s="15"/>
    </row>
    <row r="3180">
      <c r="L3180" s="49"/>
      <c r="M3180" s="49"/>
      <c r="N3180" s="49"/>
      <c r="S3180" s="15"/>
      <c r="T3180" s="15"/>
    </row>
    <row r="3181">
      <c r="L3181" s="49"/>
      <c r="M3181" s="49"/>
      <c r="N3181" s="49"/>
      <c r="S3181" s="15"/>
      <c r="T3181" s="15"/>
    </row>
    <row r="3182">
      <c r="L3182" s="49"/>
      <c r="M3182" s="49"/>
      <c r="N3182" s="49"/>
      <c r="S3182" s="15"/>
      <c r="T3182" s="15"/>
    </row>
    <row r="3183">
      <c r="L3183" s="49"/>
      <c r="M3183" s="49"/>
      <c r="N3183" s="49"/>
      <c r="S3183" s="15"/>
      <c r="T3183" s="15"/>
    </row>
    <row r="3184">
      <c r="L3184" s="49"/>
      <c r="M3184" s="49"/>
      <c r="N3184" s="49"/>
      <c r="S3184" s="15"/>
      <c r="T3184" s="15"/>
    </row>
    <row r="3185">
      <c r="L3185" s="49"/>
      <c r="M3185" s="49"/>
      <c r="N3185" s="49"/>
      <c r="S3185" s="15"/>
      <c r="T3185" s="15"/>
    </row>
    <row r="3186">
      <c r="L3186" s="49"/>
      <c r="M3186" s="49"/>
      <c r="N3186" s="49"/>
      <c r="S3186" s="15"/>
      <c r="T3186" s="15"/>
    </row>
    <row r="3187">
      <c r="L3187" s="49"/>
      <c r="M3187" s="49"/>
      <c r="N3187" s="49"/>
      <c r="S3187" s="15"/>
      <c r="T3187" s="15"/>
    </row>
    <row r="3188">
      <c r="L3188" s="49"/>
      <c r="M3188" s="49"/>
      <c r="N3188" s="49"/>
      <c r="S3188" s="15"/>
      <c r="T3188" s="15"/>
    </row>
    <row r="3189">
      <c r="L3189" s="49"/>
      <c r="M3189" s="49"/>
      <c r="N3189" s="49"/>
      <c r="S3189" s="15"/>
      <c r="T3189" s="15"/>
    </row>
    <row r="3190">
      <c r="L3190" s="49"/>
      <c r="M3190" s="49"/>
      <c r="N3190" s="49"/>
      <c r="S3190" s="15"/>
      <c r="T3190" s="15"/>
    </row>
    <row r="3191">
      <c r="L3191" s="49"/>
      <c r="M3191" s="49"/>
      <c r="N3191" s="49"/>
      <c r="S3191" s="15"/>
      <c r="T3191" s="15"/>
    </row>
    <row r="3192">
      <c r="L3192" s="49"/>
      <c r="M3192" s="49"/>
      <c r="N3192" s="49"/>
      <c r="S3192" s="15"/>
      <c r="T3192" s="15"/>
    </row>
    <row r="3193">
      <c r="L3193" s="49"/>
      <c r="M3193" s="49"/>
      <c r="N3193" s="49"/>
      <c r="S3193" s="15"/>
      <c r="T3193" s="15"/>
    </row>
    <row r="3194">
      <c r="L3194" s="49"/>
      <c r="M3194" s="49"/>
      <c r="N3194" s="49"/>
      <c r="S3194" s="15"/>
      <c r="T3194" s="15"/>
    </row>
    <row r="3195">
      <c r="L3195" s="49"/>
      <c r="M3195" s="49"/>
      <c r="N3195" s="49"/>
      <c r="S3195" s="15"/>
      <c r="T3195" s="15"/>
    </row>
    <row r="3196">
      <c r="L3196" s="49"/>
      <c r="M3196" s="49"/>
      <c r="N3196" s="49"/>
      <c r="S3196" s="15"/>
      <c r="T3196" s="15"/>
    </row>
    <row r="3197">
      <c r="L3197" s="49"/>
      <c r="M3197" s="49"/>
      <c r="N3197" s="49"/>
      <c r="S3197" s="15"/>
      <c r="T3197" s="15"/>
    </row>
    <row r="3198">
      <c r="L3198" s="49"/>
      <c r="M3198" s="49"/>
      <c r="N3198" s="49"/>
      <c r="S3198" s="15"/>
      <c r="T3198" s="15"/>
    </row>
    <row r="3199">
      <c r="L3199" s="49"/>
      <c r="M3199" s="49"/>
      <c r="N3199" s="49"/>
      <c r="S3199" s="15"/>
      <c r="T3199" s="15"/>
    </row>
    <row r="3200">
      <c r="L3200" s="49"/>
      <c r="M3200" s="49"/>
      <c r="N3200" s="49"/>
      <c r="S3200" s="15"/>
      <c r="T3200" s="15"/>
    </row>
    <row r="3201">
      <c r="L3201" s="49"/>
      <c r="M3201" s="49"/>
      <c r="N3201" s="49"/>
      <c r="S3201" s="15"/>
      <c r="T3201" s="15"/>
    </row>
    <row r="3202">
      <c r="L3202" s="49"/>
      <c r="M3202" s="49"/>
      <c r="N3202" s="49"/>
      <c r="S3202" s="15"/>
      <c r="T3202" s="15"/>
    </row>
    <row r="3203">
      <c r="L3203" s="49"/>
      <c r="M3203" s="49"/>
      <c r="N3203" s="49"/>
      <c r="S3203" s="15"/>
      <c r="T3203" s="15"/>
    </row>
    <row r="3204">
      <c r="L3204" s="49"/>
      <c r="M3204" s="49"/>
      <c r="N3204" s="49"/>
      <c r="S3204" s="15"/>
      <c r="T3204" s="15"/>
    </row>
    <row r="3205">
      <c r="L3205" s="49"/>
      <c r="M3205" s="49"/>
      <c r="N3205" s="49"/>
      <c r="S3205" s="15"/>
      <c r="T3205" s="15"/>
    </row>
    <row r="3206">
      <c r="L3206" s="49"/>
      <c r="M3206" s="49"/>
      <c r="N3206" s="49"/>
      <c r="S3206" s="15"/>
      <c r="T3206" s="15"/>
    </row>
    <row r="3207">
      <c r="L3207" s="49"/>
      <c r="M3207" s="49"/>
      <c r="N3207" s="49"/>
      <c r="S3207" s="15"/>
      <c r="T3207" s="15"/>
    </row>
    <row r="3208">
      <c r="L3208" s="49"/>
      <c r="M3208" s="49"/>
      <c r="N3208" s="49"/>
      <c r="S3208" s="15"/>
      <c r="T3208" s="15"/>
    </row>
    <row r="3209">
      <c r="L3209" s="49"/>
      <c r="M3209" s="49"/>
      <c r="N3209" s="49"/>
      <c r="S3209" s="15"/>
      <c r="T3209" s="15"/>
    </row>
    <row r="3210">
      <c r="L3210" s="49"/>
      <c r="M3210" s="49"/>
      <c r="N3210" s="49"/>
      <c r="S3210" s="15"/>
      <c r="T3210" s="15"/>
    </row>
    <row r="3211">
      <c r="L3211" s="49"/>
      <c r="M3211" s="49"/>
      <c r="N3211" s="49"/>
      <c r="S3211" s="15"/>
      <c r="T3211" s="15"/>
    </row>
    <row r="3212">
      <c r="L3212" s="49"/>
      <c r="M3212" s="49"/>
      <c r="N3212" s="49"/>
      <c r="S3212" s="15"/>
      <c r="T3212" s="15"/>
    </row>
    <row r="3213">
      <c r="L3213" s="49"/>
      <c r="M3213" s="49"/>
      <c r="N3213" s="49"/>
      <c r="S3213" s="15"/>
      <c r="T3213" s="15"/>
    </row>
    <row r="3214">
      <c r="L3214" s="49"/>
      <c r="M3214" s="49"/>
      <c r="N3214" s="49"/>
      <c r="S3214" s="15"/>
      <c r="T3214" s="15"/>
    </row>
    <row r="3215">
      <c r="L3215" s="49"/>
      <c r="M3215" s="49"/>
      <c r="N3215" s="49"/>
      <c r="S3215" s="15"/>
      <c r="T3215" s="15"/>
    </row>
    <row r="3216">
      <c r="L3216" s="49"/>
      <c r="M3216" s="49"/>
      <c r="N3216" s="49"/>
      <c r="S3216" s="15"/>
      <c r="T3216" s="15"/>
    </row>
    <row r="3217">
      <c r="L3217" s="49"/>
      <c r="M3217" s="49"/>
      <c r="N3217" s="49"/>
      <c r="S3217" s="15"/>
      <c r="T3217" s="15"/>
    </row>
    <row r="3218">
      <c r="L3218" s="49"/>
      <c r="M3218" s="49"/>
      <c r="N3218" s="49"/>
      <c r="S3218" s="15"/>
      <c r="T3218" s="15"/>
    </row>
    <row r="3219">
      <c r="L3219" s="49"/>
      <c r="M3219" s="49"/>
      <c r="N3219" s="49"/>
      <c r="S3219" s="15"/>
      <c r="T3219" s="15"/>
    </row>
    <row r="3220">
      <c r="L3220" s="49"/>
      <c r="M3220" s="49"/>
      <c r="N3220" s="49"/>
      <c r="S3220" s="15"/>
      <c r="T3220" s="15"/>
    </row>
    <row r="3221">
      <c r="L3221" s="49"/>
      <c r="M3221" s="49"/>
      <c r="N3221" s="49"/>
      <c r="S3221" s="15"/>
      <c r="T3221" s="15"/>
    </row>
    <row r="3222">
      <c r="L3222" s="49"/>
      <c r="M3222" s="49"/>
      <c r="N3222" s="49"/>
      <c r="S3222" s="15"/>
      <c r="T3222" s="15"/>
    </row>
    <row r="3223">
      <c r="L3223" s="49"/>
      <c r="M3223" s="49"/>
      <c r="N3223" s="49"/>
      <c r="S3223" s="15"/>
      <c r="T3223" s="15"/>
    </row>
    <row r="3224">
      <c r="L3224" s="49"/>
      <c r="M3224" s="49"/>
      <c r="N3224" s="49"/>
      <c r="S3224" s="15"/>
      <c r="T3224" s="15"/>
    </row>
    <row r="3225">
      <c r="L3225" s="49"/>
      <c r="M3225" s="49"/>
      <c r="N3225" s="49"/>
      <c r="S3225" s="15"/>
      <c r="T3225" s="15"/>
    </row>
    <row r="3226">
      <c r="L3226" s="49"/>
      <c r="M3226" s="49"/>
      <c r="N3226" s="49"/>
      <c r="S3226" s="15"/>
      <c r="T3226" s="15"/>
    </row>
    <row r="3227">
      <c r="L3227" s="49"/>
      <c r="M3227" s="49"/>
      <c r="N3227" s="49"/>
      <c r="S3227" s="15"/>
      <c r="T3227" s="15"/>
    </row>
    <row r="3228">
      <c r="L3228" s="49"/>
      <c r="M3228" s="49"/>
      <c r="N3228" s="49"/>
      <c r="S3228" s="15"/>
      <c r="T3228" s="15"/>
    </row>
    <row r="3229">
      <c r="L3229" s="49"/>
      <c r="M3229" s="49"/>
      <c r="N3229" s="49"/>
      <c r="S3229" s="15"/>
      <c r="T3229" s="15"/>
    </row>
    <row r="3230">
      <c r="L3230" s="49"/>
      <c r="M3230" s="49"/>
      <c r="N3230" s="49"/>
      <c r="S3230" s="15"/>
      <c r="T3230" s="15"/>
    </row>
    <row r="3231">
      <c r="L3231" s="49"/>
      <c r="M3231" s="49"/>
      <c r="N3231" s="49"/>
      <c r="S3231" s="15"/>
      <c r="T3231" s="15"/>
    </row>
    <row r="3232">
      <c r="L3232" s="49"/>
      <c r="M3232" s="49"/>
      <c r="N3232" s="49"/>
      <c r="S3232" s="15"/>
      <c r="T3232" s="15"/>
    </row>
    <row r="3233">
      <c r="L3233" s="49"/>
      <c r="M3233" s="49"/>
      <c r="N3233" s="49"/>
      <c r="S3233" s="15"/>
      <c r="T3233" s="15"/>
    </row>
    <row r="3234">
      <c r="L3234" s="49"/>
      <c r="M3234" s="49"/>
      <c r="N3234" s="49"/>
      <c r="S3234" s="15"/>
      <c r="T3234" s="15"/>
    </row>
    <row r="3235">
      <c r="L3235" s="49"/>
      <c r="M3235" s="49"/>
      <c r="N3235" s="49"/>
      <c r="S3235" s="15"/>
      <c r="T3235" s="15"/>
    </row>
    <row r="3236">
      <c r="L3236" s="49"/>
      <c r="M3236" s="49"/>
      <c r="N3236" s="49"/>
      <c r="S3236" s="15"/>
      <c r="T3236" s="15"/>
    </row>
    <row r="3237">
      <c r="L3237" s="49"/>
      <c r="M3237" s="49"/>
      <c r="N3237" s="49"/>
      <c r="S3237" s="15"/>
      <c r="T3237" s="15"/>
    </row>
    <row r="3238">
      <c r="L3238" s="49"/>
      <c r="M3238" s="49"/>
      <c r="N3238" s="49"/>
      <c r="S3238" s="15"/>
      <c r="T3238" s="15"/>
    </row>
    <row r="3239">
      <c r="L3239" s="49"/>
      <c r="M3239" s="49"/>
      <c r="N3239" s="49"/>
      <c r="S3239" s="15"/>
      <c r="T3239" s="15"/>
    </row>
    <row r="3240">
      <c r="L3240" s="49"/>
      <c r="M3240" s="49"/>
      <c r="N3240" s="49"/>
      <c r="S3240" s="15"/>
      <c r="T3240" s="15"/>
    </row>
    <row r="3241">
      <c r="L3241" s="49"/>
      <c r="M3241" s="49"/>
      <c r="N3241" s="49"/>
      <c r="S3241" s="15"/>
      <c r="T3241" s="15"/>
    </row>
    <row r="3242">
      <c r="L3242" s="49"/>
      <c r="M3242" s="49"/>
      <c r="N3242" s="49"/>
      <c r="S3242" s="15"/>
      <c r="T3242" s="15"/>
    </row>
    <row r="3243">
      <c r="L3243" s="49"/>
      <c r="M3243" s="49"/>
      <c r="N3243" s="49"/>
      <c r="S3243" s="15"/>
      <c r="T3243" s="15"/>
    </row>
    <row r="3244">
      <c r="L3244" s="49"/>
      <c r="M3244" s="49"/>
      <c r="N3244" s="49"/>
      <c r="S3244" s="15"/>
      <c r="T3244" s="15"/>
    </row>
    <row r="3245">
      <c r="L3245" s="49"/>
      <c r="M3245" s="49"/>
      <c r="N3245" s="49"/>
      <c r="S3245" s="15"/>
      <c r="T3245" s="15"/>
    </row>
    <row r="3246">
      <c r="L3246" s="49"/>
      <c r="M3246" s="49"/>
      <c r="N3246" s="49"/>
      <c r="S3246" s="15"/>
      <c r="T3246" s="15"/>
    </row>
    <row r="3247">
      <c r="L3247" s="49"/>
      <c r="M3247" s="49"/>
      <c r="N3247" s="49"/>
      <c r="S3247" s="15"/>
      <c r="T3247" s="15"/>
    </row>
    <row r="3248">
      <c r="L3248" s="49"/>
      <c r="M3248" s="49"/>
      <c r="N3248" s="49"/>
      <c r="S3248" s="15"/>
      <c r="T3248" s="15"/>
    </row>
    <row r="3249">
      <c r="L3249" s="49"/>
      <c r="M3249" s="49"/>
      <c r="N3249" s="49"/>
      <c r="S3249" s="15"/>
      <c r="T3249" s="15"/>
    </row>
    <row r="3250">
      <c r="L3250" s="49"/>
      <c r="M3250" s="49"/>
      <c r="N3250" s="49"/>
      <c r="S3250" s="15"/>
      <c r="T3250" s="15"/>
    </row>
    <row r="3251">
      <c r="L3251" s="49"/>
      <c r="M3251" s="49"/>
      <c r="N3251" s="49"/>
      <c r="S3251" s="15"/>
      <c r="T3251" s="15"/>
    </row>
    <row r="3252">
      <c r="L3252" s="49"/>
      <c r="M3252" s="49"/>
      <c r="N3252" s="49"/>
      <c r="S3252" s="15"/>
      <c r="T3252" s="15"/>
    </row>
    <row r="3253">
      <c r="L3253" s="49"/>
      <c r="M3253" s="49"/>
      <c r="N3253" s="49"/>
      <c r="S3253" s="15"/>
      <c r="T3253" s="15"/>
    </row>
    <row r="3254">
      <c r="L3254" s="49"/>
      <c r="M3254" s="49"/>
      <c r="N3254" s="49"/>
      <c r="S3254" s="15"/>
      <c r="T3254" s="15"/>
    </row>
    <row r="3255">
      <c r="L3255" s="49"/>
      <c r="M3255" s="49"/>
      <c r="N3255" s="49"/>
      <c r="S3255" s="15"/>
      <c r="T3255" s="15"/>
    </row>
    <row r="3256">
      <c r="L3256" s="49"/>
      <c r="M3256" s="49"/>
      <c r="N3256" s="49"/>
      <c r="S3256" s="15"/>
      <c r="T3256" s="15"/>
    </row>
    <row r="3257">
      <c r="L3257" s="49"/>
      <c r="M3257" s="49"/>
      <c r="N3257" s="49"/>
      <c r="S3257" s="15"/>
      <c r="T3257" s="15"/>
    </row>
    <row r="3258">
      <c r="L3258" s="49"/>
      <c r="M3258" s="49"/>
      <c r="N3258" s="49"/>
      <c r="S3258" s="15"/>
      <c r="T3258" s="15"/>
    </row>
    <row r="3259">
      <c r="L3259" s="49"/>
      <c r="M3259" s="49"/>
      <c r="N3259" s="49"/>
      <c r="S3259" s="15"/>
      <c r="T3259" s="15"/>
    </row>
    <row r="3260">
      <c r="L3260" s="49"/>
      <c r="M3260" s="49"/>
      <c r="N3260" s="49"/>
      <c r="S3260" s="15"/>
      <c r="T3260" s="15"/>
    </row>
    <row r="3261">
      <c r="L3261" s="49"/>
      <c r="M3261" s="49"/>
      <c r="N3261" s="49"/>
      <c r="S3261" s="15"/>
      <c r="T3261" s="15"/>
    </row>
    <row r="3262">
      <c r="L3262" s="49"/>
      <c r="M3262" s="49"/>
      <c r="N3262" s="49"/>
      <c r="S3262" s="15"/>
      <c r="T3262" s="15"/>
    </row>
    <row r="3263">
      <c r="L3263" s="49"/>
      <c r="M3263" s="49"/>
      <c r="N3263" s="49"/>
      <c r="S3263" s="15"/>
      <c r="T3263" s="15"/>
    </row>
    <row r="3264">
      <c r="L3264" s="49"/>
      <c r="M3264" s="49"/>
      <c r="N3264" s="49"/>
      <c r="S3264" s="15"/>
      <c r="T3264" s="15"/>
    </row>
    <row r="3265">
      <c r="L3265" s="49"/>
      <c r="M3265" s="49"/>
      <c r="N3265" s="49"/>
      <c r="S3265" s="15"/>
      <c r="T3265" s="15"/>
    </row>
    <row r="3266">
      <c r="L3266" s="49"/>
      <c r="M3266" s="49"/>
      <c r="N3266" s="49"/>
      <c r="S3266" s="15"/>
      <c r="T3266" s="15"/>
    </row>
    <row r="3267">
      <c r="L3267" s="49"/>
      <c r="M3267" s="49"/>
      <c r="N3267" s="49"/>
      <c r="S3267" s="15"/>
      <c r="T3267" s="15"/>
    </row>
    <row r="3268">
      <c r="L3268" s="49"/>
      <c r="M3268" s="49"/>
      <c r="N3268" s="49"/>
      <c r="S3268" s="15"/>
      <c r="T3268" s="15"/>
    </row>
    <row r="3269">
      <c r="L3269" s="49"/>
      <c r="M3269" s="49"/>
      <c r="N3269" s="49"/>
      <c r="S3269" s="15"/>
      <c r="T3269" s="15"/>
    </row>
    <row r="3270">
      <c r="L3270" s="49"/>
      <c r="M3270" s="49"/>
      <c r="N3270" s="49"/>
      <c r="S3270" s="15"/>
      <c r="T3270" s="15"/>
    </row>
    <row r="3271">
      <c r="L3271" s="49"/>
      <c r="M3271" s="49"/>
      <c r="N3271" s="49"/>
      <c r="S3271" s="15"/>
      <c r="T3271" s="15"/>
    </row>
    <row r="3272">
      <c r="L3272" s="49"/>
      <c r="M3272" s="49"/>
      <c r="N3272" s="49"/>
      <c r="S3272" s="15"/>
      <c r="T3272" s="15"/>
    </row>
    <row r="3273">
      <c r="L3273" s="49"/>
      <c r="M3273" s="49"/>
      <c r="N3273" s="49"/>
      <c r="S3273" s="15"/>
      <c r="T3273" s="15"/>
    </row>
    <row r="3274">
      <c r="L3274" s="49"/>
      <c r="M3274" s="49"/>
      <c r="N3274" s="49"/>
      <c r="S3274" s="15"/>
      <c r="T3274" s="15"/>
    </row>
    <row r="3275">
      <c r="L3275" s="49"/>
      <c r="M3275" s="49"/>
      <c r="N3275" s="49"/>
      <c r="S3275" s="15"/>
      <c r="T3275" s="15"/>
    </row>
    <row r="3276">
      <c r="L3276" s="49"/>
      <c r="M3276" s="49"/>
      <c r="N3276" s="49"/>
      <c r="S3276" s="15"/>
      <c r="T3276" s="15"/>
    </row>
    <row r="3277">
      <c r="L3277" s="49"/>
      <c r="M3277" s="49"/>
      <c r="N3277" s="49"/>
      <c r="S3277" s="15"/>
      <c r="T3277" s="15"/>
    </row>
    <row r="3278">
      <c r="L3278" s="49"/>
      <c r="M3278" s="49"/>
      <c r="N3278" s="49"/>
      <c r="S3278" s="15"/>
      <c r="T3278" s="15"/>
    </row>
    <row r="3279">
      <c r="L3279" s="49"/>
      <c r="M3279" s="49"/>
      <c r="N3279" s="49"/>
      <c r="S3279" s="15"/>
      <c r="T3279" s="15"/>
    </row>
    <row r="3280">
      <c r="L3280" s="49"/>
      <c r="M3280" s="49"/>
      <c r="N3280" s="49"/>
      <c r="S3280" s="15"/>
      <c r="T3280" s="15"/>
    </row>
    <row r="3281">
      <c r="L3281" s="49"/>
      <c r="M3281" s="49"/>
      <c r="N3281" s="49"/>
      <c r="S3281" s="15"/>
      <c r="T3281" s="15"/>
    </row>
    <row r="3282">
      <c r="L3282" s="49"/>
      <c r="M3282" s="49"/>
      <c r="N3282" s="49"/>
      <c r="S3282" s="15"/>
      <c r="T3282" s="15"/>
    </row>
    <row r="3283">
      <c r="L3283" s="49"/>
      <c r="M3283" s="49"/>
      <c r="N3283" s="49"/>
      <c r="S3283" s="15"/>
      <c r="T3283" s="15"/>
    </row>
    <row r="3284">
      <c r="L3284" s="49"/>
      <c r="M3284" s="49"/>
      <c r="N3284" s="49"/>
      <c r="S3284" s="15"/>
      <c r="T3284" s="15"/>
    </row>
    <row r="3285">
      <c r="L3285" s="49"/>
      <c r="M3285" s="49"/>
      <c r="N3285" s="49"/>
      <c r="S3285" s="15"/>
      <c r="T3285" s="15"/>
    </row>
    <row r="3286">
      <c r="L3286" s="49"/>
      <c r="M3286" s="49"/>
      <c r="N3286" s="49"/>
      <c r="S3286" s="15"/>
      <c r="T3286" s="15"/>
    </row>
    <row r="3287">
      <c r="L3287" s="49"/>
      <c r="M3287" s="49"/>
      <c r="N3287" s="49"/>
      <c r="S3287" s="15"/>
      <c r="T3287" s="15"/>
    </row>
    <row r="3288">
      <c r="L3288" s="49"/>
      <c r="M3288" s="49"/>
      <c r="N3288" s="49"/>
      <c r="S3288" s="15"/>
      <c r="T3288" s="15"/>
    </row>
    <row r="3289">
      <c r="L3289" s="49"/>
      <c r="M3289" s="49"/>
      <c r="N3289" s="49"/>
      <c r="S3289" s="15"/>
      <c r="T3289" s="15"/>
    </row>
    <row r="3290">
      <c r="L3290" s="49"/>
      <c r="M3290" s="49"/>
      <c r="N3290" s="49"/>
      <c r="S3290" s="15"/>
      <c r="T3290" s="15"/>
    </row>
    <row r="3291">
      <c r="L3291" s="49"/>
      <c r="M3291" s="49"/>
      <c r="N3291" s="49"/>
      <c r="S3291" s="15"/>
      <c r="T3291" s="15"/>
    </row>
    <row r="3292">
      <c r="L3292" s="49"/>
      <c r="M3292" s="49"/>
      <c r="N3292" s="49"/>
      <c r="S3292" s="15"/>
      <c r="T3292" s="15"/>
    </row>
    <row r="3293">
      <c r="L3293" s="49"/>
      <c r="M3293" s="49"/>
      <c r="N3293" s="49"/>
      <c r="S3293" s="15"/>
      <c r="T3293" s="15"/>
    </row>
    <row r="3294">
      <c r="L3294" s="49"/>
      <c r="M3294" s="49"/>
      <c r="N3294" s="49"/>
      <c r="S3294" s="15"/>
      <c r="T3294" s="15"/>
    </row>
    <row r="3295">
      <c r="L3295" s="49"/>
      <c r="M3295" s="49"/>
      <c r="N3295" s="49"/>
      <c r="S3295" s="15"/>
      <c r="T3295" s="15"/>
    </row>
    <row r="3296">
      <c r="L3296" s="49"/>
      <c r="M3296" s="49"/>
      <c r="N3296" s="49"/>
      <c r="S3296" s="15"/>
      <c r="T3296" s="15"/>
    </row>
    <row r="3297">
      <c r="L3297" s="49"/>
      <c r="M3297" s="49"/>
      <c r="N3297" s="49"/>
      <c r="S3297" s="15"/>
      <c r="T3297" s="15"/>
    </row>
    <row r="3298">
      <c r="L3298" s="49"/>
      <c r="M3298" s="49"/>
      <c r="N3298" s="49"/>
      <c r="S3298" s="15"/>
      <c r="T3298" s="15"/>
    </row>
    <row r="3299">
      <c r="L3299" s="49"/>
      <c r="M3299" s="49"/>
      <c r="N3299" s="49"/>
      <c r="S3299" s="15"/>
      <c r="T3299" s="15"/>
    </row>
    <row r="3300">
      <c r="L3300" s="49"/>
      <c r="M3300" s="49"/>
      <c r="N3300" s="49"/>
      <c r="S3300" s="15"/>
      <c r="T3300" s="15"/>
    </row>
    <row r="3301">
      <c r="L3301" s="49"/>
      <c r="M3301" s="49"/>
      <c r="N3301" s="49"/>
      <c r="S3301" s="15"/>
      <c r="T3301" s="15"/>
    </row>
    <row r="3302">
      <c r="L3302" s="49"/>
      <c r="M3302" s="49"/>
      <c r="N3302" s="49"/>
      <c r="S3302" s="15"/>
      <c r="T3302" s="15"/>
    </row>
    <row r="3303">
      <c r="L3303" s="49"/>
      <c r="M3303" s="49"/>
      <c r="N3303" s="49"/>
      <c r="S3303" s="15"/>
      <c r="T3303" s="15"/>
    </row>
    <row r="3304">
      <c r="L3304" s="49"/>
      <c r="M3304" s="49"/>
      <c r="N3304" s="49"/>
      <c r="S3304" s="15"/>
      <c r="T3304" s="15"/>
    </row>
    <row r="3305">
      <c r="L3305" s="49"/>
      <c r="M3305" s="49"/>
      <c r="N3305" s="49"/>
      <c r="S3305" s="15"/>
      <c r="T3305" s="15"/>
    </row>
    <row r="3306">
      <c r="L3306" s="49"/>
      <c r="M3306" s="49"/>
      <c r="N3306" s="49"/>
      <c r="S3306" s="15"/>
      <c r="T3306" s="15"/>
    </row>
    <row r="3307">
      <c r="L3307" s="49"/>
      <c r="M3307" s="49"/>
      <c r="N3307" s="49"/>
      <c r="S3307" s="15"/>
      <c r="T3307" s="15"/>
    </row>
    <row r="3308">
      <c r="L3308" s="49"/>
      <c r="M3308" s="49"/>
      <c r="N3308" s="49"/>
      <c r="S3308" s="15"/>
      <c r="T3308" s="15"/>
    </row>
    <row r="3309">
      <c r="L3309" s="49"/>
      <c r="M3309" s="49"/>
      <c r="N3309" s="49"/>
      <c r="S3309" s="15"/>
      <c r="T3309" s="15"/>
    </row>
    <row r="3310">
      <c r="L3310" s="49"/>
      <c r="M3310" s="49"/>
      <c r="N3310" s="49"/>
      <c r="S3310" s="15"/>
      <c r="T3310" s="15"/>
    </row>
    <row r="3311">
      <c r="L3311" s="49"/>
      <c r="M3311" s="49"/>
      <c r="N3311" s="49"/>
      <c r="S3311" s="15"/>
      <c r="T3311" s="15"/>
    </row>
    <row r="3312">
      <c r="L3312" s="49"/>
      <c r="M3312" s="49"/>
      <c r="N3312" s="49"/>
      <c r="S3312" s="15"/>
      <c r="T3312" s="15"/>
    </row>
    <row r="3313">
      <c r="L3313" s="49"/>
      <c r="M3313" s="49"/>
      <c r="N3313" s="49"/>
      <c r="S3313" s="15"/>
      <c r="T3313" s="15"/>
    </row>
    <row r="3314">
      <c r="L3314" s="49"/>
      <c r="M3314" s="49"/>
      <c r="N3314" s="49"/>
      <c r="S3314" s="15"/>
      <c r="T3314" s="15"/>
    </row>
    <row r="3315">
      <c r="L3315" s="49"/>
      <c r="M3315" s="49"/>
      <c r="N3315" s="49"/>
      <c r="S3315" s="15"/>
      <c r="T3315" s="15"/>
    </row>
    <row r="3316">
      <c r="L3316" s="49"/>
      <c r="M3316" s="49"/>
      <c r="N3316" s="49"/>
      <c r="S3316" s="15"/>
      <c r="T3316" s="15"/>
    </row>
    <row r="3317">
      <c r="L3317" s="49"/>
      <c r="M3317" s="49"/>
      <c r="N3317" s="49"/>
      <c r="S3317" s="15"/>
      <c r="T3317" s="15"/>
    </row>
    <row r="3318">
      <c r="L3318" s="49"/>
      <c r="M3318" s="49"/>
      <c r="N3318" s="49"/>
      <c r="S3318" s="15"/>
      <c r="T3318" s="15"/>
    </row>
    <row r="3319">
      <c r="L3319" s="49"/>
      <c r="M3319" s="49"/>
      <c r="N3319" s="49"/>
      <c r="S3319" s="15"/>
      <c r="T3319" s="15"/>
    </row>
    <row r="3320">
      <c r="L3320" s="49"/>
      <c r="M3320" s="49"/>
      <c r="N3320" s="49"/>
      <c r="S3320" s="15"/>
      <c r="T3320" s="15"/>
    </row>
    <row r="3321">
      <c r="L3321" s="49"/>
      <c r="M3321" s="49"/>
      <c r="N3321" s="49"/>
      <c r="S3321" s="15"/>
      <c r="T3321" s="15"/>
    </row>
    <row r="3322">
      <c r="L3322" s="49"/>
      <c r="M3322" s="49"/>
      <c r="N3322" s="49"/>
      <c r="S3322" s="15"/>
      <c r="T3322" s="15"/>
    </row>
    <row r="3323">
      <c r="L3323" s="49"/>
      <c r="M3323" s="49"/>
      <c r="N3323" s="49"/>
      <c r="S3323" s="15"/>
      <c r="T3323" s="15"/>
    </row>
    <row r="3324">
      <c r="L3324" s="49"/>
      <c r="M3324" s="49"/>
      <c r="N3324" s="49"/>
      <c r="S3324" s="15"/>
      <c r="T3324" s="15"/>
    </row>
    <row r="3325">
      <c r="L3325" s="49"/>
      <c r="M3325" s="49"/>
      <c r="N3325" s="49"/>
      <c r="S3325" s="15"/>
      <c r="T3325" s="15"/>
    </row>
    <row r="3326">
      <c r="L3326" s="49"/>
      <c r="M3326" s="49"/>
      <c r="N3326" s="49"/>
      <c r="S3326" s="15"/>
      <c r="T3326" s="15"/>
    </row>
    <row r="3327">
      <c r="L3327" s="49"/>
      <c r="M3327" s="49"/>
      <c r="N3327" s="49"/>
      <c r="S3327" s="15"/>
      <c r="T3327" s="15"/>
    </row>
    <row r="3328">
      <c r="L3328" s="49"/>
      <c r="M3328" s="49"/>
      <c r="N3328" s="49"/>
      <c r="S3328" s="15"/>
      <c r="T3328" s="15"/>
    </row>
    <row r="3329">
      <c r="L3329" s="49"/>
      <c r="M3329" s="49"/>
      <c r="N3329" s="49"/>
      <c r="S3329" s="15"/>
      <c r="T3329" s="15"/>
    </row>
    <row r="3330">
      <c r="L3330" s="49"/>
      <c r="M3330" s="49"/>
      <c r="N3330" s="49"/>
      <c r="S3330" s="15"/>
      <c r="T3330" s="15"/>
    </row>
    <row r="3331">
      <c r="L3331" s="49"/>
      <c r="M3331" s="49"/>
      <c r="N3331" s="49"/>
      <c r="S3331" s="15"/>
      <c r="T3331" s="15"/>
    </row>
    <row r="3332">
      <c r="L3332" s="49"/>
      <c r="M3332" s="49"/>
      <c r="N3332" s="49"/>
      <c r="S3332" s="15"/>
      <c r="T3332" s="15"/>
    </row>
    <row r="3333">
      <c r="L3333" s="49"/>
      <c r="M3333" s="49"/>
      <c r="N3333" s="49"/>
      <c r="S3333" s="15"/>
      <c r="T3333" s="15"/>
    </row>
    <row r="3334">
      <c r="L3334" s="49"/>
      <c r="M3334" s="49"/>
      <c r="N3334" s="49"/>
      <c r="S3334" s="15"/>
      <c r="T3334" s="15"/>
    </row>
    <row r="3335">
      <c r="L3335" s="49"/>
      <c r="M3335" s="49"/>
      <c r="N3335" s="49"/>
      <c r="S3335" s="15"/>
      <c r="T3335" s="15"/>
    </row>
    <row r="3336">
      <c r="L3336" s="49"/>
      <c r="M3336" s="49"/>
      <c r="N3336" s="49"/>
      <c r="S3336" s="15"/>
      <c r="T3336" s="15"/>
    </row>
    <row r="3337">
      <c r="L3337" s="49"/>
      <c r="M3337" s="49"/>
      <c r="N3337" s="49"/>
      <c r="S3337" s="15"/>
      <c r="T3337" s="15"/>
    </row>
    <row r="3338">
      <c r="L3338" s="49"/>
      <c r="M3338" s="49"/>
      <c r="N3338" s="49"/>
      <c r="S3338" s="15"/>
      <c r="T3338" s="15"/>
    </row>
    <row r="3339">
      <c r="L3339" s="49"/>
      <c r="M3339" s="49"/>
      <c r="N3339" s="49"/>
      <c r="S3339" s="15"/>
      <c r="T3339" s="15"/>
    </row>
    <row r="3340">
      <c r="L3340" s="49"/>
      <c r="M3340" s="49"/>
      <c r="N3340" s="49"/>
      <c r="S3340" s="15"/>
      <c r="T3340" s="15"/>
    </row>
    <row r="3341">
      <c r="L3341" s="49"/>
      <c r="M3341" s="49"/>
      <c r="N3341" s="49"/>
      <c r="S3341" s="15"/>
      <c r="T3341" s="15"/>
    </row>
    <row r="3342">
      <c r="L3342" s="49"/>
      <c r="M3342" s="49"/>
      <c r="N3342" s="49"/>
      <c r="S3342" s="15"/>
      <c r="T3342" s="15"/>
    </row>
    <row r="3343">
      <c r="L3343" s="49"/>
      <c r="M3343" s="49"/>
      <c r="N3343" s="49"/>
      <c r="S3343" s="15"/>
      <c r="T3343" s="15"/>
    </row>
    <row r="3344">
      <c r="L3344" s="49"/>
      <c r="M3344" s="49"/>
      <c r="N3344" s="49"/>
      <c r="S3344" s="15"/>
      <c r="T3344" s="15"/>
    </row>
    <row r="3345">
      <c r="L3345" s="49"/>
      <c r="M3345" s="49"/>
      <c r="N3345" s="49"/>
      <c r="S3345" s="15"/>
      <c r="T3345" s="15"/>
    </row>
    <row r="3346">
      <c r="L3346" s="49"/>
      <c r="M3346" s="49"/>
      <c r="N3346" s="49"/>
      <c r="S3346" s="15"/>
      <c r="T3346" s="15"/>
    </row>
    <row r="3347">
      <c r="L3347" s="49"/>
      <c r="M3347" s="49"/>
      <c r="N3347" s="49"/>
      <c r="S3347" s="15"/>
      <c r="T3347" s="15"/>
    </row>
    <row r="3348">
      <c r="L3348" s="49"/>
      <c r="M3348" s="49"/>
      <c r="N3348" s="49"/>
      <c r="S3348" s="15"/>
      <c r="T3348" s="15"/>
    </row>
    <row r="3349">
      <c r="L3349" s="49"/>
      <c r="M3349" s="49"/>
      <c r="N3349" s="49"/>
      <c r="S3349" s="15"/>
      <c r="T3349" s="15"/>
    </row>
    <row r="3350">
      <c r="L3350" s="49"/>
      <c r="M3350" s="49"/>
      <c r="N3350" s="49"/>
      <c r="S3350" s="15"/>
      <c r="T3350" s="15"/>
    </row>
    <row r="3351">
      <c r="L3351" s="49"/>
      <c r="M3351" s="49"/>
      <c r="N3351" s="49"/>
      <c r="S3351" s="15"/>
      <c r="T3351" s="15"/>
    </row>
    <row r="3352">
      <c r="L3352" s="49"/>
      <c r="M3352" s="49"/>
      <c r="N3352" s="49"/>
      <c r="S3352" s="15"/>
      <c r="T3352" s="15"/>
    </row>
    <row r="3353">
      <c r="L3353" s="49"/>
      <c r="M3353" s="49"/>
      <c r="N3353" s="49"/>
      <c r="S3353" s="15"/>
      <c r="T3353" s="15"/>
    </row>
    <row r="3354">
      <c r="L3354" s="49"/>
      <c r="M3354" s="49"/>
      <c r="N3354" s="49"/>
      <c r="S3354" s="15"/>
      <c r="T3354" s="15"/>
    </row>
    <row r="3355">
      <c r="L3355" s="49"/>
      <c r="M3355" s="49"/>
      <c r="N3355" s="49"/>
      <c r="S3355" s="15"/>
      <c r="T3355" s="15"/>
    </row>
    <row r="3356">
      <c r="L3356" s="49"/>
      <c r="M3356" s="49"/>
      <c r="N3356" s="49"/>
      <c r="S3356" s="15"/>
      <c r="T3356" s="15"/>
    </row>
    <row r="3357">
      <c r="L3357" s="49"/>
      <c r="M3357" s="49"/>
      <c r="N3357" s="49"/>
      <c r="S3357" s="15"/>
      <c r="T3357" s="15"/>
    </row>
    <row r="3358">
      <c r="L3358" s="49"/>
      <c r="M3358" s="49"/>
      <c r="N3358" s="49"/>
      <c r="S3358" s="15"/>
      <c r="T3358" s="15"/>
    </row>
    <row r="3359">
      <c r="L3359" s="49"/>
      <c r="M3359" s="49"/>
      <c r="N3359" s="49"/>
      <c r="S3359" s="15"/>
      <c r="T3359" s="15"/>
    </row>
    <row r="3360">
      <c r="L3360" s="49"/>
      <c r="M3360" s="49"/>
      <c r="N3360" s="49"/>
      <c r="S3360" s="15"/>
      <c r="T3360" s="15"/>
    </row>
    <row r="3361">
      <c r="L3361" s="49"/>
      <c r="M3361" s="49"/>
      <c r="N3361" s="49"/>
      <c r="S3361" s="15"/>
      <c r="T3361" s="15"/>
    </row>
    <row r="3362">
      <c r="L3362" s="49"/>
      <c r="M3362" s="49"/>
      <c r="N3362" s="49"/>
      <c r="S3362" s="15"/>
      <c r="T3362" s="15"/>
    </row>
    <row r="3363">
      <c r="L3363" s="49"/>
      <c r="M3363" s="49"/>
      <c r="N3363" s="49"/>
      <c r="S3363" s="15"/>
      <c r="T3363" s="15"/>
    </row>
    <row r="3364">
      <c r="L3364" s="49"/>
      <c r="M3364" s="49"/>
      <c r="N3364" s="49"/>
      <c r="S3364" s="15"/>
      <c r="T3364" s="15"/>
    </row>
    <row r="3365">
      <c r="L3365" s="49"/>
      <c r="M3365" s="49"/>
      <c r="N3365" s="49"/>
      <c r="S3365" s="15"/>
      <c r="T3365" s="15"/>
    </row>
    <row r="3366">
      <c r="L3366" s="49"/>
      <c r="M3366" s="49"/>
      <c r="N3366" s="49"/>
      <c r="S3366" s="15"/>
      <c r="T3366" s="15"/>
    </row>
    <row r="3367">
      <c r="L3367" s="49"/>
      <c r="M3367" s="49"/>
      <c r="N3367" s="49"/>
      <c r="S3367" s="15"/>
      <c r="T3367" s="15"/>
    </row>
    <row r="3368">
      <c r="L3368" s="49"/>
      <c r="M3368" s="49"/>
      <c r="N3368" s="49"/>
      <c r="S3368" s="15"/>
      <c r="T3368" s="15"/>
    </row>
    <row r="3369">
      <c r="L3369" s="49"/>
      <c r="M3369" s="49"/>
      <c r="N3369" s="49"/>
      <c r="S3369" s="15"/>
      <c r="T3369" s="15"/>
    </row>
    <row r="3370">
      <c r="L3370" s="49"/>
      <c r="M3370" s="49"/>
      <c r="N3370" s="49"/>
      <c r="S3370" s="15"/>
      <c r="T3370" s="15"/>
    </row>
    <row r="3371">
      <c r="L3371" s="49"/>
      <c r="M3371" s="49"/>
      <c r="N3371" s="49"/>
      <c r="S3371" s="15"/>
      <c r="T3371" s="15"/>
    </row>
    <row r="3372">
      <c r="L3372" s="49"/>
      <c r="M3372" s="49"/>
      <c r="N3372" s="49"/>
      <c r="S3372" s="15"/>
      <c r="T3372" s="15"/>
    </row>
    <row r="3373">
      <c r="L3373" s="49"/>
      <c r="M3373" s="49"/>
      <c r="N3373" s="49"/>
      <c r="S3373" s="15"/>
      <c r="T3373" s="15"/>
    </row>
    <row r="3374">
      <c r="L3374" s="49"/>
      <c r="M3374" s="49"/>
      <c r="N3374" s="49"/>
      <c r="S3374" s="15"/>
      <c r="T3374" s="15"/>
    </row>
    <row r="3375">
      <c r="L3375" s="49"/>
      <c r="M3375" s="49"/>
      <c r="N3375" s="49"/>
      <c r="S3375" s="15"/>
      <c r="T3375" s="15"/>
    </row>
    <row r="3376">
      <c r="L3376" s="49"/>
      <c r="M3376" s="49"/>
      <c r="N3376" s="49"/>
      <c r="S3376" s="15"/>
      <c r="T3376" s="15"/>
    </row>
    <row r="3377">
      <c r="L3377" s="49"/>
      <c r="M3377" s="49"/>
      <c r="N3377" s="49"/>
      <c r="S3377" s="15"/>
      <c r="T3377" s="15"/>
    </row>
    <row r="3378">
      <c r="L3378" s="49"/>
      <c r="M3378" s="49"/>
      <c r="N3378" s="49"/>
      <c r="S3378" s="15"/>
      <c r="T3378" s="15"/>
    </row>
    <row r="3379">
      <c r="L3379" s="49"/>
      <c r="M3379" s="49"/>
      <c r="N3379" s="49"/>
      <c r="S3379" s="15"/>
      <c r="T3379" s="15"/>
    </row>
    <row r="3380">
      <c r="L3380" s="49"/>
      <c r="M3380" s="49"/>
      <c r="N3380" s="49"/>
      <c r="S3380" s="15"/>
      <c r="T3380" s="15"/>
    </row>
    <row r="3381">
      <c r="L3381" s="49"/>
      <c r="M3381" s="49"/>
      <c r="N3381" s="49"/>
      <c r="S3381" s="15"/>
      <c r="T3381" s="15"/>
    </row>
    <row r="3382">
      <c r="L3382" s="49"/>
      <c r="M3382" s="49"/>
      <c r="N3382" s="49"/>
      <c r="S3382" s="15"/>
      <c r="T3382" s="15"/>
    </row>
    <row r="3383">
      <c r="L3383" s="49"/>
      <c r="M3383" s="49"/>
      <c r="N3383" s="49"/>
      <c r="S3383" s="15"/>
      <c r="T3383" s="15"/>
    </row>
    <row r="3384">
      <c r="L3384" s="49"/>
      <c r="M3384" s="49"/>
      <c r="N3384" s="49"/>
      <c r="S3384" s="15"/>
      <c r="T3384" s="15"/>
    </row>
    <row r="3385">
      <c r="L3385" s="49"/>
      <c r="M3385" s="49"/>
      <c r="N3385" s="49"/>
      <c r="S3385" s="15"/>
      <c r="T3385" s="15"/>
    </row>
    <row r="3386">
      <c r="L3386" s="49"/>
      <c r="M3386" s="49"/>
      <c r="N3386" s="49"/>
      <c r="S3386" s="15"/>
      <c r="T3386" s="15"/>
    </row>
    <row r="3387">
      <c r="L3387" s="49"/>
      <c r="M3387" s="49"/>
      <c r="N3387" s="49"/>
      <c r="S3387" s="15"/>
      <c r="T3387" s="15"/>
    </row>
    <row r="3388">
      <c r="L3388" s="49"/>
      <c r="M3388" s="49"/>
      <c r="N3388" s="49"/>
      <c r="S3388" s="15"/>
      <c r="T3388" s="15"/>
    </row>
    <row r="3389">
      <c r="L3389" s="49"/>
      <c r="M3389" s="49"/>
      <c r="N3389" s="49"/>
      <c r="S3389" s="15"/>
      <c r="T3389" s="15"/>
    </row>
    <row r="3390">
      <c r="L3390" s="49"/>
      <c r="M3390" s="49"/>
      <c r="N3390" s="49"/>
      <c r="S3390" s="15"/>
      <c r="T3390" s="15"/>
    </row>
    <row r="3391">
      <c r="L3391" s="49"/>
      <c r="M3391" s="49"/>
      <c r="N3391" s="49"/>
      <c r="S3391" s="15"/>
      <c r="T3391" s="15"/>
    </row>
    <row r="3392">
      <c r="L3392" s="49"/>
      <c r="M3392" s="49"/>
      <c r="N3392" s="49"/>
      <c r="S3392" s="15"/>
      <c r="T3392" s="15"/>
    </row>
    <row r="3393">
      <c r="L3393" s="49"/>
      <c r="M3393" s="49"/>
      <c r="N3393" s="49"/>
      <c r="S3393" s="15"/>
      <c r="T3393" s="15"/>
    </row>
    <row r="3394">
      <c r="L3394" s="49"/>
      <c r="M3394" s="49"/>
      <c r="N3394" s="49"/>
      <c r="S3394" s="15"/>
      <c r="T3394" s="15"/>
    </row>
    <row r="3395">
      <c r="L3395" s="49"/>
      <c r="M3395" s="49"/>
      <c r="N3395" s="49"/>
      <c r="S3395" s="15"/>
      <c r="T3395" s="15"/>
    </row>
    <row r="3396">
      <c r="L3396" s="49"/>
      <c r="M3396" s="49"/>
      <c r="N3396" s="49"/>
      <c r="S3396" s="15"/>
      <c r="T3396" s="15"/>
    </row>
    <row r="3397">
      <c r="L3397" s="49"/>
      <c r="M3397" s="49"/>
      <c r="N3397" s="49"/>
      <c r="S3397" s="15"/>
      <c r="T3397" s="15"/>
    </row>
    <row r="3398">
      <c r="L3398" s="49"/>
      <c r="M3398" s="49"/>
      <c r="N3398" s="49"/>
      <c r="S3398" s="15"/>
      <c r="T3398" s="15"/>
    </row>
    <row r="3399">
      <c r="L3399" s="49"/>
      <c r="M3399" s="49"/>
      <c r="N3399" s="49"/>
      <c r="S3399" s="15"/>
      <c r="T3399" s="15"/>
    </row>
    <row r="3400">
      <c r="L3400" s="49"/>
      <c r="M3400" s="49"/>
      <c r="N3400" s="49"/>
      <c r="S3400" s="15"/>
      <c r="T3400" s="15"/>
    </row>
    <row r="3401">
      <c r="L3401" s="49"/>
      <c r="M3401" s="49"/>
      <c r="N3401" s="49"/>
      <c r="S3401" s="15"/>
      <c r="T3401" s="15"/>
    </row>
    <row r="3402">
      <c r="L3402" s="49"/>
      <c r="M3402" s="49"/>
      <c r="N3402" s="49"/>
      <c r="S3402" s="15"/>
      <c r="T3402" s="15"/>
    </row>
    <row r="3403">
      <c r="L3403" s="49"/>
      <c r="M3403" s="49"/>
      <c r="N3403" s="49"/>
      <c r="S3403" s="15"/>
      <c r="T3403" s="15"/>
    </row>
    <row r="3404">
      <c r="L3404" s="49"/>
      <c r="M3404" s="49"/>
      <c r="N3404" s="49"/>
      <c r="S3404" s="15"/>
      <c r="T3404" s="15"/>
    </row>
    <row r="3405">
      <c r="L3405" s="49"/>
      <c r="M3405" s="49"/>
      <c r="N3405" s="49"/>
      <c r="S3405" s="15"/>
      <c r="T3405" s="15"/>
    </row>
    <row r="3406">
      <c r="L3406" s="49"/>
      <c r="M3406" s="49"/>
      <c r="N3406" s="49"/>
      <c r="S3406" s="15"/>
      <c r="T3406" s="15"/>
    </row>
    <row r="3407">
      <c r="L3407" s="49"/>
      <c r="M3407" s="49"/>
      <c r="N3407" s="49"/>
      <c r="S3407" s="15"/>
      <c r="T3407" s="15"/>
    </row>
    <row r="3408">
      <c r="L3408" s="49"/>
      <c r="M3408" s="49"/>
      <c r="N3408" s="49"/>
      <c r="S3408" s="15"/>
      <c r="T3408" s="15"/>
    </row>
    <row r="3409">
      <c r="L3409" s="49"/>
      <c r="M3409" s="49"/>
      <c r="N3409" s="49"/>
      <c r="S3409" s="15"/>
      <c r="T3409" s="15"/>
    </row>
    <row r="3410">
      <c r="L3410" s="49"/>
      <c r="M3410" s="49"/>
      <c r="N3410" s="49"/>
      <c r="S3410" s="15"/>
      <c r="T3410" s="15"/>
    </row>
    <row r="3411">
      <c r="L3411" s="49"/>
      <c r="M3411" s="49"/>
      <c r="N3411" s="49"/>
      <c r="S3411" s="15"/>
      <c r="T3411" s="15"/>
    </row>
    <row r="3412">
      <c r="L3412" s="49"/>
      <c r="M3412" s="49"/>
      <c r="N3412" s="49"/>
      <c r="S3412" s="15"/>
      <c r="T3412" s="15"/>
    </row>
    <row r="3413">
      <c r="L3413" s="49"/>
      <c r="M3413" s="49"/>
      <c r="N3413" s="49"/>
      <c r="S3413" s="15"/>
      <c r="T3413" s="15"/>
    </row>
    <row r="3414">
      <c r="L3414" s="49"/>
      <c r="M3414" s="49"/>
      <c r="N3414" s="49"/>
      <c r="S3414" s="15"/>
      <c r="T3414" s="15"/>
    </row>
    <row r="3415">
      <c r="L3415" s="49"/>
      <c r="M3415" s="49"/>
      <c r="N3415" s="49"/>
      <c r="S3415" s="15"/>
      <c r="T3415" s="15"/>
    </row>
    <row r="3416">
      <c r="L3416" s="49"/>
      <c r="M3416" s="49"/>
      <c r="N3416" s="49"/>
      <c r="S3416" s="15"/>
      <c r="T3416" s="15"/>
    </row>
    <row r="3417">
      <c r="L3417" s="49"/>
      <c r="M3417" s="49"/>
      <c r="N3417" s="49"/>
      <c r="S3417" s="15"/>
      <c r="T3417" s="15"/>
    </row>
    <row r="3418">
      <c r="L3418" s="49"/>
      <c r="M3418" s="49"/>
      <c r="N3418" s="49"/>
      <c r="S3418" s="15"/>
      <c r="T3418" s="15"/>
    </row>
    <row r="3419">
      <c r="L3419" s="49"/>
      <c r="M3419" s="49"/>
      <c r="N3419" s="49"/>
      <c r="S3419" s="15"/>
      <c r="T3419" s="15"/>
    </row>
    <row r="3420">
      <c r="L3420" s="49"/>
      <c r="M3420" s="49"/>
      <c r="N3420" s="49"/>
      <c r="S3420" s="15"/>
      <c r="T3420" s="15"/>
    </row>
    <row r="3421">
      <c r="L3421" s="49"/>
      <c r="M3421" s="49"/>
      <c r="N3421" s="49"/>
      <c r="S3421" s="15"/>
      <c r="T3421" s="15"/>
    </row>
    <row r="3422">
      <c r="L3422" s="49"/>
      <c r="M3422" s="49"/>
      <c r="N3422" s="49"/>
      <c r="S3422" s="15"/>
      <c r="T3422" s="15"/>
    </row>
    <row r="3423">
      <c r="L3423" s="49"/>
      <c r="M3423" s="49"/>
      <c r="N3423" s="49"/>
      <c r="S3423" s="15"/>
      <c r="T3423" s="15"/>
    </row>
    <row r="3424">
      <c r="L3424" s="49"/>
      <c r="M3424" s="49"/>
      <c r="N3424" s="49"/>
      <c r="S3424" s="15"/>
      <c r="T3424" s="15"/>
    </row>
    <row r="3425">
      <c r="L3425" s="49"/>
      <c r="M3425" s="49"/>
      <c r="N3425" s="49"/>
      <c r="S3425" s="15"/>
      <c r="T3425" s="15"/>
    </row>
    <row r="3426">
      <c r="L3426" s="49"/>
      <c r="M3426" s="49"/>
      <c r="N3426" s="49"/>
      <c r="S3426" s="15"/>
      <c r="T3426" s="15"/>
    </row>
    <row r="3427">
      <c r="L3427" s="49"/>
      <c r="M3427" s="49"/>
      <c r="N3427" s="49"/>
      <c r="S3427" s="15"/>
      <c r="T3427" s="15"/>
    </row>
    <row r="3428">
      <c r="L3428" s="49"/>
      <c r="M3428" s="49"/>
      <c r="N3428" s="49"/>
      <c r="S3428" s="15"/>
      <c r="T3428" s="15"/>
    </row>
    <row r="3429">
      <c r="L3429" s="49"/>
      <c r="M3429" s="49"/>
      <c r="N3429" s="49"/>
      <c r="S3429" s="15"/>
      <c r="T3429" s="15"/>
    </row>
    <row r="3430">
      <c r="L3430" s="49"/>
      <c r="M3430" s="49"/>
      <c r="N3430" s="49"/>
      <c r="S3430" s="15"/>
      <c r="T3430" s="15"/>
    </row>
    <row r="3431">
      <c r="L3431" s="49"/>
      <c r="M3431" s="49"/>
      <c r="N3431" s="49"/>
      <c r="S3431" s="15"/>
      <c r="T3431" s="15"/>
    </row>
    <row r="3432">
      <c r="L3432" s="49"/>
      <c r="M3432" s="49"/>
      <c r="N3432" s="49"/>
      <c r="S3432" s="15"/>
      <c r="T3432" s="15"/>
    </row>
    <row r="3433">
      <c r="L3433" s="49"/>
      <c r="M3433" s="49"/>
      <c r="N3433" s="49"/>
      <c r="S3433" s="15"/>
      <c r="T3433" s="15"/>
    </row>
    <row r="3434">
      <c r="L3434" s="49"/>
      <c r="M3434" s="49"/>
      <c r="N3434" s="49"/>
      <c r="S3434" s="15"/>
      <c r="T3434" s="15"/>
    </row>
    <row r="3435">
      <c r="L3435" s="49"/>
      <c r="M3435" s="49"/>
      <c r="N3435" s="49"/>
      <c r="S3435" s="15"/>
      <c r="T3435" s="15"/>
    </row>
    <row r="3436">
      <c r="L3436" s="49"/>
      <c r="M3436" s="49"/>
      <c r="N3436" s="49"/>
      <c r="S3436" s="15"/>
      <c r="T3436" s="15"/>
    </row>
    <row r="3437">
      <c r="L3437" s="49"/>
      <c r="M3437" s="49"/>
      <c r="N3437" s="49"/>
      <c r="S3437" s="15"/>
      <c r="T3437" s="15"/>
    </row>
    <row r="3438">
      <c r="L3438" s="49"/>
      <c r="M3438" s="49"/>
      <c r="N3438" s="49"/>
      <c r="S3438" s="15"/>
      <c r="T3438" s="15"/>
    </row>
    <row r="3439">
      <c r="L3439" s="49"/>
      <c r="M3439" s="49"/>
      <c r="N3439" s="49"/>
      <c r="S3439" s="15"/>
      <c r="T3439" s="15"/>
    </row>
    <row r="3440">
      <c r="L3440" s="49"/>
      <c r="M3440" s="49"/>
      <c r="N3440" s="49"/>
      <c r="S3440" s="15"/>
      <c r="T3440" s="15"/>
    </row>
    <row r="3441">
      <c r="L3441" s="49"/>
      <c r="M3441" s="49"/>
      <c r="N3441" s="49"/>
      <c r="S3441" s="15"/>
      <c r="T3441" s="15"/>
    </row>
    <row r="3442">
      <c r="L3442" s="49"/>
      <c r="M3442" s="49"/>
      <c r="N3442" s="49"/>
      <c r="S3442" s="15"/>
      <c r="T3442" s="15"/>
    </row>
    <row r="3443">
      <c r="L3443" s="49"/>
      <c r="M3443" s="49"/>
      <c r="N3443" s="49"/>
      <c r="S3443" s="15"/>
      <c r="T3443" s="15"/>
    </row>
    <row r="3444">
      <c r="L3444" s="49"/>
      <c r="M3444" s="49"/>
      <c r="N3444" s="49"/>
      <c r="S3444" s="15"/>
      <c r="T3444" s="15"/>
    </row>
    <row r="3445">
      <c r="L3445" s="49"/>
      <c r="M3445" s="49"/>
      <c r="N3445" s="49"/>
      <c r="S3445" s="15"/>
      <c r="T3445" s="15"/>
    </row>
    <row r="3446">
      <c r="L3446" s="49"/>
      <c r="M3446" s="49"/>
      <c r="N3446" s="49"/>
      <c r="S3446" s="15"/>
      <c r="T3446" s="15"/>
    </row>
    <row r="3447">
      <c r="L3447" s="49"/>
      <c r="M3447" s="49"/>
      <c r="N3447" s="49"/>
      <c r="S3447" s="15"/>
      <c r="T3447" s="15"/>
    </row>
    <row r="3448">
      <c r="L3448" s="49"/>
      <c r="M3448" s="49"/>
      <c r="N3448" s="49"/>
      <c r="S3448" s="15"/>
      <c r="T3448" s="15"/>
    </row>
    <row r="3449">
      <c r="L3449" s="49"/>
      <c r="M3449" s="49"/>
      <c r="N3449" s="49"/>
      <c r="S3449" s="15"/>
      <c r="T3449" s="15"/>
    </row>
    <row r="3450">
      <c r="L3450" s="49"/>
      <c r="M3450" s="49"/>
      <c r="N3450" s="49"/>
      <c r="S3450" s="15"/>
      <c r="T3450" s="15"/>
    </row>
    <row r="3451">
      <c r="L3451" s="49"/>
      <c r="M3451" s="49"/>
      <c r="N3451" s="49"/>
      <c r="S3451" s="15"/>
      <c r="T3451" s="15"/>
    </row>
    <row r="3452">
      <c r="L3452" s="49"/>
      <c r="M3452" s="49"/>
      <c r="N3452" s="49"/>
      <c r="S3452" s="15"/>
      <c r="T3452" s="15"/>
    </row>
    <row r="3453">
      <c r="L3453" s="49"/>
      <c r="M3453" s="49"/>
      <c r="N3453" s="49"/>
      <c r="S3453" s="15"/>
      <c r="T3453" s="15"/>
    </row>
    <row r="3454">
      <c r="L3454" s="49"/>
      <c r="M3454" s="49"/>
      <c r="N3454" s="49"/>
      <c r="S3454" s="15"/>
      <c r="T3454" s="15"/>
    </row>
    <row r="3455">
      <c r="L3455" s="49"/>
      <c r="M3455" s="49"/>
      <c r="N3455" s="49"/>
      <c r="S3455" s="15"/>
      <c r="T3455" s="15"/>
    </row>
    <row r="3456">
      <c r="L3456" s="49"/>
      <c r="M3456" s="49"/>
      <c r="N3456" s="49"/>
      <c r="S3456" s="15"/>
      <c r="T3456" s="15"/>
    </row>
    <row r="3457">
      <c r="L3457" s="49"/>
      <c r="M3457" s="49"/>
      <c r="N3457" s="49"/>
      <c r="S3457" s="15"/>
      <c r="T3457" s="15"/>
    </row>
    <row r="3458">
      <c r="L3458" s="49"/>
      <c r="M3458" s="49"/>
      <c r="N3458" s="49"/>
      <c r="S3458" s="15"/>
      <c r="T3458" s="15"/>
    </row>
    <row r="3459">
      <c r="L3459" s="49"/>
      <c r="M3459" s="49"/>
      <c r="N3459" s="49"/>
      <c r="S3459" s="15"/>
      <c r="T3459" s="15"/>
    </row>
    <row r="3460">
      <c r="L3460" s="49"/>
      <c r="M3460" s="49"/>
      <c r="N3460" s="49"/>
      <c r="S3460" s="15"/>
      <c r="T3460" s="15"/>
    </row>
    <row r="3461">
      <c r="L3461" s="49"/>
      <c r="M3461" s="49"/>
      <c r="N3461" s="49"/>
      <c r="S3461" s="15"/>
      <c r="T3461" s="15"/>
    </row>
    <row r="3462">
      <c r="L3462" s="49"/>
      <c r="M3462" s="49"/>
      <c r="N3462" s="49"/>
      <c r="S3462" s="15"/>
      <c r="T3462" s="15"/>
    </row>
    <row r="3463">
      <c r="L3463" s="49"/>
      <c r="M3463" s="49"/>
      <c r="N3463" s="49"/>
      <c r="S3463" s="15"/>
      <c r="T3463" s="15"/>
    </row>
    <row r="3464">
      <c r="L3464" s="49"/>
      <c r="M3464" s="49"/>
      <c r="N3464" s="49"/>
      <c r="S3464" s="15"/>
      <c r="T3464" s="15"/>
    </row>
    <row r="3465">
      <c r="L3465" s="49"/>
      <c r="M3465" s="49"/>
      <c r="N3465" s="49"/>
      <c r="S3465" s="15"/>
      <c r="T3465" s="15"/>
    </row>
    <row r="3466">
      <c r="L3466" s="49"/>
      <c r="M3466" s="49"/>
      <c r="N3466" s="49"/>
      <c r="S3466" s="15"/>
      <c r="T3466" s="15"/>
    </row>
    <row r="3467">
      <c r="L3467" s="49"/>
      <c r="M3467" s="49"/>
      <c r="N3467" s="49"/>
      <c r="S3467" s="15"/>
      <c r="T3467" s="15"/>
    </row>
    <row r="3468">
      <c r="L3468" s="49"/>
      <c r="M3468" s="49"/>
      <c r="N3468" s="49"/>
      <c r="S3468" s="15"/>
      <c r="T3468" s="15"/>
    </row>
    <row r="3469">
      <c r="L3469" s="49"/>
      <c r="M3469" s="49"/>
      <c r="N3469" s="49"/>
      <c r="S3469" s="15"/>
      <c r="T3469" s="15"/>
    </row>
    <row r="3470">
      <c r="L3470" s="49"/>
      <c r="M3470" s="49"/>
      <c r="N3470" s="49"/>
      <c r="S3470" s="15"/>
      <c r="T3470" s="15"/>
    </row>
    <row r="3471">
      <c r="L3471" s="49"/>
      <c r="M3471" s="49"/>
      <c r="N3471" s="49"/>
      <c r="S3471" s="15"/>
      <c r="T3471" s="15"/>
    </row>
    <row r="3472">
      <c r="L3472" s="49"/>
      <c r="M3472" s="49"/>
      <c r="N3472" s="49"/>
      <c r="S3472" s="15"/>
      <c r="T3472" s="15"/>
    </row>
    <row r="3473">
      <c r="L3473" s="49"/>
      <c r="M3473" s="49"/>
      <c r="N3473" s="49"/>
      <c r="S3473" s="15"/>
      <c r="T3473" s="15"/>
    </row>
    <row r="3474">
      <c r="L3474" s="49"/>
      <c r="M3474" s="49"/>
      <c r="N3474" s="49"/>
      <c r="S3474" s="15"/>
      <c r="T3474" s="15"/>
    </row>
    <row r="3475">
      <c r="L3475" s="49"/>
      <c r="M3475" s="49"/>
      <c r="N3475" s="49"/>
      <c r="S3475" s="15"/>
      <c r="T3475" s="15"/>
    </row>
    <row r="3476">
      <c r="L3476" s="49"/>
      <c r="M3476" s="49"/>
      <c r="N3476" s="49"/>
      <c r="S3476" s="15"/>
      <c r="T3476" s="15"/>
    </row>
    <row r="3477">
      <c r="L3477" s="49"/>
      <c r="M3477" s="49"/>
      <c r="N3477" s="49"/>
      <c r="S3477" s="15"/>
      <c r="T3477" s="15"/>
    </row>
    <row r="3478">
      <c r="L3478" s="49"/>
      <c r="M3478" s="49"/>
      <c r="N3478" s="49"/>
      <c r="S3478" s="15"/>
      <c r="T3478" s="15"/>
    </row>
    <row r="3479">
      <c r="L3479" s="49"/>
      <c r="M3479" s="49"/>
      <c r="N3479" s="49"/>
      <c r="S3479" s="15"/>
      <c r="T3479" s="15"/>
    </row>
    <row r="3480">
      <c r="L3480" s="49"/>
      <c r="M3480" s="49"/>
      <c r="N3480" s="49"/>
      <c r="S3480" s="15"/>
      <c r="T3480" s="15"/>
    </row>
    <row r="3481">
      <c r="L3481" s="49"/>
      <c r="M3481" s="49"/>
      <c r="N3481" s="49"/>
      <c r="S3481" s="15"/>
      <c r="T3481" s="15"/>
    </row>
    <row r="3482">
      <c r="L3482" s="49"/>
      <c r="M3482" s="49"/>
      <c r="N3482" s="49"/>
      <c r="S3482" s="15"/>
      <c r="T3482" s="15"/>
    </row>
    <row r="3483">
      <c r="L3483" s="49"/>
      <c r="M3483" s="49"/>
      <c r="N3483" s="49"/>
      <c r="S3483" s="15"/>
      <c r="T3483" s="15"/>
    </row>
    <row r="3484">
      <c r="L3484" s="49"/>
      <c r="M3484" s="49"/>
      <c r="N3484" s="49"/>
      <c r="S3484" s="15"/>
      <c r="T3484" s="15"/>
    </row>
    <row r="3485">
      <c r="L3485" s="49"/>
      <c r="M3485" s="49"/>
      <c r="N3485" s="49"/>
      <c r="S3485" s="15"/>
      <c r="T3485" s="15"/>
    </row>
    <row r="3486">
      <c r="L3486" s="49"/>
      <c r="M3486" s="49"/>
      <c r="N3486" s="49"/>
      <c r="S3486" s="15"/>
      <c r="T3486" s="15"/>
    </row>
    <row r="3487">
      <c r="L3487" s="49"/>
      <c r="M3487" s="49"/>
      <c r="N3487" s="49"/>
      <c r="S3487" s="15"/>
      <c r="T3487" s="15"/>
    </row>
    <row r="3488">
      <c r="L3488" s="49"/>
      <c r="M3488" s="49"/>
      <c r="N3488" s="49"/>
      <c r="S3488" s="15"/>
      <c r="T3488" s="15"/>
    </row>
    <row r="3489">
      <c r="L3489" s="49"/>
      <c r="M3489" s="49"/>
      <c r="N3489" s="49"/>
      <c r="S3489" s="15"/>
      <c r="T3489" s="15"/>
    </row>
    <row r="3490">
      <c r="L3490" s="49"/>
      <c r="M3490" s="49"/>
      <c r="N3490" s="49"/>
      <c r="S3490" s="15"/>
      <c r="T3490" s="15"/>
    </row>
    <row r="3491">
      <c r="L3491" s="49"/>
      <c r="M3491" s="49"/>
      <c r="N3491" s="49"/>
      <c r="S3491" s="15"/>
      <c r="T3491" s="15"/>
    </row>
    <row r="3492">
      <c r="L3492" s="49"/>
      <c r="M3492" s="49"/>
      <c r="N3492" s="49"/>
      <c r="S3492" s="15"/>
      <c r="T3492" s="15"/>
    </row>
    <row r="3493">
      <c r="L3493" s="49"/>
      <c r="M3493" s="49"/>
      <c r="N3493" s="49"/>
      <c r="S3493" s="15"/>
      <c r="T3493" s="15"/>
    </row>
    <row r="3494">
      <c r="L3494" s="49"/>
      <c r="M3494" s="49"/>
      <c r="N3494" s="49"/>
      <c r="S3494" s="15"/>
      <c r="T3494" s="15"/>
    </row>
    <row r="3495">
      <c r="L3495" s="49"/>
      <c r="M3495" s="49"/>
      <c r="N3495" s="49"/>
      <c r="S3495" s="15"/>
      <c r="T3495" s="15"/>
    </row>
    <row r="3496">
      <c r="L3496" s="49"/>
      <c r="M3496" s="49"/>
      <c r="N3496" s="49"/>
      <c r="S3496" s="15"/>
      <c r="T3496" s="15"/>
    </row>
    <row r="3497">
      <c r="L3497" s="49"/>
      <c r="M3497" s="49"/>
      <c r="N3497" s="49"/>
      <c r="S3497" s="15"/>
      <c r="T3497" s="15"/>
    </row>
    <row r="3498">
      <c r="L3498" s="49"/>
      <c r="M3498" s="49"/>
      <c r="N3498" s="49"/>
      <c r="S3498" s="15"/>
      <c r="T3498" s="15"/>
    </row>
    <row r="3499">
      <c r="L3499" s="49"/>
      <c r="M3499" s="49"/>
      <c r="N3499" s="49"/>
      <c r="S3499" s="15"/>
      <c r="T3499" s="15"/>
    </row>
    <row r="3500">
      <c r="L3500" s="49"/>
      <c r="M3500" s="49"/>
      <c r="N3500" s="49"/>
      <c r="S3500" s="15"/>
      <c r="T3500" s="15"/>
    </row>
    <row r="3501">
      <c r="L3501" s="49"/>
      <c r="M3501" s="49"/>
      <c r="N3501" s="49"/>
      <c r="S3501" s="15"/>
      <c r="T3501" s="15"/>
    </row>
    <row r="3502">
      <c r="L3502" s="49"/>
      <c r="M3502" s="49"/>
      <c r="N3502" s="49"/>
      <c r="S3502" s="15"/>
      <c r="T3502" s="15"/>
    </row>
    <row r="3503">
      <c r="L3503" s="49"/>
      <c r="M3503" s="49"/>
      <c r="N3503" s="49"/>
      <c r="S3503" s="15"/>
      <c r="T3503" s="15"/>
    </row>
    <row r="3504">
      <c r="L3504" s="49"/>
      <c r="M3504" s="49"/>
      <c r="N3504" s="49"/>
      <c r="S3504" s="15"/>
      <c r="T3504" s="15"/>
    </row>
    <row r="3505">
      <c r="L3505" s="49"/>
      <c r="M3505" s="49"/>
      <c r="N3505" s="49"/>
      <c r="S3505" s="15"/>
      <c r="T3505" s="15"/>
    </row>
    <row r="3506">
      <c r="L3506" s="49"/>
      <c r="M3506" s="49"/>
      <c r="N3506" s="49"/>
      <c r="S3506" s="15"/>
      <c r="T3506" s="15"/>
    </row>
    <row r="3507">
      <c r="L3507" s="49"/>
      <c r="M3507" s="49"/>
      <c r="N3507" s="49"/>
      <c r="S3507" s="15"/>
      <c r="T3507" s="15"/>
    </row>
    <row r="3508">
      <c r="L3508" s="49"/>
      <c r="M3508" s="49"/>
      <c r="N3508" s="49"/>
      <c r="S3508" s="15"/>
      <c r="T3508" s="15"/>
    </row>
    <row r="3509">
      <c r="L3509" s="49"/>
      <c r="M3509" s="49"/>
      <c r="N3509" s="49"/>
      <c r="S3509" s="15"/>
      <c r="T3509" s="15"/>
    </row>
    <row r="3510">
      <c r="L3510" s="49"/>
      <c r="M3510" s="49"/>
      <c r="N3510" s="49"/>
      <c r="S3510" s="15"/>
      <c r="T3510" s="15"/>
    </row>
    <row r="3511">
      <c r="L3511" s="49"/>
      <c r="M3511" s="49"/>
      <c r="N3511" s="49"/>
      <c r="S3511" s="15"/>
      <c r="T3511" s="15"/>
    </row>
    <row r="3512">
      <c r="L3512" s="49"/>
      <c r="M3512" s="49"/>
      <c r="N3512" s="49"/>
      <c r="S3512" s="15"/>
      <c r="T3512" s="15"/>
    </row>
    <row r="3513">
      <c r="L3513" s="49"/>
      <c r="M3513" s="49"/>
      <c r="N3513" s="49"/>
      <c r="S3513" s="15"/>
      <c r="T3513" s="15"/>
    </row>
    <row r="3514">
      <c r="L3514" s="49"/>
      <c r="M3514" s="49"/>
      <c r="N3514" s="49"/>
      <c r="S3514" s="15"/>
      <c r="T3514" s="15"/>
    </row>
    <row r="3515">
      <c r="L3515" s="49"/>
      <c r="M3515" s="49"/>
      <c r="N3515" s="49"/>
      <c r="S3515" s="15"/>
      <c r="T3515" s="15"/>
    </row>
    <row r="3516">
      <c r="L3516" s="49"/>
      <c r="M3516" s="49"/>
      <c r="N3516" s="49"/>
      <c r="S3516" s="15"/>
      <c r="T3516" s="15"/>
    </row>
    <row r="3517">
      <c r="L3517" s="49"/>
      <c r="M3517" s="49"/>
      <c r="N3517" s="49"/>
      <c r="S3517" s="15"/>
      <c r="T3517" s="15"/>
    </row>
    <row r="3518">
      <c r="L3518" s="49"/>
      <c r="M3518" s="49"/>
      <c r="N3518" s="49"/>
      <c r="S3518" s="15"/>
      <c r="T3518" s="15"/>
    </row>
    <row r="3519">
      <c r="L3519" s="49"/>
      <c r="M3519" s="49"/>
      <c r="N3519" s="49"/>
      <c r="S3519" s="15"/>
      <c r="T3519" s="15"/>
    </row>
    <row r="3520">
      <c r="L3520" s="49"/>
      <c r="M3520" s="49"/>
      <c r="N3520" s="49"/>
      <c r="S3520" s="15"/>
      <c r="T3520" s="15"/>
    </row>
    <row r="3521">
      <c r="L3521" s="49"/>
      <c r="M3521" s="49"/>
      <c r="N3521" s="49"/>
      <c r="S3521" s="15"/>
      <c r="T3521" s="15"/>
    </row>
    <row r="3522">
      <c r="L3522" s="49"/>
      <c r="M3522" s="49"/>
      <c r="N3522" s="49"/>
      <c r="S3522" s="15"/>
      <c r="T3522" s="15"/>
    </row>
    <row r="3523">
      <c r="L3523" s="49"/>
      <c r="M3523" s="49"/>
      <c r="N3523" s="49"/>
      <c r="S3523" s="15"/>
      <c r="T3523" s="15"/>
    </row>
    <row r="3524">
      <c r="L3524" s="49"/>
      <c r="M3524" s="49"/>
      <c r="N3524" s="49"/>
      <c r="S3524" s="15"/>
      <c r="T3524" s="15"/>
    </row>
    <row r="3525">
      <c r="L3525" s="49"/>
      <c r="M3525" s="49"/>
      <c r="N3525" s="49"/>
      <c r="S3525" s="15"/>
      <c r="T3525" s="15"/>
    </row>
    <row r="3526">
      <c r="L3526" s="49"/>
      <c r="M3526" s="49"/>
      <c r="N3526" s="49"/>
      <c r="S3526" s="15"/>
      <c r="T3526" s="15"/>
    </row>
    <row r="3527">
      <c r="L3527" s="49"/>
      <c r="M3527" s="49"/>
      <c r="N3527" s="49"/>
      <c r="S3527" s="15"/>
      <c r="T3527" s="15"/>
    </row>
    <row r="3528">
      <c r="L3528" s="49"/>
      <c r="M3528" s="49"/>
      <c r="N3528" s="49"/>
      <c r="S3528" s="15"/>
      <c r="T3528" s="15"/>
    </row>
    <row r="3529">
      <c r="L3529" s="49"/>
      <c r="M3529" s="49"/>
      <c r="N3529" s="49"/>
      <c r="S3529" s="15"/>
      <c r="T3529" s="15"/>
    </row>
    <row r="3530">
      <c r="L3530" s="49"/>
      <c r="M3530" s="49"/>
      <c r="N3530" s="49"/>
      <c r="S3530" s="15"/>
      <c r="T3530" s="15"/>
    </row>
    <row r="3531">
      <c r="L3531" s="49"/>
      <c r="M3531" s="49"/>
      <c r="N3531" s="49"/>
      <c r="S3531" s="15"/>
      <c r="T3531" s="15"/>
    </row>
    <row r="3532">
      <c r="L3532" s="49"/>
      <c r="M3532" s="49"/>
      <c r="N3532" s="49"/>
      <c r="S3532" s="15"/>
      <c r="T3532" s="15"/>
    </row>
    <row r="3533">
      <c r="L3533" s="49"/>
      <c r="M3533" s="49"/>
      <c r="N3533" s="49"/>
      <c r="S3533" s="15"/>
      <c r="T3533" s="15"/>
    </row>
    <row r="3534">
      <c r="L3534" s="49"/>
      <c r="M3534" s="49"/>
      <c r="N3534" s="49"/>
      <c r="S3534" s="15"/>
      <c r="T3534" s="15"/>
    </row>
    <row r="3535">
      <c r="L3535" s="49"/>
      <c r="M3535" s="49"/>
      <c r="N3535" s="49"/>
      <c r="S3535" s="15"/>
      <c r="T3535" s="15"/>
    </row>
    <row r="3536">
      <c r="L3536" s="49"/>
      <c r="M3536" s="49"/>
      <c r="N3536" s="49"/>
      <c r="S3536" s="15"/>
      <c r="T3536" s="15"/>
    </row>
    <row r="3537">
      <c r="L3537" s="49"/>
      <c r="M3537" s="49"/>
      <c r="N3537" s="49"/>
      <c r="S3537" s="15"/>
      <c r="T3537" s="15"/>
    </row>
    <row r="3538">
      <c r="L3538" s="49"/>
      <c r="M3538" s="49"/>
      <c r="N3538" s="49"/>
      <c r="S3538" s="15"/>
      <c r="T3538" s="15"/>
    </row>
    <row r="3539">
      <c r="L3539" s="49"/>
      <c r="M3539" s="49"/>
      <c r="N3539" s="49"/>
      <c r="S3539" s="15"/>
      <c r="T3539" s="15"/>
    </row>
    <row r="3540">
      <c r="L3540" s="49"/>
      <c r="M3540" s="49"/>
      <c r="N3540" s="49"/>
      <c r="S3540" s="15"/>
      <c r="T3540" s="15"/>
    </row>
    <row r="3541">
      <c r="L3541" s="49"/>
      <c r="M3541" s="49"/>
      <c r="N3541" s="49"/>
      <c r="S3541" s="15"/>
      <c r="T3541" s="15"/>
    </row>
    <row r="3542">
      <c r="L3542" s="49"/>
      <c r="M3542" s="49"/>
      <c r="N3542" s="49"/>
      <c r="S3542" s="15"/>
      <c r="T3542" s="15"/>
    </row>
    <row r="3543">
      <c r="L3543" s="49"/>
      <c r="M3543" s="49"/>
      <c r="N3543" s="49"/>
      <c r="S3543" s="15"/>
      <c r="T3543" s="15"/>
    </row>
    <row r="3544">
      <c r="L3544" s="49"/>
      <c r="M3544" s="49"/>
      <c r="N3544" s="49"/>
      <c r="S3544" s="15"/>
      <c r="T3544" s="15"/>
    </row>
    <row r="3545">
      <c r="L3545" s="49"/>
      <c r="M3545" s="49"/>
      <c r="N3545" s="49"/>
      <c r="S3545" s="15"/>
      <c r="T3545" s="15"/>
    </row>
    <row r="3546">
      <c r="L3546" s="49"/>
      <c r="M3546" s="49"/>
      <c r="N3546" s="49"/>
      <c r="S3546" s="15"/>
      <c r="T3546" s="15"/>
    </row>
    <row r="3547">
      <c r="L3547" s="49"/>
      <c r="M3547" s="49"/>
      <c r="N3547" s="49"/>
      <c r="S3547" s="15"/>
      <c r="T3547" s="15"/>
    </row>
    <row r="3548">
      <c r="L3548" s="49"/>
      <c r="M3548" s="49"/>
      <c r="N3548" s="49"/>
      <c r="S3548" s="15"/>
      <c r="T3548" s="15"/>
    </row>
    <row r="3549">
      <c r="L3549" s="49"/>
      <c r="M3549" s="49"/>
      <c r="N3549" s="49"/>
      <c r="S3549" s="15"/>
      <c r="T3549" s="15"/>
    </row>
    <row r="3550">
      <c r="L3550" s="49"/>
      <c r="M3550" s="49"/>
      <c r="N3550" s="49"/>
      <c r="S3550" s="15"/>
      <c r="T3550" s="15"/>
    </row>
    <row r="3551">
      <c r="L3551" s="49"/>
      <c r="M3551" s="49"/>
      <c r="N3551" s="49"/>
      <c r="S3551" s="15"/>
      <c r="T3551" s="15"/>
    </row>
    <row r="3552">
      <c r="L3552" s="49"/>
      <c r="M3552" s="49"/>
      <c r="N3552" s="49"/>
      <c r="S3552" s="15"/>
      <c r="T3552" s="15"/>
    </row>
    <row r="3553">
      <c r="L3553" s="49"/>
      <c r="M3553" s="49"/>
      <c r="N3553" s="49"/>
      <c r="S3553" s="15"/>
      <c r="T3553" s="15"/>
    </row>
    <row r="3554">
      <c r="L3554" s="49"/>
      <c r="M3554" s="49"/>
      <c r="N3554" s="49"/>
      <c r="S3554" s="15"/>
      <c r="T3554" s="15"/>
    </row>
    <row r="3555">
      <c r="L3555" s="49"/>
      <c r="M3555" s="49"/>
      <c r="N3555" s="49"/>
      <c r="S3555" s="15"/>
      <c r="T3555" s="15"/>
    </row>
    <row r="3556">
      <c r="L3556" s="49"/>
      <c r="M3556" s="49"/>
      <c r="N3556" s="49"/>
      <c r="S3556" s="15"/>
      <c r="T3556" s="15"/>
    </row>
    <row r="3557">
      <c r="L3557" s="49"/>
      <c r="M3557" s="49"/>
      <c r="N3557" s="49"/>
      <c r="S3557" s="15"/>
      <c r="T3557" s="15"/>
    </row>
    <row r="3558">
      <c r="L3558" s="49"/>
      <c r="M3558" s="49"/>
      <c r="N3558" s="49"/>
      <c r="S3558" s="15"/>
      <c r="T3558" s="15"/>
    </row>
    <row r="3559">
      <c r="L3559" s="49"/>
      <c r="M3559" s="49"/>
      <c r="N3559" s="49"/>
      <c r="S3559" s="15"/>
      <c r="T3559" s="15"/>
    </row>
    <row r="3560">
      <c r="L3560" s="49"/>
      <c r="M3560" s="49"/>
      <c r="N3560" s="49"/>
      <c r="S3560" s="15"/>
      <c r="T3560" s="15"/>
    </row>
    <row r="3561">
      <c r="L3561" s="49"/>
      <c r="M3561" s="49"/>
      <c r="N3561" s="49"/>
      <c r="S3561" s="15"/>
      <c r="T3561" s="15"/>
    </row>
    <row r="3562">
      <c r="L3562" s="49"/>
      <c r="M3562" s="49"/>
      <c r="N3562" s="49"/>
      <c r="S3562" s="15"/>
      <c r="T3562" s="15"/>
    </row>
    <row r="3563">
      <c r="L3563" s="49"/>
      <c r="M3563" s="49"/>
      <c r="N3563" s="49"/>
      <c r="S3563" s="15"/>
      <c r="T3563" s="15"/>
    </row>
    <row r="3564">
      <c r="L3564" s="49"/>
      <c r="M3564" s="49"/>
      <c r="N3564" s="49"/>
      <c r="S3564" s="15"/>
      <c r="T3564" s="15"/>
    </row>
    <row r="3565">
      <c r="L3565" s="49"/>
      <c r="M3565" s="49"/>
      <c r="N3565" s="49"/>
      <c r="S3565" s="15"/>
      <c r="T3565" s="15"/>
    </row>
    <row r="3566">
      <c r="L3566" s="49"/>
      <c r="M3566" s="49"/>
      <c r="N3566" s="49"/>
      <c r="S3566" s="15"/>
      <c r="T3566" s="15"/>
    </row>
    <row r="3567">
      <c r="L3567" s="49"/>
      <c r="M3567" s="49"/>
      <c r="N3567" s="49"/>
      <c r="S3567" s="15"/>
      <c r="T3567" s="15"/>
    </row>
    <row r="3568">
      <c r="L3568" s="49"/>
      <c r="M3568" s="49"/>
      <c r="N3568" s="49"/>
      <c r="S3568" s="15"/>
      <c r="T3568" s="15"/>
    </row>
    <row r="3569">
      <c r="L3569" s="49"/>
      <c r="M3569" s="49"/>
      <c r="N3569" s="49"/>
      <c r="S3569" s="15"/>
      <c r="T3569" s="15"/>
    </row>
    <row r="3570">
      <c r="L3570" s="49"/>
      <c r="M3570" s="49"/>
      <c r="N3570" s="49"/>
      <c r="S3570" s="15"/>
      <c r="T3570" s="15"/>
    </row>
    <row r="3571">
      <c r="L3571" s="49"/>
      <c r="M3571" s="49"/>
      <c r="N3571" s="49"/>
      <c r="S3571" s="15"/>
      <c r="T3571" s="15"/>
    </row>
    <row r="3572">
      <c r="L3572" s="49"/>
      <c r="M3572" s="49"/>
      <c r="N3572" s="49"/>
      <c r="S3572" s="15"/>
      <c r="T3572" s="15"/>
    </row>
    <row r="3573">
      <c r="L3573" s="49"/>
      <c r="M3573" s="49"/>
      <c r="N3573" s="49"/>
      <c r="S3573" s="15"/>
      <c r="T3573" s="15"/>
    </row>
    <row r="3574">
      <c r="L3574" s="49"/>
      <c r="M3574" s="49"/>
      <c r="N3574" s="49"/>
      <c r="S3574" s="15"/>
      <c r="T3574" s="15"/>
    </row>
    <row r="3575">
      <c r="L3575" s="49"/>
      <c r="M3575" s="49"/>
      <c r="N3575" s="49"/>
      <c r="S3575" s="15"/>
      <c r="T3575" s="15"/>
    </row>
    <row r="3576">
      <c r="L3576" s="49"/>
      <c r="M3576" s="49"/>
      <c r="N3576" s="49"/>
      <c r="S3576" s="15"/>
      <c r="T3576" s="15"/>
    </row>
    <row r="3577">
      <c r="L3577" s="49"/>
      <c r="M3577" s="49"/>
      <c r="N3577" s="49"/>
      <c r="S3577" s="15"/>
      <c r="T3577" s="15"/>
    </row>
    <row r="3578">
      <c r="L3578" s="49"/>
      <c r="M3578" s="49"/>
      <c r="N3578" s="49"/>
      <c r="S3578" s="15"/>
      <c r="T3578" s="15"/>
    </row>
    <row r="3579">
      <c r="L3579" s="49"/>
      <c r="M3579" s="49"/>
      <c r="N3579" s="49"/>
      <c r="S3579" s="15"/>
      <c r="T3579" s="15"/>
    </row>
    <row r="3580">
      <c r="L3580" s="49"/>
      <c r="M3580" s="49"/>
      <c r="N3580" s="49"/>
      <c r="S3580" s="15"/>
      <c r="T3580" s="15"/>
    </row>
    <row r="3581">
      <c r="L3581" s="49"/>
      <c r="M3581" s="49"/>
      <c r="N3581" s="49"/>
      <c r="S3581" s="15"/>
      <c r="T3581" s="15"/>
    </row>
    <row r="3582">
      <c r="L3582" s="49"/>
      <c r="M3582" s="49"/>
      <c r="N3582" s="49"/>
      <c r="S3582" s="15"/>
      <c r="T3582" s="15"/>
    </row>
    <row r="3583">
      <c r="L3583" s="49"/>
      <c r="M3583" s="49"/>
      <c r="N3583" s="49"/>
      <c r="S3583" s="15"/>
      <c r="T3583" s="15"/>
    </row>
    <row r="3584">
      <c r="L3584" s="49"/>
      <c r="M3584" s="49"/>
      <c r="N3584" s="49"/>
      <c r="S3584" s="15"/>
      <c r="T3584" s="15"/>
    </row>
    <row r="3585">
      <c r="L3585" s="49"/>
      <c r="M3585" s="49"/>
      <c r="N3585" s="49"/>
      <c r="S3585" s="15"/>
      <c r="T3585" s="15"/>
    </row>
    <row r="3586">
      <c r="L3586" s="49"/>
      <c r="M3586" s="49"/>
      <c r="N3586" s="49"/>
      <c r="S3586" s="15"/>
      <c r="T3586" s="15"/>
    </row>
    <row r="3587">
      <c r="L3587" s="49"/>
      <c r="M3587" s="49"/>
      <c r="N3587" s="49"/>
      <c r="S3587" s="15"/>
      <c r="T3587" s="15"/>
    </row>
    <row r="3588">
      <c r="L3588" s="49"/>
      <c r="M3588" s="49"/>
      <c r="N3588" s="49"/>
      <c r="S3588" s="15"/>
      <c r="T3588" s="15"/>
    </row>
  </sheetData>
  <drawing r:id="rId1"/>
</worksheet>
</file>